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worksheets/sheet1.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4.xml" ContentType="application/vnd.openxmlformats-officedocument.drawing+xml"/>
  <Override PartName="/xl/theme/theme1.xml" ContentType="application/vnd.openxmlformats-officedocument.theme+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worksheets/sheet10.xml" ContentType="application/vnd.openxmlformats-officedocument.spreadsheetml.worksheet+xml"/>
  <Override PartName="/xl/worksheets/sheet9.xml" ContentType="application/vnd.openxmlformats-officedocument.spreadsheetml.worksheet+xml"/>
  <Override PartName="/xl/drawings/drawing6.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4" r:id="rId7"/>
    <sheet name="BCTinhHinhTaiChinh_06105" sheetId="15" r:id="rId8"/>
    <sheet name="GTTSRong_06107" sheetId="12" r:id="rId9"/>
    <sheet name="BCLCGT_06262" sheetId="13" r:id="rId10"/>
  </sheets>
  <definedNames>
    <definedName name="_xlnm.Print_Area" localSheetId="4">BCHDVay_GDMuaBanLai!$A$1:$K$36</definedName>
    <definedName name="_xlnm.Print_Area" localSheetId="0">TONGQUAN!$A$1:$I$47</definedName>
  </definedNames>
  <calcPr calcId="162913"/>
</workbook>
</file>

<file path=xl/calcChain.xml><?xml version="1.0" encoding="utf-8"?>
<calcChain xmlns="http://schemas.openxmlformats.org/spreadsheetml/2006/main">
  <c r="C13" i="17" l="1"/>
  <c r="E13" i="16"/>
  <c r="F119" i="15"/>
  <c r="E119" i="15"/>
  <c r="F115" i="15"/>
  <c r="E115" i="15"/>
  <c r="F111" i="15"/>
  <c r="E111" i="15"/>
  <c r="F103" i="15"/>
  <c r="F100" i="15" s="1"/>
  <c r="E103" i="15"/>
  <c r="E100" i="15" s="1"/>
  <c r="F89" i="15"/>
  <c r="F87" i="15" s="1"/>
  <c r="E89" i="15"/>
  <c r="E87" i="15" s="1"/>
  <c r="F77" i="15"/>
  <c r="E77" i="15"/>
  <c r="F72" i="15"/>
  <c r="E72" i="15"/>
  <c r="F58" i="15"/>
  <c r="F56" i="15" s="1"/>
  <c r="F39" i="15" s="1"/>
  <c r="E58" i="15"/>
  <c r="E56" i="15" s="1"/>
  <c r="F50" i="15"/>
  <c r="E50" i="15"/>
  <c r="F43" i="15"/>
  <c r="E43" i="15"/>
  <c r="E42" i="15" s="1"/>
  <c r="F42" i="15"/>
  <c r="F28" i="15"/>
  <c r="F27" i="15" s="1"/>
  <c r="E28" i="15"/>
  <c r="E27" i="15" s="1"/>
  <c r="F20" i="15"/>
  <c r="E20" i="15"/>
  <c r="E19" i="15" s="1"/>
  <c r="F19" i="15"/>
  <c r="G76" i="14"/>
  <c r="F76" i="14"/>
  <c r="E76" i="14"/>
  <c r="D76" i="14"/>
  <c r="G60" i="14"/>
  <c r="G43" i="14" s="1"/>
  <c r="F60" i="14"/>
  <c r="E60" i="14"/>
  <c r="D60" i="14"/>
  <c r="G53" i="14"/>
  <c r="F53" i="14"/>
  <c r="E53" i="14"/>
  <c r="D53" i="14"/>
  <c r="G45" i="14"/>
  <c r="F45" i="14"/>
  <c r="F43" i="14" s="1"/>
  <c r="G36" i="14"/>
  <c r="G35" i="14" s="1"/>
  <c r="F36" i="14"/>
  <c r="F35" i="14"/>
  <c r="G26" i="14"/>
  <c r="F26" i="14"/>
  <c r="E26" i="14"/>
  <c r="D26" i="14"/>
  <c r="G23" i="14"/>
  <c r="F23" i="14"/>
  <c r="E23" i="14"/>
  <c r="D23" i="14"/>
  <c r="G20" i="14"/>
  <c r="F20" i="14"/>
  <c r="F19" i="14" s="1"/>
  <c r="E20" i="14"/>
  <c r="D20" i="14"/>
  <c r="D19" i="14" s="1"/>
  <c r="E39" i="15" l="1"/>
  <c r="E66" i="15" s="1"/>
  <c r="E110" i="15" s="1"/>
  <c r="F75" i="14"/>
  <c r="F79" i="14" s="1"/>
  <c r="F83" i="14" s="1"/>
  <c r="G19" i="14"/>
  <c r="G75" i="14" s="1"/>
  <c r="G79" i="14" s="1"/>
  <c r="G83" i="14" s="1"/>
  <c r="D75" i="14"/>
  <c r="D79" i="14" s="1"/>
  <c r="D83" i="14" s="1"/>
  <c r="E19" i="14"/>
  <c r="E109" i="15"/>
  <c r="F109" i="15"/>
  <c r="E75" i="14"/>
  <c r="E79" i="14" s="1"/>
  <c r="E83" i="14" s="1"/>
  <c r="F66" i="15"/>
  <c r="F110" i="15" s="1"/>
</calcChain>
</file>

<file path=xl/sharedStrings.xml><?xml version="1.0" encoding="utf-8"?>
<sst xmlns="http://schemas.openxmlformats.org/spreadsheetml/2006/main" count="1570" uniqueCount="1146">
  <si>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</si>
  <si>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</si>
  <si>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</si>
  <si>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</si>
  <si>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</si>
  <si>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</si>
  <si>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</si>
  <si>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</si>
  <si>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</si>
  <si>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</si>
  <si>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</si>
  <si>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</si>
  <si>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</si>
  <si>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</si>
  <si>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</si>
  <si>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</si>
  <si>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</si>
  <si>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</si>
  <si>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</si>
  <si>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</si>
  <si>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</si>
  <si>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</si>
  <si>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</si>
  <si>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</si>
  <si>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</si>
  <si>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</si>
  <si>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</si>
  <si>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12  năm2023 
As at 31 Dec 2023</t>
  </si>
  <si>
    <t>Tại ngày 30 tháng 09  năm 2023 
As at 30 Sep 2023</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</si>
  <si>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</si>
  <si>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</si>
  <si>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</si>
  <si>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</si>
  <si>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</si>
  <si>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</si>
  <si>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</si>
  <si>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</si>
  <si>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</si>
  <si>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</si>
  <si>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</si>
  <si>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</si>
  <si>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</si>
  <si>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</si>
  <si>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</si>
  <si>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</si>
  <si>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</si>
  <si>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</si>
  <si>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</si>
  <si>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</si>
  <si>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</si>
  <si>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</si>
  <si>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</si>
  <si>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</si>
  <si>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</si>
  <si>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</si>
  <si>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</si>
  <si>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</si>
  <si>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</si>
  <si>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</si>
  <si>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</si>
  <si>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</si>
  <si>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</si>
  <si>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</si>
  <si>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</si>
  <si>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</si>
  <si>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</si>
  <si>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</si>
  <si>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</si>
  <si>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</si>
  <si>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</si>
  <si>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</si>
  <si>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</si>
  <si>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</si>
  <si>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</si>
  <si>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</si>
  <si>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</si>
  <si>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</si>
  <si>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</si>
  <si>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</si>
  <si>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</si>
  <si>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</si>
  <si>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</si>
  <si>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</si>
  <si>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</si>
  <si>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</si>
  <si>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</si>
  <si>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</si>
  <si>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</si>
  <si>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</si>
  <si>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</si>
  <si>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</si>
  <si>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</si>
  <si>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</si>
  <si>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</si>
  <si>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</si>
  <si>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</si>
  <si>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</si>
  <si>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</si>
  <si>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</si>
  <si>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</si>
  <si>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</si>
  <si>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</si>
  <si>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</si>
  <si>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</si>
  <si>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</si>
  <si>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</si>
  <si>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</si>
  <si>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</si>
  <si>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</si>
  <si>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</si>
  <si>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</si>
  <si>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</si>
  <si>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</si>
  <si>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</si>
  <si>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</si>
  <si>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</si>
  <si>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</si>
  <si>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</si>
  <si>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</si>
  <si>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</si>
  <si>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</si>
  <si>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</si>
  <si>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</si>
  <si>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</si>
  <si>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</si>
  <si>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</si>
  <si>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</si>
  <si>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</si>
  <si>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</si>
  <si>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</si>
  <si>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</si>
  <si>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</si>
  <si>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</si>
  <si>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</si>
  <si>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</si>
  <si>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</si>
  <si>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</si>
  <si>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</si>
  <si>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</si>
  <si>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</si>
  <si>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</si>
  <si>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</si>
  <si>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</si>
  <si>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</si>
  <si>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</si>
  <si>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</si>
  <si>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</si>
  <si>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</si>
  <si>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</si>
  <si>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</si>
  <si>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</si>
  <si>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</si>
  <si>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</si>
  <si>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</si>
  <si>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</si>
  <si>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</si>
  <si>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</si>
  <si>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</si>
  <si>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</si>
  <si>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</si>
  <si>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</si>
  <si>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</si>
  <si>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</si>
  <si>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</si>
  <si>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</si>
  <si>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</si>
  <si>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</si>
  <si>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</si>
  <si>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</si>
  <si>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</si>
  <si>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</si>
  <si>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</si>
  <si>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</si>
  <si>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</si>
  <si>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</si>
  <si>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</si>
  <si>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</si>
  <si>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</si>
  <si>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</si>
  <si>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</si>
  <si>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</si>
  <si>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</si>
  <si>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</si>
  <si>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</si>
  <si>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</si>
  <si>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</si>
  <si>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</si>
  <si>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</si>
  <si>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</si>
  <si>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</si>
  <si>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</si>
  <si>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</si>
  <si>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</si>
  <si>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</si>
  <si>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</si>
  <si>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</si>
  <si>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</si>
  <si>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</si>
  <si>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</si>
  <si>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</si>
  <si>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</si>
  <si>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</si>
  <si>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</si>
  <si>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</si>
  <si>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</si>
  <si>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</si>
  <si>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</si>
  <si>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</si>
  <si>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</si>
  <si>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</si>
  <si>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</si>
  <si>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</si>
  <si>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</si>
  <si>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</si>
  <si>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</si>
  <si>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</si>
  <si>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</si>
  <si>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</si>
  <si>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</si>
  <si>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</si>
  <si>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</si>
  <si>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</si>
  <si>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</si>
  <si>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</si>
  <si>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</si>
  <si>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</si>
  <si>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</si>
  <si>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</si>
  <si>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</si>
  <si>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</si>
  <si>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</si>
  <si>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</si>
  <si>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</si>
  <si>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</si>
  <si>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</si>
  <si>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</si>
  <si>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</si>
  <si>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</si>
  <si>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</si>
  <si>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</si>
  <si>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</si>
  <si>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</si>
  <si>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</si>
  <si>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</si>
  <si>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</si>
  <si>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</si>
  <si>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</si>
  <si>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</si>
  <si>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</si>
  <si>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</si>
  <si>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</si>
  <si>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</si>
  <si>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</si>
  <si>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</si>
  <si>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</si>
  <si>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</si>
  <si>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</si>
  <si>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</si>
  <si>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</si>
  <si>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</si>
  <si>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</si>
  <si>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</si>
  <si>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</si>
  <si>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</si>
  <si>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</si>
  <si>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</si>
  <si>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</si>
  <si>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</si>
  <si>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</si>
  <si>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</si>
  <si>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</si>
  <si>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</si>
  <si>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</si>
  <si>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</si>
  <si>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</si>
  <si>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</si>
  <si>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</si>
  <si>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</si>
  <si>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</si>
  <si>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</si>
  <si>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</si>
  <si>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</si>
  <si>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</si>
  <si>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</si>
  <si>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</si>
  <si>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</si>
  <si>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</si>
  <si>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</si>
  <si>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</si>
  <si>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</si>
  <si>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</si>
  <si>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</si>
  <si>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</si>
  <si>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</si>
  <si>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</si>
  <si>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</si>
  <si>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</si>
  <si>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</si>
  <si>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</si>
  <si>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</si>
  <si>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</si>
  <si>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</si>
  <si>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</si>
  <si>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</si>
  <si>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</si>
  <si>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</si>
  <si>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</si>
  <si>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</si>
  <si>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</si>
  <si>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</si>
  <si>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</si>
  <si>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</si>
  <si>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</si>
  <si>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</si>
  <si>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</si>
  <si>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</si>
  <si>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</si>
  <si>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</si>
  <si>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</si>
  <si>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</si>
  <si>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</si>
  <si>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</si>
  <si>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</si>
  <si>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</si>
  <si>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</si>
  <si>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</si>
  <si>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</si>
  <si>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</si>
  <si>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</si>
  <si>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</si>
  <si>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</si>
  <si>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</si>
  <si>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</si>
  <si>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</si>
  <si>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</si>
  <si>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</si>
  <si>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</si>
  <si>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</si>
  <si>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</si>
  <si>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</si>
  <si>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</si>
  <si>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</si>
  <si>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</si>
  <si>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</si>
  <si>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</si>
  <si>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</si>
  <si>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</si>
  <si>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</si>
  <si>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</si>
  <si>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</si>
  <si>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</si>
  <si>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</si>
  <si>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</si>
  <si>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</si>
  <si>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</si>
  <si>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</si>
  <si>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</si>
  <si>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</si>
  <si>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</si>
  <si>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</si>
  <si>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</si>
  <si>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</si>
  <si>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</si>
  <si>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</si>
  <si>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</si>
  <si>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</si>
  <si>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</si>
  <si>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</si>
  <si>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</si>
  <si>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</si>
  <si>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</si>
  <si>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</si>
  <si>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</si>
  <si>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</si>
  <si>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</si>
  <si>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</si>
  <si>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</si>
  <si>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</si>
  <si>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</si>
  <si>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</si>
  <si>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</si>
  <si>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12 năm 2023 / As at 31 Dec 2023</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</si>
  <si>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</si>
  <si>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</si>
  <si>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</si>
  <si>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</si>
  <si>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</si>
  <si>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</si>
  <si>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</si>
  <si>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</si>
  <si>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</si>
  <si>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</si>
  <si>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</si>
  <si>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</si>
  <si>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</si>
  <si>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</si>
  <si>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</si>
  <si>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</si>
  <si>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</si>
  <si>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</si>
  <si>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</si>
  <si>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</si>
  <si>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</si>
  <si>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</si>
  <si>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</si>
  <si>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</si>
  <si>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</si>
  <si>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</si>
  <si>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</si>
  <si>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</si>
  <si>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</si>
  <si>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</si>
  <si>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</si>
  <si>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</si>
  <si>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</si>
  <si>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</si>
  <si>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</si>
  <si>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</si>
  <si>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</si>
  <si>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</si>
  <si>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</si>
  <si>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</si>
  <si>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</si>
  <si>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</si>
  <si>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</si>
  <si>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</si>
  <si>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</si>
  <si>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</si>
  <si>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</si>
  <si>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</si>
  <si>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</si>
  <si>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</si>
  <si>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</si>
  <si>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</si>
  <si>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</si>
  <si>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</si>
  <si>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</si>
  <si>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</si>
  <si>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</si>
  <si>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</si>
  <si>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</si>
  <si>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</si>
  <si>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</si>
  <si>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</si>
  <si>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</si>
  <si>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</si>
  <si>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</si>
  <si>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</si>
  <si>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</si>
  <si>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</si>
  <si>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</si>
  <si>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</si>
  <si>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</si>
  <si>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</si>
  <si>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</si>
  <si>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</si>
  <si>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</si>
  <si>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</si>
  <si>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</si>
  <si>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</si>
  <si>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</si>
  <si>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</si>
  <si>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</si>
  <si>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</si>
  <si>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</si>
  <si>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</si>
  <si>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</si>
  <si>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</si>
  <si>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</si>
  <si>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</si>
  <si>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</si>
  <si>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</si>
  <si>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</si>
  <si>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</si>
  <si>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</si>
  <si>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</si>
  <si>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</si>
  <si>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</si>
  <si>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</si>
  <si>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</si>
  <si>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</si>
  <si>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</si>
  <si>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</si>
  <si>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</si>
  <si>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</si>
  <si>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</si>
  <si>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</si>
  <si>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</si>
  <si>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</si>
  <si>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</si>
  <si>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</si>
  <si>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</si>
  <si>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</si>
  <si>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</si>
  <si>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</si>
  <si>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</si>
  <si>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</si>
  <si>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</si>
  <si>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</si>
  <si>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</si>
  <si>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</si>
  <si>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</si>
  <si>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</si>
  <si>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</si>
  <si>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</si>
  <si>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</si>
  <si>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</si>
  <si>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</si>
  <si>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</si>
  <si>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</si>
  <si>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</si>
  <si>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</si>
  <si>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</si>
  <si>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</si>
  <si>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</si>
  <si>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</si>
  <si>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</si>
  <si>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</si>
  <si>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</si>
  <si>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</si>
  <si>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</si>
  <si>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</si>
  <si>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</si>
  <si>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</si>
  <si>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</si>
  <si>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</si>
  <si>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</si>
  <si>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</si>
  <si>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</si>
  <si>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</si>
  <si>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</si>
  <si>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</si>
  <si>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</si>
  <si>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</si>
  <si>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</si>
  <si>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</si>
  <si>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</si>
  <si>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</si>
  <si>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</si>
  <si>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</si>
  <si>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</si>
  <si>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</si>
  <si>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</si>
  <si>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</si>
  <si>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</si>
  <si>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</si>
  <si>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</si>
  <si>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</si>
  <si>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</si>
  <si>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</si>
  <si>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</si>
  <si>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</si>
  <si>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</si>
  <si>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</si>
  <si>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</si>
  <si>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</si>
  <si>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</si>
  <si>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</si>
  <si>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</si>
  <si>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</si>
  <si>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</si>
  <si>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</si>
  <si>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</si>
  <si>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</si>
  <si>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</si>
  <si>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</si>
  <si>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</si>
  <si>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</si>
  <si>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</si>
  <si>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</si>
  <si>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</si>
  <si>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</si>
  <si>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</si>
  <si>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</si>
  <si>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</si>
  <si>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</si>
  <si>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</si>
  <si>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</si>
  <si>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</si>
  <si>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</si>
  <si>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</si>
  <si>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</si>
  <si>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</si>
  <si>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</si>
  <si>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</si>
  <si>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</si>
  <si>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</si>
  <si>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</si>
  <si>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</si>
  <si>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</si>
  <si>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</si>
  <si>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</si>
  <si>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</si>
  <si>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</si>
  <si>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</si>
  <si>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</si>
  <si>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</si>
  <si>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</si>
  <si>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</si>
  <si>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</si>
  <si>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</si>
  <si>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</si>
  <si>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</si>
  <si>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</si>
  <si>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Vương Thị Trâm Anh</t>
  </si>
  <si>
    <t>Mẫu số B05 - ETF. Báo cáo lưu chuyển tiền tệ
Template B05 - ETF. Cash flow statement</t>
  </si>
  <si>
    <t>BÁO CÁO LƯU CHUYỂN TIỀN TỆ</t>
  </si>
  <si>
    <t>CASH FLOW STATEMENT</t>
  </si>
  <si>
    <t>Chỉ tiêu
Indicator</t>
  </si>
  <si>
    <t>Mã số
Code</t>
  </si>
  <si>
    <t>Thuyết minh
Note</t>
  </si>
  <si>
    <t>I. Lưu chuyển tiền từ hoạt động đầu tư 
Cash flow from investing activities</t>
  </si>
  <si>
    <t>1. Lợi nhuận trước Thuế thu nhập doanh nghiệp 
Net loss before corporate income tax</t>
  </si>
  <si>
    <t>01</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</si>
  <si>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</si>
  <si>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</si>
  <si>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</si>
  <si>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</si>
  <si>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</si>
  <si>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02</t>
  </si>
  <si>
    <t>(- Lãi) hoặc (+ lỗ) chênh lệch tỷ giá hối đoái/ đánh giá lại các khoản đầu tư chưa thực hiện 
Unrealised (Gain) or Loss from FX valuation/Investment revaluation</t>
  </si>
  <si>
    <t>03</t>
  </si>
  <si>
    <t>(Lãi)/ Lỗ chênh lệch tỷ giá hối đoái 
Unrealised Gain or (Loss) from FX valuation</t>
  </si>
  <si>
    <t>03.1</t>
  </si>
  <si>
    <t>(Lãi)/ Lỗ chênh lệch đánh giá lại các khoản đầu tư chưa thực hiện
Unrealised gain/loss from revaluation of investments</t>
  </si>
  <si>
    <t>03.2</t>
  </si>
  <si>
    <t>(+) Chi phí trích trước 
Increase of Accrued Expenses</t>
  </si>
  <si>
    <t>04</t>
  </si>
  <si>
    <t>3. Lợi nhuận từ hoạt động đầu tư trước thay đổi vốn lưu động 
Profit from investing activities before changes in working capital</t>
  </si>
  <si>
    <t>05</t>
  </si>
  <si>
    <t>(-) Tăng, (+) giảm các khoản đầu tư  
(Increase), Decrease in investments</t>
  </si>
  <si>
    <t>20</t>
  </si>
  <si>
    <t>(-) Tăng, (+) giảm phải thu bán chứng khoán đầu tư 
(Increase), Decrease in Receivables from investments sold but not yet settled</t>
  </si>
  <si>
    <t>06</t>
  </si>
  <si>
    <t>(-) Tăng, (+) giảm dự thu phải thu tiền lãi, cổ tức các khoản đầu tư 
(Increase), Decrease in Dividend and interest receivables</t>
  </si>
  <si>
    <t>07</t>
  </si>
  <si>
    <t>(-) Tăng, (+) giảm các khoản phải thu khác 
(Increase), Decrease in other receivables</t>
  </si>
  <si>
    <t>08</t>
  </si>
  <si>
    <t>(+) Tăng, (-) giảm vay ngắn hạn 
Increase, (Decrease) in Short term Loans</t>
  </si>
  <si>
    <t>09</t>
  </si>
  <si>
    <t>(+) Tăng, (-) giảm phải trả cho người bán  
Increase, (Decrease) in payables for securities purchased but not yet settled</t>
  </si>
  <si>
    <t>(+) Tăng, (-) giảm phải trả về mua các khoản đầu tư 
Increase, (Decrease) in payables for securities purchased</t>
  </si>
  <si>
    <t>10.1</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</si>
  <si>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</si>
  <si>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</si>
  <si>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</si>
  <si>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</si>
  <si>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</si>
  <si>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</si>
  <si>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</si>
  <si>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</si>
  <si>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</si>
  <si>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</si>
  <si>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</si>
  <si>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</si>
  <si>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31</t>
  </si>
  <si>
    <t>2. Tiền chi mua lại Chứng chỉ quỹ mở 
Payments for redemption of Fund units</t>
  </si>
  <si>
    <t>32</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</si>
  <si>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</si>
  <si>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</si>
  <si>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</si>
  <si>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</si>
  <si>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</si>
  <si>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</si>
  <si>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</si>
  <si>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30</t>
  </si>
  <si>
    <t>III. Tăng/giảm tiền thuần trong kỳ 
Net cash flows during the period</t>
  </si>
  <si>
    <t>40</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</si>
  <si>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</si>
  <si>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</si>
  <si>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</si>
  <si>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</si>
  <si>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</si>
  <si>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</si>
  <si>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</si>
  <si>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</si>
  <si>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</si>
  <si>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</si>
  <si>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</si>
  <si>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</si>
  <si>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</si>
  <si>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</si>
  <si>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</si>
  <si>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</si>
  <si>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</si>
  <si>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</si>
  <si>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</si>
  <si>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</si>
  <si>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</si>
  <si>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</si>
  <si>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</si>
  <si>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</si>
  <si>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</si>
  <si>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</si>
  <si>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</si>
  <si>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</si>
  <si>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</si>
  <si>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</si>
  <si>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Mẫu số B01 - ETF. Báo cáo thu nhập
Template B01 - ETF. Statement of Comprehensive Income</t>
  </si>
  <si>
    <t>BÁO CÁO THU NHẬP</t>
  </si>
  <si>
    <t>STATEMENT OF COMPREHENSIVE INCOME</t>
  </si>
  <si>
    <t>Joint Stock Commercial Bank for Foreign Trade of Vietnam - HCMC Branch</t>
  </si>
  <si>
    <t>NĂM 2023
YEAR 2023</t>
  </si>
  <si>
    <t>NĂM 2022
YEAR 2022</t>
  </si>
  <si>
    <t>Số lũy kế
Year-to-date</t>
  </si>
  <si>
    <t>I. THU NHẬP, DOANH THU HOẠT ĐỘNG ĐẦU TƯ
INVESTMENT INCOME</t>
  </si>
  <si>
    <t>1.1. Cổ tức, trái tức được chia
Dividend, coupon income</t>
  </si>
  <si>
    <t>Cổ tức được chia
Dividend income</t>
  </si>
  <si>
    <t>02.1</t>
  </si>
  <si>
    <t>Trái tức được chia
Coupon income</t>
  </si>
  <si>
    <t>02.2</t>
  </si>
  <si>
    <t>1.2. Tiền lãi được nhận
Interest income</t>
  </si>
  <si>
    <t>Lãi tiền gửi ngân hàng
Interest income from bank deposits</t>
  </si>
  <si>
    <t>Lãi chứng chỉ tiền gửi
Interest income from Certificates of Deposit</t>
  </si>
  <si>
    <t>1.3. Lãi (lỗ) thực tế phát sinh từ hoạt động đầu tư
Realized gain (losses) from disposal investments</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</si>
  <si>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</si>
  <si>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</si>
  <si>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</si>
  <si>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</si>
  <si>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</si>
  <si>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</si>
  <si>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</si>
  <si>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1.5. Doanh thu khác
Other income</t>
  </si>
  <si>
    <t>1.6. Chênh lệch lãi, lỗ tỷ giá hối đoái đã và chưa thực hiện
Realized and unrealized gain (losses) from foreign exchange</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</si>
  <si>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</si>
  <si>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</si>
  <si>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</si>
  <si>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</si>
  <si>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</si>
  <si>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</si>
  <si>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</si>
  <si>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</si>
  <si>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</si>
  <si>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</si>
  <si>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</si>
  <si>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</si>
  <si>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</si>
  <si>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</si>
  <si>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</si>
  <si>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</si>
  <si>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</si>
  <si>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</si>
  <si>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</si>
  <si>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</si>
  <si>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</si>
  <si>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</si>
  <si>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</si>
  <si>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</si>
  <si>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</si>
  <si>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</si>
  <si>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</si>
  <si>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</si>
  <si>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</si>
  <si>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</si>
  <si>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</si>
  <si>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</si>
  <si>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</si>
  <si>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</si>
  <si>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</si>
  <si>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</si>
  <si>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</si>
  <si>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</si>
  <si>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</si>
  <si>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</si>
  <si>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</si>
  <si>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</si>
  <si>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</si>
  <si>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</si>
  <si>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</si>
  <si>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</si>
  <si>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</si>
  <si>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</si>
  <si>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</si>
  <si>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</si>
  <si>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</si>
  <si>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</si>
  <si>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</si>
  <si>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</si>
  <si>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</si>
  <si>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</si>
  <si>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</si>
  <si>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</si>
  <si>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</si>
  <si>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</si>
  <si>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</si>
  <si>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</si>
  <si>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</si>
  <si>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</si>
  <si>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</si>
  <si>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</si>
  <si>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</si>
  <si>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</si>
  <si>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</si>
  <si>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</si>
  <si>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</si>
  <si>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</si>
  <si>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</si>
  <si>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</si>
  <si>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</si>
  <si>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</si>
  <si>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</si>
  <si>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</si>
  <si>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</si>
  <si>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</si>
  <si>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</si>
  <si>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</si>
  <si>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</si>
  <si>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</si>
  <si>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</si>
  <si>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</si>
  <si>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</si>
  <si>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</si>
  <si>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</si>
  <si>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</si>
  <si>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</si>
  <si>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Tại ngày: 31 tháng 12 năm 2023 / As at 31 Dec 2023</t>
  </si>
  <si>
    <t>CHỈ TIÊU
Indicators</t>
  </si>
  <si>
    <t>Thuyết minh
Notes</t>
  </si>
  <si>
    <t>Tại ngày 31 tháng 12  năm 2023 
As at 31 Dec 2023</t>
  </si>
  <si>
    <t>Tại ngày 30 tháng 09  năm 2023 
As at 30 Sep 2023</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</si>
  <si>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</si>
  <si>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</si>
  <si>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</si>
  <si>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</si>
  <si>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</si>
  <si>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</si>
  <si>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</si>
  <si>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</si>
  <si>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</si>
  <si>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</si>
  <si>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</si>
  <si>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</si>
  <si>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</si>
  <si>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</si>
  <si>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</si>
  <si>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</si>
  <si>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</si>
  <si>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</si>
  <si>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</si>
  <si>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</si>
  <si>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</si>
  <si>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</si>
  <si>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</si>
  <si>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</si>
  <si>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</si>
  <si>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</si>
  <si>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</si>
  <si>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</si>
  <si>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</si>
  <si>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</si>
  <si>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</si>
  <si>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</si>
  <si>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</si>
  <si>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</si>
  <si>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</si>
  <si>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</si>
  <si>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</si>
  <si>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</si>
  <si>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</si>
  <si>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</si>
  <si>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</si>
  <si>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</si>
  <si>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</si>
  <si>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</si>
  <si>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</si>
  <si>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</si>
  <si>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</si>
  <si>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</si>
  <si>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</si>
  <si>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</si>
  <si>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</si>
  <si>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</si>
  <si>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</si>
  <si>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</si>
  <si>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</si>
  <si>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</si>
  <si>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</si>
  <si>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</si>
  <si>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</si>
  <si>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</si>
  <si>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</si>
  <si>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</si>
  <si>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</si>
  <si>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</si>
  <si>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</si>
  <si>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</si>
  <si>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</si>
  <si>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</si>
  <si>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</si>
  <si>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</si>
  <si>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</si>
  <si>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</si>
  <si>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</si>
  <si>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</si>
  <si>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</si>
  <si>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</si>
  <si>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</si>
  <si>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</si>
  <si>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</si>
  <si>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</si>
  <si>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</si>
  <si>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</si>
  <si>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</si>
  <si>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</si>
  <si>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</si>
  <si>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</si>
  <si>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</si>
  <si>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</si>
  <si>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</si>
  <si>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</si>
  <si>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</si>
  <si>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</si>
  <si>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</si>
  <si>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</si>
  <si>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</si>
  <si>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</si>
  <si>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</si>
  <si>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</si>
  <si>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</si>
  <si>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</si>
  <si>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</si>
  <si>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</si>
  <si>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</si>
  <si>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</si>
  <si>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</si>
  <si>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</si>
  <si>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</si>
  <si>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</si>
  <si>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</si>
  <si>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</si>
  <si>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</si>
  <si>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</si>
  <si>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</si>
  <si>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</si>
  <si>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</si>
  <si>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</si>
  <si>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</si>
  <si>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</si>
  <si>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</si>
  <si>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</si>
  <si>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</si>
  <si>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</si>
  <si>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</si>
  <si>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</si>
  <si>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</si>
  <si>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</si>
  <si>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</si>
  <si>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</si>
  <si>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</si>
  <si>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</si>
  <si>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</si>
  <si>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</si>
  <si>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</si>
  <si>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</si>
  <si>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</si>
  <si>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</si>
  <si>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</si>
  <si>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</si>
  <si>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</si>
  <si>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</si>
  <si>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</si>
  <si>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</si>
  <si>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</si>
  <si>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</si>
  <si>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</si>
  <si>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</si>
  <si>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</si>
  <si>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</si>
  <si>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</si>
  <si>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</si>
  <si>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</si>
  <si>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</si>
  <si>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</si>
  <si>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</si>
  <si>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</si>
  <si>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</si>
  <si>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</si>
  <si>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</si>
  <si>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</si>
  <si>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</si>
  <si>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</si>
  <si>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</si>
  <si>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</si>
  <si>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</si>
  <si>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</si>
  <si>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</si>
  <si>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</si>
  <si>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</si>
  <si>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</si>
  <si>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</si>
  <si>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</si>
  <si>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</si>
  <si>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</si>
  <si>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</si>
  <si>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</si>
  <si>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</si>
  <si>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</si>
  <si>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</si>
  <si>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</si>
  <si>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</si>
  <si>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</si>
  <si>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</si>
  <si>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</si>
  <si>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</si>
  <si>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</si>
  <si>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</si>
  <si>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</si>
  <si>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</si>
  <si>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</si>
  <si>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</si>
  <si>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</si>
  <si>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</si>
  <si>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</si>
  <si>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</si>
  <si>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</si>
  <si>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</si>
  <si>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</si>
  <si>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</si>
  <si>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</si>
  <si>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</si>
  <si>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</si>
  <si>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</si>
  <si>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</si>
  <si>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</si>
  <si>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</si>
  <si>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</si>
  <si>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</si>
  <si>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</si>
  <si>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</si>
  <si>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</si>
  <si>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</si>
  <si>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</si>
  <si>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</si>
  <si>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</si>
  <si>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</si>
  <si>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</si>
  <si>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</si>
  <si>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</si>
  <si>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</si>
  <si>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</si>
  <si>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</si>
  <si>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</si>
  <si>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</si>
  <si>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</si>
  <si>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</si>
  <si>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</si>
  <si>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</si>
  <si>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</si>
  <si>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</si>
  <si>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</si>
  <si>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Tại ngày 31 tháng 12 năm 2023/ As at 31 Dec 2023</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</si>
  <si>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</si>
  <si>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</si>
  <si>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</si>
  <si>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</si>
  <si>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</si>
  <si>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</si>
  <si>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</si>
  <si>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</si>
  <si>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</si>
  <si>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</si>
  <si>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</si>
  <si>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</si>
  <si>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</si>
  <si>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</si>
  <si>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</si>
  <si>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</si>
  <si>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</si>
  <si>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</si>
  <si>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</si>
  <si>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</si>
  <si>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</si>
  <si>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</si>
  <si>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</si>
  <si>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</si>
  <si>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</si>
  <si>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</si>
  <si>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</si>
  <si>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</si>
  <si>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</si>
  <si>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</si>
  <si>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</si>
  <si>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</si>
  <si>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</si>
  <si>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</si>
  <si>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</si>
  <si>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</si>
  <si>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</si>
  <si>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</si>
  <si>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</si>
  <si>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</si>
  <si>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</si>
  <si>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</si>
  <si>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</si>
  <si>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</si>
  <si>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</si>
  <si>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</si>
  <si>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</si>
  <si>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</si>
  <si>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</si>
  <si>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</si>
  <si>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</si>
  <si>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</si>
  <si>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</si>
  <si>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</si>
  <si>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</si>
  <si>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</si>
  <si>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</si>
  <si>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</si>
  <si>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</si>
  <si>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</si>
  <si>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</si>
  <si>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</si>
  <si>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</si>
  <si>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</si>
  <si>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</si>
  <si>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</si>
  <si>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</si>
  <si>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</si>
  <si>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</si>
  <si>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</si>
  <si>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</si>
  <si>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</si>
  <si>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</si>
  <si>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</si>
  <si>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</si>
  <si>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</si>
  <si>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</si>
  <si>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</si>
  <si>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</si>
  <si>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</si>
  <si>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</si>
  <si>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</si>
  <si>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Quý IV năm 2023/ Quarter IV 2023</t>
  </si>
  <si>
    <t>Quý IV năm 2023 / Quarter IV 2023</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</si>
  <si>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</si>
  <si>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</si>
  <si>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Quý IV năm 2023
Quarter IV 2023</t>
  </si>
  <si>
    <t>Quý III năm 2023
Quarter III 2023</t>
  </si>
  <si>
    <t>Quý IV năm 2022
Quarter IV 2022</t>
  </si>
  <si>
    <t>Trưởng phòng Kế toán quỹ</t>
  </si>
  <si>
    <t>Ninh Thị Tuệ Minh</t>
  </si>
  <si>
    <t>Số lượng Chứng khoán bị hạn chế đang nắm giữ hộ Nhà đầu tư
Restricted securities quantity fund holds on behalf of AP/ investors</t>
  </si>
  <si>
    <t>005</t>
  </si>
  <si>
    <t>TP Kế toán quỹ</t>
  </si>
  <si>
    <t>Mẫu số B03 - ETF: Mẫu báo cáo thay đổi giá trị tài sản ròng, giao dịch chứng chỉ quỹ
Template B03 - ETF: Report on change of Net Asset Value, trading of Fund Certificate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</si>
</sst>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6"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9"/>
      <color indexed="8"/>
      <name val="Tahoma"/>
      <family val="2"/>
    </font>
    <font>
      <b/>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3">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4" fillId="0" borderId="0">
      <alignment vertical="center"/>
    </xf>
    <xf numFmtId="0" fontId="17" fillId="0" borderId="0"/>
    <xf numFmtId="0" fontId="21" fillId="0" borderId="0" applyNumberFormat="0" applyFill="0" applyBorder="0" applyAlignment="0" applyProtection="0"/>
    <xf numFmtId="0" fontId="2" fillId="0" borderId="0"/>
    <xf numFmtId="170" fontId="25" fillId="0" borderId="0" applyFont="0" applyFill="0" applyBorder="0" applyAlignment="0" applyProtection="0"/>
    <xf numFmtId="0" fontId="1" fillId="0" borderId="0"/>
    <xf numFmtId="0" fontId="17" fillId="0" borderId="0"/>
  </cellStyleXfs>
  <cellXfs count="406">
    <xf numFmtId="0" fontId="0" fillId="0" borderId="0" xfId="0"/>
    <xf numFmtId="0" fontId="12" fillId="4" borderId="0" xfId="0" applyFont="1" applyFill="1"/>
    <xf numFmtId="0" fontId="12" fillId="4" borderId="0" xfId="0" applyFont="1" applyFill="1" applyAlignment="1">
      <alignment horizontal="left"/>
    </xf>
    <xf numFmtId="0" fontId="11" fillId="5" borderId="12" xfId="0" applyFont="1" applyFill="1" applyBorder="1" applyAlignment="1">
      <alignment vertical="center"/>
    </xf>
    <xf numFmtId="0" fontId="11" fillId="5" borderId="12" xfId="0" applyFont="1" applyFill="1" applyBorder="1" applyAlignment="1">
      <alignment vertical="center" wrapText="1"/>
    </xf>
    <xf numFmtId="0" fontId="11" fillId="5" borderId="13" xfId="0" applyFont="1" applyFill="1" applyBorder="1" applyAlignment="1">
      <alignment vertical="center" wrapText="1"/>
    </xf>
    <xf numFmtId="0" fontId="12" fillId="5" borderId="0" xfId="0" applyFont="1" applyFill="1" applyBorder="1" applyAlignment="1">
      <alignment vertical="center"/>
    </xf>
    <xf numFmtId="0" fontId="12" fillId="5" borderId="0" xfId="0" applyFont="1" applyFill="1" applyBorder="1" applyAlignment="1">
      <alignment vertical="center" wrapText="1"/>
    </xf>
    <xf numFmtId="0" fontId="12" fillId="5" borderId="18" xfId="0" applyFont="1" applyFill="1" applyBorder="1" applyAlignment="1">
      <alignment vertical="center" wrapText="1"/>
    </xf>
    <xf numFmtId="0" fontId="13" fillId="4" borderId="0" xfId="0" applyFont="1" applyFill="1" applyBorder="1"/>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18" xfId="0" applyFont="1" applyFill="1" applyBorder="1" applyAlignment="1">
      <alignment vertical="center" wrapText="1"/>
    </xf>
    <xf numFmtId="166" fontId="11" fillId="5" borderId="0" xfId="0" applyNumberFormat="1" applyFont="1" applyFill="1" applyBorder="1" applyAlignment="1">
      <alignment horizontal="left" vertical="center"/>
    </xf>
    <xf numFmtId="169" fontId="12" fillId="5" borderId="16" xfId="0" applyNumberFormat="1" applyFont="1" applyFill="1" applyBorder="1" applyAlignment="1"/>
    <xf numFmtId="0" fontId="16" fillId="4" borderId="0" xfId="0" applyFont="1" applyFill="1"/>
    <xf numFmtId="0" fontId="20" fillId="4" borderId="0" xfId="5" applyFont="1" applyFill="1" applyBorder="1" applyAlignment="1">
      <alignment horizontal="center" vertical="center"/>
    </xf>
    <xf numFmtId="0" fontId="19" fillId="4" borderId="0" xfId="5" applyFont="1" applyFill="1" applyBorder="1" applyAlignment="1">
      <alignment horizontal="center" vertical="center"/>
    </xf>
    <xf numFmtId="0" fontId="11" fillId="4" borderId="19" xfId="0" applyFont="1" applyFill="1" applyBorder="1" applyAlignment="1">
      <alignment horizontal="center" vertical="center"/>
    </xf>
    <xf numFmtId="0" fontId="11" fillId="4" borderId="19" xfId="0" applyFont="1" applyFill="1" applyBorder="1" applyAlignment="1">
      <alignment horizontal="left" vertical="center"/>
    </xf>
    <xf numFmtId="0" fontId="12" fillId="4" borderId="19" xfId="0" applyFont="1" applyFill="1" applyBorder="1" applyAlignment="1">
      <alignment horizontal="center" vertical="center"/>
    </xf>
    <xf numFmtId="0" fontId="22" fillId="4" borderId="19" xfId="6" applyFont="1" applyFill="1" applyBorder="1" applyAlignment="1">
      <alignment horizontal="center" vertical="center"/>
    </xf>
    <xf numFmtId="0" fontId="22" fillId="4" borderId="19" xfId="6" quotePrefix="1" applyFont="1" applyFill="1" applyBorder="1" applyAlignment="1">
      <alignment horizontal="center" vertical="center"/>
    </xf>
    <xf numFmtId="0" fontId="19" fillId="4" borderId="19" xfId="5" applyFont="1" applyFill="1" applyBorder="1" applyAlignment="1">
      <alignment horizontal="center" vertical="center"/>
    </xf>
    <xf numFmtId="0" fontId="23" fillId="4" borderId="0" xfId="0" applyFont="1" applyFill="1" applyBorder="1"/>
    <xf numFmtId="0" fontId="16" fillId="4" borderId="0" xfId="0" applyFont="1" applyFill="1" applyBorder="1" applyAlignment="1">
      <alignment vertical="center"/>
    </xf>
    <xf numFmtId="0" fontId="24" fillId="5" borderId="0" xfId="7" applyFont="1" applyFill="1"/>
    <xf numFmtId="0" fontId="10"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6"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7"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4"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8" fillId="5" borderId="0" xfId="7" applyFont="1" applyFill="1"/>
    <xf numFmtId="0" fontId="27" fillId="7" borderId="19" xfId="7" applyFont="1" applyFill="1" applyBorder="1" applyAlignment="1">
      <alignment horizontal="center" vertical="center" wrapText="1"/>
    </xf>
    <xf numFmtId="0" fontId="24" fillId="0" borderId="19" xfId="7" applyFont="1" applyFill="1" applyBorder="1" applyAlignment="1">
      <alignment horizontal="center" vertical="center"/>
    </xf>
    <xf numFmtId="49" fontId="24" fillId="0" borderId="19" xfId="7" applyNumberFormat="1" applyFont="1" applyFill="1" applyBorder="1" applyAlignment="1" applyProtection="1">
      <alignment horizontal="left" vertical="center" wrapText="1"/>
    </xf>
    <xf numFmtId="49" fontId="30" fillId="0" borderId="19" xfId="7" applyNumberFormat="1" applyFont="1" applyFill="1" applyBorder="1" applyAlignment="1" applyProtection="1">
      <alignment horizontal="center" vertical="center" wrapText="1"/>
    </xf>
    <xf numFmtId="49" fontId="28" fillId="0" borderId="19" xfId="7" applyNumberFormat="1" applyFont="1" applyFill="1" applyBorder="1" applyAlignment="1" applyProtection="1">
      <alignment horizontal="left" vertical="center" wrapText="1"/>
    </xf>
    <xf numFmtId="49" fontId="24" fillId="0" borderId="19" xfId="7" applyNumberFormat="1" applyFont="1" applyFill="1" applyBorder="1" applyAlignment="1" applyProtection="1">
      <alignment horizontal="center" vertical="center" wrapText="1"/>
    </xf>
    <xf numFmtId="0" fontId="8" fillId="5" borderId="0" xfId="7" applyFont="1" applyFill="1"/>
    <xf numFmtId="173" fontId="29" fillId="5" borderId="0" xfId="10" applyNumberFormat="1" applyFont="1" applyFill="1" applyAlignment="1">
      <alignment vertical="center" wrapText="1"/>
    </xf>
    <xf numFmtId="0" fontId="28" fillId="5" borderId="0" xfId="10" applyFont="1" applyFill="1" applyBorder="1" applyAlignment="1">
      <alignment vertical="center"/>
    </xf>
    <xf numFmtId="171" fontId="29" fillId="5" borderId="0" xfId="8" applyNumberFormat="1" applyFont="1" applyFill="1" applyBorder="1" applyAlignment="1">
      <alignment vertical="center" wrapText="1"/>
    </xf>
    <xf numFmtId="0" fontId="29" fillId="5" borderId="0" xfId="10" applyFont="1" applyFill="1" applyBorder="1" applyAlignment="1">
      <alignment vertical="center"/>
    </xf>
    <xf numFmtId="0" fontId="29" fillId="5" borderId="0" xfId="10" applyFont="1" applyFill="1" applyBorder="1" applyAlignment="1">
      <alignment vertical="center" wrapText="1"/>
    </xf>
    <xf numFmtId="171" fontId="29" fillId="5" borderId="0" xfId="8" applyNumberFormat="1" applyFont="1" applyFill="1" applyBorder="1" applyAlignment="1">
      <alignment horizontal="right" vertical="center" wrapText="1"/>
    </xf>
    <xf numFmtId="171" fontId="29" fillId="5" borderId="0" xfId="8" applyNumberFormat="1" applyFont="1" applyFill="1" applyBorder="1" applyAlignment="1">
      <alignment horizontal="left" vertical="center"/>
    </xf>
    <xf numFmtId="2" fontId="28" fillId="5" borderId="0" xfId="10" applyNumberFormat="1" applyFont="1" applyFill="1" applyAlignment="1">
      <alignment vertical="center"/>
    </xf>
    <xf numFmtId="171" fontId="29" fillId="5" borderId="0" xfId="8" applyNumberFormat="1" applyFont="1" applyFill="1" applyBorder="1" applyAlignment="1">
      <alignment horizontal="right" vertical="center"/>
    </xf>
    <xf numFmtId="171" fontId="29" fillId="5" borderId="0" xfId="8" applyNumberFormat="1" applyFont="1" applyFill="1" applyAlignment="1">
      <alignment horizontal="right" vertical="center"/>
    </xf>
    <xf numFmtId="2" fontId="28" fillId="5" borderId="0" xfId="10" applyNumberFormat="1" applyFont="1" applyFill="1" applyAlignment="1">
      <alignment horizontal="right" vertical="center"/>
    </xf>
    <xf numFmtId="171" fontId="28" fillId="5" borderId="0" xfId="8" applyNumberFormat="1" applyFont="1" applyFill="1" applyAlignment="1">
      <alignment horizontal="right" vertical="center"/>
    </xf>
    <xf numFmtId="2" fontId="29" fillId="5" borderId="0" xfId="10" applyNumberFormat="1" applyFont="1" applyFill="1" applyAlignment="1">
      <alignment vertical="center"/>
    </xf>
    <xf numFmtId="2" fontId="28" fillId="5" borderId="15" xfId="10" applyNumberFormat="1" applyFont="1" applyFill="1" applyBorder="1" applyAlignment="1">
      <alignment vertical="center"/>
    </xf>
    <xf numFmtId="171" fontId="28" fillId="5" borderId="15" xfId="8" applyNumberFormat="1" applyFont="1" applyFill="1" applyBorder="1" applyAlignment="1">
      <alignment horizontal="right" vertical="center"/>
    </xf>
    <xf numFmtId="2" fontId="28" fillId="5" borderId="0" xfId="10" applyNumberFormat="1" applyFont="1" applyFill="1" applyBorder="1" applyAlignment="1">
      <alignment horizontal="right" vertical="center"/>
    </xf>
    <xf numFmtId="0" fontId="24" fillId="5" borderId="0" xfId="7" applyFont="1" applyFill="1" applyBorder="1"/>
    <xf numFmtId="2" fontId="28" fillId="5" borderId="0" xfId="10" applyNumberFormat="1" applyFont="1" applyFill="1" applyBorder="1" applyAlignment="1">
      <alignment vertical="center"/>
    </xf>
    <xf numFmtId="0" fontId="24" fillId="5" borderId="0" xfId="7" applyFont="1" applyFill="1" applyAlignment="1">
      <alignment vertical="center"/>
    </xf>
    <xf numFmtId="2" fontId="24" fillId="5" borderId="0" xfId="10" applyNumberFormat="1" applyFont="1" applyFill="1" applyAlignment="1">
      <alignment vertical="center"/>
    </xf>
    <xf numFmtId="0" fontId="29" fillId="0" borderId="0" xfId="7" applyFont="1" applyFill="1" applyAlignment="1">
      <alignment vertical="center"/>
    </xf>
    <xf numFmtId="0" fontId="29" fillId="5" borderId="0" xfId="7" applyFont="1" applyFill="1" applyAlignment="1">
      <alignment vertical="center"/>
    </xf>
    <xf numFmtId="0" fontId="31" fillId="6" borderId="0" xfId="0" applyFont="1" applyFill="1" applyAlignment="1">
      <alignment horizontal="right" vertical="center"/>
    </xf>
    <xf numFmtId="0" fontId="24" fillId="0" borderId="0" xfId="0" applyFont="1"/>
    <xf numFmtId="0" fontId="26" fillId="6" borderId="0" xfId="0" applyFont="1" applyFill="1" applyAlignment="1">
      <alignment horizontal="left" vertical="top"/>
    </xf>
    <xf numFmtId="0" fontId="31" fillId="6" borderId="0" xfId="0" applyFont="1" applyFill="1" applyAlignment="1">
      <alignment horizontal="center" vertical="top"/>
    </xf>
    <xf numFmtId="0" fontId="31" fillId="6" borderId="0" xfId="0" applyFont="1" applyFill="1" applyAlignment="1">
      <alignment horizontal="left" vertical="top"/>
    </xf>
    <xf numFmtId="0" fontId="26" fillId="6" borderId="24" xfId="0" applyFont="1" applyFill="1" applyBorder="1" applyAlignment="1">
      <alignment horizontal="left" vertical="top"/>
    </xf>
    <xf numFmtId="0" fontId="26" fillId="6" borderId="24" xfId="0" applyFont="1" applyFill="1" applyBorder="1" applyAlignment="1">
      <alignment horizontal="right" vertical="top"/>
    </xf>
    <xf numFmtId="0" fontId="31" fillId="3" borderId="25" xfId="0" applyFont="1" applyFill="1" applyBorder="1" applyAlignment="1">
      <alignment horizontal="center" vertical="center" wrapText="1"/>
    </xf>
    <xf numFmtId="0" fontId="31" fillId="3" borderId="26" xfId="0" applyFont="1" applyFill="1" applyBorder="1" applyAlignment="1">
      <alignment horizontal="center" vertical="center" wrapText="1"/>
    </xf>
    <xf numFmtId="0" fontId="31" fillId="3" borderId="27" xfId="0" applyFont="1" applyFill="1" applyBorder="1" applyAlignment="1">
      <alignment horizontal="center" vertical="center" wrapText="1"/>
    </xf>
    <xf numFmtId="0" fontId="26" fillId="6" borderId="28" xfId="0" applyFont="1" applyFill="1" applyBorder="1" applyAlignment="1">
      <alignment horizontal="center" vertical="center"/>
    </xf>
    <xf numFmtId="0" fontId="26" fillId="6" borderId="6" xfId="0" applyFont="1" applyFill="1" applyBorder="1" applyAlignment="1">
      <alignment horizontal="left" vertical="center" wrapText="1"/>
    </xf>
    <xf numFmtId="0" fontId="26" fillId="6" borderId="6" xfId="0" applyFont="1" applyFill="1" applyBorder="1" applyAlignment="1">
      <alignment horizontal="center" vertical="center"/>
    </xf>
    <xf numFmtId="171" fontId="31" fillId="6" borderId="6" xfId="2" applyNumberFormat="1" applyFont="1" applyFill="1" applyBorder="1" applyAlignment="1">
      <alignment horizontal="right" vertical="center"/>
    </xf>
    <xf numFmtId="164" fontId="26" fillId="6" borderId="29" xfId="0" applyNumberFormat="1" applyFont="1" applyFill="1" applyBorder="1" applyAlignment="1">
      <alignment horizontal="right" vertical="center"/>
    </xf>
    <xf numFmtId="171" fontId="26" fillId="6" borderId="6" xfId="2" applyNumberFormat="1" applyFont="1" applyFill="1" applyBorder="1" applyAlignment="1">
      <alignment horizontal="right" vertical="center"/>
    </xf>
    <xf numFmtId="171" fontId="24" fillId="0" borderId="0" xfId="0" applyNumberFormat="1" applyFont="1"/>
    <xf numFmtId="171" fontId="34" fillId="6" borderId="6" xfId="2" applyNumberFormat="1" applyFont="1" applyFill="1" applyBorder="1" applyAlignment="1">
      <alignment horizontal="right" vertical="center"/>
    </xf>
    <xf numFmtId="0" fontId="31" fillId="6" borderId="28" xfId="0" applyFont="1" applyFill="1" applyBorder="1" applyAlignment="1">
      <alignment horizontal="center" vertical="center"/>
    </xf>
    <xf numFmtId="0" fontId="31" fillId="6" borderId="6" xfId="0" applyFont="1" applyFill="1" applyBorder="1" applyAlignment="1">
      <alignment horizontal="left" vertical="center" wrapText="1"/>
    </xf>
    <xf numFmtId="0" fontId="31" fillId="6" borderId="6" xfId="0" applyFont="1" applyFill="1" applyBorder="1" applyAlignment="1">
      <alignment horizontal="center" vertical="center"/>
    </xf>
    <xf numFmtId="164" fontId="31" fillId="6" borderId="29" xfId="0" applyNumberFormat="1" applyFont="1" applyFill="1" applyBorder="1" applyAlignment="1">
      <alignment horizontal="right" vertical="center"/>
    </xf>
    <xf numFmtId="0" fontId="27" fillId="0" borderId="0" xfId="0" applyFont="1"/>
    <xf numFmtId="171" fontId="26" fillId="0" borderId="6" xfId="2" applyNumberFormat="1" applyFont="1" applyFill="1" applyBorder="1" applyAlignment="1">
      <alignment horizontal="right" vertical="center"/>
    </xf>
    <xf numFmtId="164" fontId="26" fillId="0" borderId="29" xfId="0" applyNumberFormat="1" applyFont="1" applyFill="1" applyBorder="1" applyAlignment="1">
      <alignment horizontal="right" vertical="center"/>
    </xf>
    <xf numFmtId="171" fontId="34" fillId="0" borderId="6" xfId="2" applyNumberFormat="1" applyFont="1" applyFill="1" applyBorder="1" applyAlignment="1">
      <alignment horizontal="right" vertical="center"/>
    </xf>
    <xf numFmtId="0" fontId="26" fillId="6" borderId="30" xfId="0" applyFont="1" applyFill="1" applyBorder="1" applyAlignment="1">
      <alignment horizontal="center" vertical="center"/>
    </xf>
    <xf numFmtId="0" fontId="26" fillId="6" borderId="31" xfId="0" applyFont="1" applyFill="1" applyBorder="1" applyAlignment="1">
      <alignment horizontal="left" vertical="center" wrapText="1"/>
    </xf>
    <xf numFmtId="0" fontId="26" fillId="6" borderId="31" xfId="0" applyFont="1" applyFill="1" applyBorder="1" applyAlignment="1">
      <alignment horizontal="center" vertical="center"/>
    </xf>
    <xf numFmtId="43" fontId="26" fillId="6" borderId="31" xfId="2" applyFont="1" applyFill="1" applyBorder="1" applyAlignment="1">
      <alignment horizontal="right" vertical="center"/>
    </xf>
    <xf numFmtId="164" fontId="26" fillId="6" borderId="32" xfId="0" applyNumberFormat="1" applyFont="1" applyFill="1" applyBorder="1" applyAlignment="1">
      <alignment horizontal="right" vertical="center"/>
    </xf>
    <xf numFmtId="0" fontId="34" fillId="6" borderId="0" xfId="0" applyFont="1" applyFill="1" applyAlignment="1">
      <alignment horizontal="center"/>
    </xf>
    <xf numFmtId="0" fontId="24" fillId="0" borderId="0" xfId="0" applyFont="1" applyAlignment="1">
      <alignment vertical="top"/>
    </xf>
    <xf numFmtId="0" fontId="31" fillId="6" borderId="0" xfId="0" applyFont="1" applyFill="1" applyAlignment="1">
      <alignment horizontal="center" vertical="center"/>
    </xf>
    <xf numFmtId="0" fontId="24" fillId="0" borderId="0" xfId="0" applyFont="1" applyAlignment="1">
      <alignment vertical="center"/>
    </xf>
    <xf numFmtId="165" fontId="31" fillId="6" borderId="28" xfId="0" applyNumberFormat="1" applyFont="1" applyFill="1" applyBorder="1" applyAlignment="1">
      <alignment horizontal="center" vertical="center"/>
    </xf>
    <xf numFmtId="165" fontId="31" fillId="6" borderId="6" xfId="0" applyNumberFormat="1" applyFont="1" applyFill="1" applyBorder="1" applyAlignment="1">
      <alignment horizontal="left" vertical="center" wrapText="1"/>
    </xf>
    <xf numFmtId="165" fontId="31" fillId="6" borderId="6" xfId="0" applyNumberFormat="1" applyFont="1" applyFill="1" applyBorder="1" applyAlignment="1">
      <alignment horizontal="center" vertical="center"/>
    </xf>
    <xf numFmtId="171" fontId="31" fillId="6" borderId="29" xfId="2" applyNumberFormat="1" applyFont="1" applyFill="1" applyBorder="1" applyAlignment="1">
      <alignment horizontal="right" vertical="center"/>
    </xf>
    <xf numFmtId="171" fontId="24" fillId="0" borderId="0" xfId="0" applyNumberFormat="1" applyFont="1" applyAlignment="1">
      <alignment vertical="center"/>
    </xf>
    <xf numFmtId="165" fontId="26" fillId="6" borderId="28" xfId="0" applyNumberFormat="1" applyFont="1" applyFill="1" applyBorder="1" applyAlignment="1">
      <alignment horizontal="center" vertical="center"/>
    </xf>
    <xf numFmtId="165" fontId="26" fillId="6" borderId="6" xfId="0" applyNumberFormat="1" applyFont="1" applyFill="1" applyBorder="1" applyAlignment="1">
      <alignment horizontal="left" vertical="center" wrapText="1"/>
    </xf>
    <xf numFmtId="165" fontId="26" fillId="6" borderId="6" xfId="0" applyNumberFormat="1" applyFont="1" applyFill="1" applyBorder="1" applyAlignment="1">
      <alignment horizontal="center" vertical="center"/>
    </xf>
    <xf numFmtId="171" fontId="26" fillId="6" borderId="29" xfId="2" applyNumberFormat="1" applyFont="1" applyFill="1" applyBorder="1" applyAlignment="1">
      <alignment horizontal="right" vertical="center"/>
    </xf>
    <xf numFmtId="165" fontId="34" fillId="6" borderId="28" xfId="0" applyNumberFormat="1" applyFont="1" applyFill="1" applyBorder="1" applyAlignment="1">
      <alignment horizontal="center" vertical="center"/>
    </xf>
    <xf numFmtId="165" fontId="34" fillId="6" borderId="6" xfId="0" applyNumberFormat="1" applyFont="1" applyFill="1" applyBorder="1" applyAlignment="1">
      <alignment horizontal="left" vertical="center" wrapText="1"/>
    </xf>
    <xf numFmtId="165" fontId="34" fillId="6" borderId="6" xfId="0" applyNumberFormat="1" applyFont="1" applyFill="1" applyBorder="1" applyAlignment="1">
      <alignment horizontal="center" vertical="center"/>
    </xf>
    <xf numFmtId="171" fontId="34" fillId="6" borderId="29" xfId="2" applyNumberFormat="1" applyFont="1" applyFill="1" applyBorder="1" applyAlignment="1">
      <alignment horizontal="right" vertical="center"/>
    </xf>
    <xf numFmtId="165" fontId="26" fillId="6" borderId="30" xfId="0" applyNumberFormat="1" applyFont="1" applyFill="1" applyBorder="1" applyAlignment="1">
      <alignment horizontal="center" vertical="center"/>
    </xf>
    <xf numFmtId="165" fontId="26" fillId="6" borderId="31" xfId="0" applyNumberFormat="1" applyFont="1" applyFill="1" applyBorder="1" applyAlignment="1">
      <alignment horizontal="left" vertical="center" wrapText="1"/>
    </xf>
    <xf numFmtId="165" fontId="26" fillId="6" borderId="31" xfId="0" applyNumberFormat="1" applyFont="1" applyFill="1" applyBorder="1" applyAlignment="1">
      <alignment horizontal="center" vertical="center"/>
    </xf>
    <xf numFmtId="171" fontId="26" fillId="6" borderId="31" xfId="2" applyNumberFormat="1" applyFont="1" applyFill="1" applyBorder="1" applyAlignment="1">
      <alignment horizontal="right" vertical="center"/>
    </xf>
    <xf numFmtId="171" fontId="26" fillId="6" borderId="32" xfId="2" applyNumberFormat="1" applyFont="1" applyFill="1" applyBorder="1" applyAlignment="1">
      <alignment horizontal="right" vertical="center"/>
    </xf>
    <xf numFmtId="0" fontId="26" fillId="6" borderId="0" xfId="0" applyFont="1" applyFill="1" applyAlignment="1">
      <alignment horizontal="left" vertical="center"/>
    </xf>
    <xf numFmtId="0" fontId="31" fillId="6" borderId="0" xfId="0" applyFont="1" applyFill="1" applyAlignment="1">
      <alignment horizontal="left" vertical="center"/>
    </xf>
    <xf numFmtId="0" fontId="34" fillId="6" borderId="0" xfId="0" applyFont="1" applyFill="1" applyAlignment="1">
      <alignment horizontal="right" vertical="center"/>
    </xf>
    <xf numFmtId="0" fontId="26" fillId="6" borderId="24" xfId="0" applyFont="1" applyFill="1" applyBorder="1" applyAlignment="1">
      <alignment horizontal="left" vertical="center"/>
    </xf>
    <xf numFmtId="0" fontId="26" fillId="6" borderId="24" xfId="0" applyFont="1" applyFill="1" applyBorder="1" applyAlignment="1">
      <alignment horizontal="right" vertical="center"/>
    </xf>
    <xf numFmtId="4" fontId="26" fillId="6" borderId="6" xfId="0" applyNumberFormat="1" applyFont="1" applyFill="1" applyBorder="1" applyAlignment="1">
      <alignment horizontal="right" vertical="center"/>
    </xf>
    <xf numFmtId="165" fontId="26" fillId="6" borderId="6" xfId="0" applyNumberFormat="1" applyFont="1" applyFill="1" applyBorder="1" applyAlignment="1">
      <alignment horizontal="right" vertical="center"/>
    </xf>
    <xf numFmtId="165" fontId="24" fillId="0" borderId="0" xfId="0" applyNumberFormat="1" applyFont="1" applyAlignment="1">
      <alignment vertical="center"/>
    </xf>
    <xf numFmtId="0" fontId="31" fillId="3" borderId="33" xfId="0" applyFont="1" applyFill="1" applyBorder="1" applyAlignment="1">
      <alignment horizontal="center" vertical="center" wrapText="1"/>
    </xf>
    <xf numFmtId="0" fontId="31" fillId="3" borderId="34" xfId="0" applyFont="1" applyFill="1" applyBorder="1" applyAlignment="1">
      <alignment horizontal="center" vertical="center" wrapText="1"/>
    </xf>
    <xf numFmtId="0" fontId="31" fillId="3" borderId="35" xfId="0" applyFont="1" applyFill="1" applyBorder="1" applyAlignment="1">
      <alignment horizontal="center" vertical="center" wrapText="1"/>
    </xf>
    <xf numFmtId="0" fontId="34" fillId="6" borderId="24" xfId="0" applyFont="1" applyFill="1" applyBorder="1" applyAlignment="1">
      <alignment horizontal="right" vertical="center"/>
    </xf>
    <xf numFmtId="3" fontId="31" fillId="6" borderId="6" xfId="0" applyNumberFormat="1" applyFont="1" applyFill="1" applyBorder="1" applyAlignment="1">
      <alignment horizontal="right" vertical="center"/>
    </xf>
    <xf numFmtId="3" fontId="31" fillId="6" borderId="29" xfId="0" applyNumberFormat="1" applyFont="1" applyFill="1" applyBorder="1" applyAlignment="1">
      <alignment horizontal="right" vertical="center"/>
    </xf>
    <xf numFmtId="164" fontId="26" fillId="6" borderId="6" xfId="0" applyNumberFormat="1" applyFont="1" applyFill="1" applyBorder="1" applyAlignment="1">
      <alignment horizontal="right" vertical="center"/>
    </xf>
    <xf numFmtId="10" fontId="24" fillId="0" borderId="0" xfId="0" applyNumberFormat="1" applyFont="1" applyAlignment="1">
      <alignment vertical="center"/>
    </xf>
    <xf numFmtId="171" fontId="26" fillId="6" borderId="6" xfId="2" applyNumberFormat="1" applyFont="1" applyFill="1" applyBorder="1" applyAlignment="1" applyProtection="1">
      <alignment horizontal="right" vertical="center"/>
    </xf>
    <xf numFmtId="171" fontId="26" fillId="6" borderId="29" xfId="2" applyNumberFormat="1" applyFont="1" applyFill="1" applyBorder="1" applyAlignment="1" applyProtection="1">
      <alignment horizontal="right" vertical="center"/>
    </xf>
    <xf numFmtId="4" fontId="26" fillId="0" borderId="6" xfId="0" applyNumberFormat="1" applyFont="1" applyFill="1" applyBorder="1" applyAlignment="1">
      <alignment horizontal="right" vertical="center"/>
    </xf>
    <xf numFmtId="4" fontId="26" fillId="0" borderId="29" xfId="0" applyNumberFormat="1" applyFont="1" applyFill="1" applyBorder="1" applyAlignment="1">
      <alignment horizontal="right" vertical="center"/>
    </xf>
    <xf numFmtId="3" fontId="26" fillId="0" borderId="6" xfId="0" applyNumberFormat="1" applyFont="1" applyFill="1" applyBorder="1" applyAlignment="1">
      <alignment horizontal="right" vertical="center"/>
    </xf>
    <xf numFmtId="3" fontId="26" fillId="0" borderId="29" xfId="0" applyNumberFormat="1" applyFont="1" applyFill="1" applyBorder="1" applyAlignment="1">
      <alignment horizontal="right" vertical="center"/>
    </xf>
    <xf numFmtId="3" fontId="26" fillId="0" borderId="32" xfId="0" applyNumberFormat="1" applyFont="1" applyFill="1" applyBorder="1" applyAlignment="1">
      <alignment horizontal="right" vertical="center"/>
    </xf>
    <xf numFmtId="0" fontId="26" fillId="0" borderId="0" xfId="0" applyFont="1" applyAlignment="1">
      <alignment horizontal="left" vertical="center"/>
    </xf>
    <xf numFmtId="0" fontId="34" fillId="6" borderId="0" xfId="0" applyFont="1" applyFill="1" applyAlignment="1">
      <alignment horizontal="center" vertical="center"/>
    </xf>
    <xf numFmtId="43" fontId="24" fillId="0" borderId="0" xfId="2" applyFont="1"/>
    <xf numFmtId="43" fontId="12" fillId="0" borderId="0" xfId="2" applyFont="1"/>
    <xf numFmtId="0" fontId="12" fillId="0" borderId="0" xfId="0" applyFont="1"/>
    <xf numFmtId="43" fontId="24" fillId="0" borderId="0" xfId="2" applyFont="1" applyAlignment="1">
      <alignment horizontal="center" vertical="center"/>
    </xf>
    <xf numFmtId="0" fontId="24" fillId="0" borderId="0" xfId="0" applyFont="1" applyAlignment="1">
      <alignment horizontal="center" vertical="center"/>
    </xf>
    <xf numFmtId="0" fontId="31" fillId="3" borderId="10" xfId="0" applyNumberFormat="1" applyFont="1" applyFill="1" applyBorder="1" applyAlignment="1" applyProtection="1">
      <alignment horizontal="center" vertical="center" wrapText="1"/>
    </xf>
    <xf numFmtId="0" fontId="31" fillId="3" borderId="40" xfId="0" applyNumberFormat="1" applyFont="1" applyFill="1" applyBorder="1" applyAlignment="1" applyProtection="1">
      <alignment horizontal="center" vertical="center" wrapText="1"/>
    </xf>
    <xf numFmtId="0" fontId="31" fillId="6" borderId="28" xfId="0" applyFont="1" applyFill="1" applyBorder="1" applyAlignment="1">
      <alignment horizontal="left" vertical="center" wrapText="1"/>
    </xf>
    <xf numFmtId="0" fontId="31" fillId="6" borderId="6" xfId="0" applyFont="1" applyFill="1" applyBorder="1" applyAlignment="1">
      <alignment horizontal="center" vertical="center" wrapText="1"/>
    </xf>
    <xf numFmtId="43" fontId="24" fillId="0" borderId="0" xfId="2" applyFont="1" applyAlignment="1">
      <alignment vertical="center"/>
    </xf>
    <xf numFmtId="0" fontId="26" fillId="6" borderId="28" xfId="0" applyFont="1" applyFill="1" applyBorder="1" applyAlignment="1">
      <alignment horizontal="left" vertical="center" wrapText="1"/>
    </xf>
    <xf numFmtId="0" fontId="26" fillId="6" borderId="6" xfId="0" applyFont="1" applyFill="1" applyBorder="1" applyAlignment="1">
      <alignment horizontal="center" vertical="center" wrapText="1"/>
    </xf>
    <xf numFmtId="0" fontId="34" fillId="6" borderId="28" xfId="0" applyFont="1" applyFill="1" applyBorder="1" applyAlignment="1">
      <alignment horizontal="left" vertical="center" wrapText="1"/>
    </xf>
    <xf numFmtId="0" fontId="34" fillId="6" borderId="6" xfId="0" applyFont="1" applyFill="1" applyBorder="1" applyAlignment="1">
      <alignment horizontal="center" vertical="center" wrapText="1"/>
    </xf>
    <xf numFmtId="0" fontId="34" fillId="6" borderId="6" xfId="0" applyFont="1" applyFill="1" applyBorder="1" applyAlignment="1">
      <alignment horizontal="center" vertical="center"/>
    </xf>
    <xf numFmtId="0" fontId="31" fillId="6" borderId="30" xfId="0" applyFont="1" applyFill="1" applyBorder="1" applyAlignment="1">
      <alignment horizontal="left" vertical="center" wrapText="1"/>
    </xf>
    <xf numFmtId="0" fontId="31" fillId="6" borderId="31" xfId="0" applyFont="1" applyFill="1" applyBorder="1" applyAlignment="1">
      <alignment horizontal="center" vertical="center" wrapText="1"/>
    </xf>
    <xf numFmtId="0" fontId="31" fillId="6" borderId="31" xfId="0" applyFont="1" applyFill="1" applyBorder="1" applyAlignment="1">
      <alignment horizontal="center" vertical="center"/>
    </xf>
    <xf numFmtId="171" fontId="31" fillId="6" borderId="31" xfId="2" applyNumberFormat="1" applyFont="1" applyFill="1" applyBorder="1" applyAlignment="1">
      <alignment horizontal="right" vertical="center"/>
    </xf>
    <xf numFmtId="171" fontId="31" fillId="6" borderId="32" xfId="2" applyNumberFormat="1" applyFont="1" applyFill="1" applyBorder="1" applyAlignment="1">
      <alignment horizontal="right" vertical="center"/>
    </xf>
    <xf numFmtId="0" fontId="34" fillId="6" borderId="0" xfId="0" applyFont="1" applyFill="1" applyAlignment="1">
      <alignment horizontal="center" vertical="top"/>
    </xf>
    <xf numFmtId="0" fontId="24" fillId="0" borderId="0" xfId="0" applyFont="1" applyAlignment="1">
      <alignment wrapText="1"/>
    </xf>
    <xf numFmtId="0" fontId="34" fillId="6" borderId="0" xfId="0" applyFont="1" applyFill="1" applyAlignment="1">
      <alignment horizontal="right" vertical="top"/>
    </xf>
    <xf numFmtId="14" fontId="31" fillId="3" borderId="26" xfId="0" applyNumberFormat="1" applyFont="1" applyFill="1" applyBorder="1" applyAlignment="1">
      <alignment horizontal="center" vertical="center" wrapText="1"/>
    </xf>
    <xf numFmtId="167" fontId="31" fillId="6" borderId="28" xfId="0" applyNumberFormat="1" applyFont="1" applyFill="1" applyBorder="1" applyAlignment="1">
      <alignment horizontal="center" vertical="top"/>
    </xf>
    <xf numFmtId="167" fontId="31" fillId="6" borderId="6" xfId="0" applyNumberFormat="1" applyFont="1" applyFill="1" applyBorder="1" applyAlignment="1">
      <alignment horizontal="left" vertical="top" wrapText="1"/>
    </xf>
    <xf numFmtId="167" fontId="31" fillId="6" borderId="6" xfId="0" applyNumberFormat="1" applyFont="1" applyFill="1" applyBorder="1" applyAlignment="1">
      <alignment horizontal="center" vertical="top"/>
    </xf>
    <xf numFmtId="167" fontId="31" fillId="6" borderId="6" xfId="0" applyNumberFormat="1" applyFont="1" applyFill="1" applyBorder="1" applyAlignment="1">
      <alignment horizontal="right" vertical="top"/>
    </xf>
    <xf numFmtId="167" fontId="31" fillId="6" borderId="29" xfId="0" applyNumberFormat="1" applyFont="1" applyFill="1" applyBorder="1" applyAlignment="1">
      <alignment horizontal="right" vertical="top"/>
    </xf>
    <xf numFmtId="171" fontId="31" fillId="6" borderId="6" xfId="2" applyNumberFormat="1" applyFont="1" applyFill="1" applyBorder="1" applyAlignment="1">
      <alignment horizontal="right" vertical="top"/>
    </xf>
    <xf numFmtId="171" fontId="31" fillId="6" borderId="29" xfId="2" applyNumberFormat="1" applyFont="1" applyFill="1" applyBorder="1" applyAlignment="1">
      <alignment horizontal="right" vertical="top"/>
    </xf>
    <xf numFmtId="167" fontId="26" fillId="6" borderId="28" xfId="0" applyNumberFormat="1" applyFont="1" applyFill="1" applyBorder="1" applyAlignment="1">
      <alignment horizontal="center" vertical="top"/>
    </xf>
    <xf numFmtId="167" fontId="26" fillId="6" borderId="6" xfId="0" applyNumberFormat="1" applyFont="1" applyFill="1" applyBorder="1" applyAlignment="1">
      <alignment horizontal="left" vertical="top" wrapText="1"/>
    </xf>
    <xf numFmtId="167" fontId="26" fillId="6" borderId="6" xfId="0" applyNumberFormat="1" applyFont="1" applyFill="1" applyBorder="1" applyAlignment="1">
      <alignment horizontal="center" vertical="top"/>
    </xf>
    <xf numFmtId="171" fontId="26" fillId="6" borderId="6" xfId="2" applyNumberFormat="1" applyFont="1" applyFill="1" applyBorder="1" applyAlignment="1">
      <alignment horizontal="right" vertical="top"/>
    </xf>
    <xf numFmtId="171" fontId="26" fillId="6" borderId="29" xfId="2" applyNumberFormat="1" applyFont="1" applyFill="1" applyBorder="1" applyAlignment="1">
      <alignment horizontal="right" vertical="top"/>
    </xf>
    <xf numFmtId="167" fontId="34" fillId="6" borderId="28" xfId="0" applyNumberFormat="1" applyFont="1" applyFill="1" applyBorder="1" applyAlignment="1">
      <alignment horizontal="center" vertical="top"/>
    </xf>
    <xf numFmtId="167" fontId="34" fillId="6" borderId="6" xfId="0" applyNumberFormat="1" applyFont="1" applyFill="1" applyBorder="1" applyAlignment="1">
      <alignment horizontal="left" vertical="top" wrapText="1"/>
    </xf>
    <xf numFmtId="167" fontId="34" fillId="6" borderId="6" xfId="0" applyNumberFormat="1" applyFont="1" applyFill="1" applyBorder="1" applyAlignment="1">
      <alignment horizontal="center" vertical="top"/>
    </xf>
    <xf numFmtId="171" fontId="34" fillId="6" borderId="6" xfId="2" applyNumberFormat="1" applyFont="1" applyFill="1" applyBorder="1" applyAlignment="1">
      <alignment horizontal="right" vertical="top"/>
    </xf>
    <xf numFmtId="171" fontId="34" fillId="6" borderId="29" xfId="2" applyNumberFormat="1" applyFont="1" applyFill="1" applyBorder="1" applyAlignment="1">
      <alignment horizontal="right" vertical="top"/>
    </xf>
    <xf numFmtId="4" fontId="31" fillId="6" borderId="28" xfId="0" applyNumberFormat="1" applyFont="1" applyFill="1" applyBorder="1" applyAlignment="1">
      <alignment horizontal="center" vertical="top"/>
    </xf>
    <xf numFmtId="4" fontId="31" fillId="6" borderId="6" xfId="0" applyNumberFormat="1" applyFont="1" applyFill="1" applyBorder="1" applyAlignment="1">
      <alignment horizontal="left" vertical="top" wrapText="1"/>
    </xf>
    <xf numFmtId="4" fontId="31" fillId="6" borderId="6" xfId="0" applyNumberFormat="1" applyFont="1" applyFill="1" applyBorder="1" applyAlignment="1">
      <alignment horizontal="center" vertical="top"/>
    </xf>
    <xf numFmtId="171" fontId="26" fillId="6" borderId="6" xfId="2" applyNumberFormat="1" applyFont="1" applyFill="1" applyBorder="1" applyAlignment="1" applyProtection="1">
      <alignment horizontal="right" vertical="top"/>
    </xf>
    <xf numFmtId="171" fontId="26" fillId="6" borderId="29" xfId="2" applyNumberFormat="1" applyFont="1" applyFill="1" applyBorder="1" applyAlignment="1" applyProtection="1">
      <alignment horizontal="right" vertical="top"/>
    </xf>
    <xf numFmtId="43" fontId="31" fillId="6" borderId="6" xfId="2" applyFont="1" applyFill="1" applyBorder="1" applyAlignment="1">
      <alignment horizontal="right" vertical="top"/>
    </xf>
    <xf numFmtId="43" fontId="31" fillId="6" borderId="29" xfId="2" applyFont="1" applyFill="1" applyBorder="1" applyAlignment="1">
      <alignment horizontal="right" vertical="top"/>
    </xf>
    <xf numFmtId="167" fontId="26" fillId="6" borderId="30" xfId="0" applyNumberFormat="1" applyFont="1" applyFill="1" applyBorder="1" applyAlignment="1">
      <alignment horizontal="center" vertical="top"/>
    </xf>
    <xf numFmtId="167" fontId="26" fillId="6" borderId="31" xfId="0" applyNumberFormat="1" applyFont="1" applyFill="1" applyBorder="1" applyAlignment="1">
      <alignment horizontal="left" vertical="top" wrapText="1"/>
    </xf>
    <xf numFmtId="49" fontId="26" fillId="6" borderId="31" xfId="0" applyNumberFormat="1" applyFont="1" applyFill="1" applyBorder="1" applyAlignment="1">
      <alignment horizontal="center" vertical="top"/>
    </xf>
    <xf numFmtId="171" fontId="26" fillId="6" borderId="31" xfId="2" applyNumberFormat="1" applyFont="1" applyFill="1" applyBorder="1" applyAlignment="1">
      <alignment horizontal="right" vertical="top"/>
    </xf>
    <xf numFmtId="171" fontId="26" fillId="6" borderId="32" xfId="2" applyNumberFormat="1" applyFont="1" applyFill="1" applyBorder="1" applyAlignment="1">
      <alignment horizontal="right" vertical="top"/>
    </xf>
    <xf numFmtId="167" fontId="26" fillId="6" borderId="0" xfId="0" applyNumberFormat="1" applyFont="1" applyFill="1" applyBorder="1" applyAlignment="1">
      <alignment horizontal="center" vertical="top"/>
    </xf>
    <xf numFmtId="167" fontId="26" fillId="6" borderId="0" xfId="0" applyNumberFormat="1" applyFont="1" applyFill="1" applyBorder="1" applyAlignment="1">
      <alignment horizontal="left" vertical="top" wrapText="1"/>
    </xf>
    <xf numFmtId="49" fontId="26" fillId="6" borderId="0" xfId="0" applyNumberFormat="1" applyFont="1" applyFill="1" applyBorder="1" applyAlignment="1">
      <alignment horizontal="center" vertical="top"/>
    </xf>
    <xf numFmtId="171" fontId="26" fillId="6" borderId="0" xfId="2" applyNumberFormat="1" applyFont="1" applyFill="1" applyBorder="1" applyAlignment="1">
      <alignment horizontal="right" vertical="top"/>
    </xf>
    <xf numFmtId="0" fontId="31" fillId="6" borderId="0" xfId="0" applyFont="1" applyFill="1" applyAlignment="1">
      <alignment horizontal="center" vertical="top" wrapText="1"/>
    </xf>
    <xf numFmtId="0" fontId="31" fillId="6" borderId="0" xfId="0" applyFont="1" applyFill="1" applyAlignment="1">
      <alignment vertical="center" wrapText="1"/>
    </xf>
    <xf numFmtId="165" fontId="31" fillId="6" borderId="28" xfId="0" applyNumberFormat="1" applyFont="1" applyFill="1" applyBorder="1" applyAlignment="1">
      <alignment horizontal="center" vertical="top"/>
    </xf>
    <xf numFmtId="165" fontId="31" fillId="6" borderId="6" xfId="0" applyNumberFormat="1" applyFont="1" applyFill="1" applyBorder="1" applyAlignment="1">
      <alignment horizontal="left" vertical="top" wrapText="1"/>
    </xf>
    <xf numFmtId="165" fontId="31" fillId="6" borderId="6" xfId="0" applyNumberFormat="1" applyFont="1" applyFill="1" applyBorder="1" applyAlignment="1">
      <alignment horizontal="center" vertical="top"/>
    </xf>
    <xf numFmtId="165" fontId="26" fillId="6" borderId="28" xfId="0" applyNumberFormat="1" applyFont="1" applyFill="1" applyBorder="1" applyAlignment="1">
      <alignment horizontal="center" vertical="top"/>
    </xf>
    <xf numFmtId="165" fontId="26" fillId="6" borderId="6" xfId="0" applyNumberFormat="1" applyFont="1" applyFill="1" applyBorder="1" applyAlignment="1">
      <alignment horizontal="left" vertical="top" wrapText="1"/>
    </xf>
    <xf numFmtId="165" fontId="26" fillId="6" borderId="6" xfId="0" applyNumberFormat="1" applyFont="1" applyFill="1" applyBorder="1" applyAlignment="1">
      <alignment horizontal="center" vertical="top"/>
    </xf>
    <xf numFmtId="4" fontId="31" fillId="6" borderId="30" xfId="0" applyNumberFormat="1" applyFont="1" applyFill="1" applyBorder="1" applyAlignment="1">
      <alignment horizontal="center" vertical="top"/>
    </xf>
    <xf numFmtId="4" fontId="31" fillId="6" borderId="31" xfId="0" applyNumberFormat="1" applyFont="1" applyFill="1" applyBorder="1" applyAlignment="1">
      <alignment horizontal="left" vertical="top" wrapText="1"/>
    </xf>
    <xf numFmtId="4" fontId="31" fillId="6" borderId="31" xfId="0" applyNumberFormat="1" applyFont="1" applyFill="1" applyBorder="1" applyAlignment="1">
      <alignment horizontal="center" vertical="top"/>
    </xf>
    <xf numFmtId="43" fontId="31" fillId="6" borderId="31" xfId="2" applyFont="1" applyFill="1" applyBorder="1" applyAlignment="1">
      <alignment horizontal="right" vertical="top"/>
    </xf>
    <xf numFmtId="43" fontId="31" fillId="6" borderId="32" xfId="2" applyFont="1" applyFill="1" applyBorder="1" applyAlignment="1">
      <alignment horizontal="right" vertical="top"/>
    </xf>
    <xf numFmtId="4" fontId="24" fillId="0" borderId="0" xfId="0" applyNumberFormat="1" applyFont="1"/>
    <xf numFmtId="0" fontId="24" fillId="0" borderId="0" xfId="0" applyFont="1" applyAlignment="1">
      <alignment vertical="top" wrapText="1"/>
    </xf>
    <xf numFmtId="0" fontId="26" fillId="6" borderId="0" xfId="0" applyFont="1" applyFill="1" applyAlignment="1">
      <alignment horizontal="center" vertical="top"/>
    </xf>
    <xf numFmtId="0" fontId="7" fillId="2" borderId="0" xfId="3" applyFont="1" applyFill="1" applyAlignment="1">
      <alignment horizontal="left" vertical="center"/>
    </xf>
    <xf numFmtId="0" fontId="7" fillId="0" borderId="0" xfId="3" applyFont="1">
      <alignment vertical="center"/>
    </xf>
    <xf numFmtId="0" fontId="7" fillId="2" borderId="1" xfId="3" applyFont="1" applyFill="1" applyBorder="1" applyAlignment="1">
      <alignment horizontal="left" vertical="center"/>
    </xf>
    <xf numFmtId="0" fontId="4" fillId="3" borderId="3"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4" fillId="2" borderId="6" xfId="3" applyFont="1" applyFill="1" applyBorder="1" applyAlignment="1">
      <alignment horizontal="center" vertical="center"/>
    </xf>
    <xf numFmtId="171" fontId="4" fillId="2" borderId="6" xfId="2" applyNumberFormat="1" applyFont="1" applyFill="1" applyBorder="1" applyAlignment="1" applyProtection="1">
      <alignment horizontal="right" vertical="center"/>
    </xf>
    <xf numFmtId="171" fontId="4" fillId="2" borderId="7" xfId="2" applyNumberFormat="1" applyFont="1" applyFill="1" applyBorder="1" applyAlignment="1" applyProtection="1">
      <alignment horizontal="right" vertical="center"/>
    </xf>
    <xf numFmtId="171" fontId="7" fillId="0" borderId="0" xfId="3" applyNumberFormat="1" applyFont="1">
      <alignment vertical="center"/>
    </xf>
    <xf numFmtId="0" fontId="7" fillId="2" borderId="6" xfId="3" applyFont="1" applyFill="1" applyBorder="1" applyAlignment="1">
      <alignment horizontal="center" vertical="center"/>
    </xf>
    <xf numFmtId="171" fontId="7" fillId="2" borderId="6" xfId="2" applyNumberFormat="1" applyFont="1" applyFill="1" applyBorder="1" applyAlignment="1" applyProtection="1">
      <alignment horizontal="right" vertical="center"/>
    </xf>
    <xf numFmtId="171" fontId="7" fillId="2" borderId="7" xfId="2" applyNumberFormat="1" applyFont="1" applyFill="1" applyBorder="1" applyAlignment="1" applyProtection="1">
      <alignment horizontal="right" vertical="center"/>
    </xf>
    <xf numFmtId="0" fontId="10" fillId="2" borderId="6" xfId="3" applyFont="1" applyFill="1" applyBorder="1" applyAlignment="1">
      <alignment horizontal="center" vertical="center"/>
    </xf>
    <xf numFmtId="171" fontId="10" fillId="2" borderId="6" xfId="2" applyNumberFormat="1" applyFont="1" applyFill="1" applyBorder="1" applyAlignment="1" applyProtection="1">
      <alignment horizontal="right" vertical="center"/>
    </xf>
    <xf numFmtId="171" fontId="10" fillId="2" borderId="7" xfId="2" applyNumberFormat="1" applyFont="1" applyFill="1" applyBorder="1" applyAlignment="1" applyProtection="1">
      <alignment horizontal="right" vertical="center"/>
    </xf>
    <xf numFmtId="0" fontId="4" fillId="0" borderId="0" xfId="3" applyFont="1">
      <alignment vertical="center"/>
    </xf>
    <xf numFmtId="0" fontId="8" fillId="2" borderId="6" xfId="3" applyFont="1" applyFill="1" applyBorder="1" applyAlignment="1">
      <alignment horizontal="center" vertical="center"/>
    </xf>
    <xf numFmtId="171" fontId="8" fillId="2" borderId="6" xfId="2" applyNumberFormat="1" applyFont="1" applyFill="1" applyBorder="1" applyAlignment="1" applyProtection="1">
      <alignment horizontal="right" vertical="center"/>
    </xf>
    <xf numFmtId="171" fontId="8" fillId="2" borderId="7" xfId="2" applyNumberFormat="1" applyFont="1" applyFill="1" applyBorder="1" applyAlignment="1" applyProtection="1">
      <alignment horizontal="right" vertical="center"/>
    </xf>
    <xf numFmtId="171" fontId="8" fillId="0" borderId="0" xfId="3" applyNumberFormat="1" applyFont="1">
      <alignment vertical="center"/>
    </xf>
    <xf numFmtId="0" fontId="8" fillId="0" borderId="0" xfId="3" applyFont="1">
      <alignment vertical="center"/>
    </xf>
    <xf numFmtId="0" fontId="7" fillId="2" borderId="8" xfId="3" applyFont="1" applyFill="1" applyBorder="1" applyAlignment="1">
      <alignment horizontal="center" vertical="center"/>
    </xf>
    <xf numFmtId="171" fontId="7" fillId="2" borderId="8" xfId="2" applyNumberFormat="1" applyFont="1" applyFill="1" applyBorder="1" applyAlignment="1" applyProtection="1">
      <alignment horizontal="right" vertical="center"/>
    </xf>
    <xf numFmtId="171" fontId="7" fillId="2" borderId="9" xfId="2" applyNumberFormat="1" applyFont="1" applyFill="1" applyBorder="1" applyAlignment="1" applyProtection="1">
      <alignment horizontal="right" vertical="center"/>
    </xf>
    <xf numFmtId="0" fontId="7" fillId="2" borderId="0" xfId="3" applyFont="1" applyFill="1" applyAlignment="1">
      <alignment horizontal="left" vertical="center" wrapText="1"/>
    </xf>
    <xf numFmtId="0" fontId="7" fillId="2" borderId="0" xfId="3" applyFont="1" applyFill="1" applyAlignment="1">
      <alignment horizontal="center" vertical="center"/>
    </xf>
    <xf numFmtId="171" fontId="7" fillId="2" borderId="0" xfId="2" applyNumberFormat="1" applyFont="1" applyFill="1" applyBorder="1" applyAlignment="1" applyProtection="1">
      <alignment horizontal="right" vertical="center"/>
    </xf>
    <xf numFmtId="0" fontId="4" fillId="2" borderId="0" xfId="3" applyFont="1" applyFill="1" applyAlignment="1">
      <alignment horizontal="center" vertical="center"/>
    </xf>
    <xf numFmtId="0" fontId="7" fillId="2" borderId="0" xfId="3" applyFont="1" applyFill="1" applyAlignment="1">
      <alignment horizontal="center" vertical="top"/>
    </xf>
    <xf numFmtId="0" fontId="7" fillId="0" borderId="0" xfId="3" applyFont="1" applyAlignment="1">
      <alignment vertical="top"/>
    </xf>
    <xf numFmtId="0" fontId="8" fillId="2" borderId="0" xfId="3" applyFont="1" applyFill="1" applyAlignment="1">
      <alignment vertical="center"/>
    </xf>
    <xf numFmtId="0" fontId="7" fillId="2" borderId="0" xfId="3" applyFont="1" applyFill="1" applyAlignment="1">
      <alignment vertical="center"/>
    </xf>
    <xf numFmtId="0" fontId="8" fillId="2" borderId="0" xfId="3" applyFont="1" applyFill="1">
      <alignment vertical="center"/>
    </xf>
    <xf numFmtId="0" fontId="4" fillId="2" borderId="0" xfId="3" applyFont="1" applyFill="1" applyAlignment="1">
      <alignment horizontal="center"/>
    </xf>
    <xf numFmtId="0" fontId="7" fillId="0" borderId="0" xfId="3" applyFont="1" applyAlignment="1">
      <alignment horizontal="center" vertical="center"/>
    </xf>
    <xf numFmtId="171" fontId="7" fillId="0" borderId="0" xfId="2" applyNumberFormat="1" applyFont="1" applyAlignment="1">
      <alignment vertical="center"/>
    </xf>
    <xf numFmtId="0" fontId="26" fillId="6" borderId="0" xfId="0" applyFont="1" applyFill="1" applyAlignment="1">
      <alignment horizontal="left" vertical="center"/>
    </xf>
    <xf numFmtId="164" fontId="28" fillId="0" borderId="6" xfId="0" applyNumberFormat="1" applyFont="1" applyFill="1" applyBorder="1" applyAlignment="1">
      <alignment horizontal="right" vertical="center"/>
    </xf>
    <xf numFmtId="3" fontId="26" fillId="0" borderId="31" xfId="0" applyNumberFormat="1" applyFont="1" applyFill="1" applyBorder="1" applyAlignment="1">
      <alignment horizontal="right" vertical="center"/>
    </xf>
    <xf numFmtId="0" fontId="12" fillId="5" borderId="17" xfId="0" applyFont="1" applyFill="1" applyBorder="1" applyAlignment="1">
      <alignment horizontal="left" vertical="center" wrapText="1"/>
    </xf>
    <xf numFmtId="0" fontId="12" fillId="5" borderId="0" xfId="0" applyFont="1" applyFill="1" applyBorder="1" applyAlignment="1">
      <alignment horizontal="left" vertical="center" wrapText="1"/>
    </xf>
    <xf numFmtId="0" fontId="11" fillId="4" borderId="0" xfId="0" applyFont="1" applyFill="1" applyBorder="1" applyAlignment="1">
      <alignment horizontal="left"/>
    </xf>
    <xf numFmtId="0" fontId="12" fillId="5" borderId="11" xfId="0" applyFont="1" applyFill="1" applyBorder="1" applyAlignment="1">
      <alignment horizontal="left" wrapText="1"/>
    </xf>
    <xf numFmtId="0" fontId="12" fillId="5" borderId="12" xfId="0" applyFont="1" applyFill="1" applyBorder="1" applyAlignment="1">
      <alignment horizontal="left" wrapText="1"/>
    </xf>
    <xf numFmtId="0" fontId="12" fillId="5" borderId="13" xfId="0" applyFont="1" applyFill="1" applyBorder="1" applyAlignment="1">
      <alignment horizontal="left" wrapText="1"/>
    </xf>
    <xf numFmtId="0" fontId="12" fillId="5" borderId="14" xfId="0" applyFont="1" applyFill="1" applyBorder="1" applyAlignment="1">
      <alignment horizontal="left" wrapText="1"/>
    </xf>
    <xf numFmtId="0" fontId="12" fillId="5" borderId="15" xfId="0" applyFont="1" applyFill="1" applyBorder="1" applyAlignment="1">
      <alignment horizontal="left" wrapText="1"/>
    </xf>
    <xf numFmtId="0" fontId="12" fillId="5" borderId="16" xfId="0" applyFont="1" applyFill="1" applyBorder="1" applyAlignment="1">
      <alignment horizontal="left" wrapText="1"/>
    </xf>
    <xf numFmtId="0" fontId="11" fillId="4" borderId="0" xfId="0" applyFont="1" applyFill="1" applyAlignment="1">
      <alignment horizontal="left"/>
    </xf>
    <xf numFmtId="0" fontId="11" fillId="5" borderId="11"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11" fillId="5" borderId="17" xfId="0" applyFont="1" applyFill="1" applyBorder="1" applyAlignment="1">
      <alignment horizontal="left" vertical="center" wrapText="1"/>
    </xf>
    <xf numFmtId="0" fontId="11" fillId="5" borderId="0" xfId="0" applyFont="1" applyFill="1" applyBorder="1" applyAlignment="1">
      <alignment horizontal="left" vertical="center" wrapText="1"/>
    </xf>
    <xf numFmtId="168" fontId="15" fillId="2" borderId="15" xfId="4" applyNumberFormat="1" applyFont="1" applyFill="1" applyBorder="1" applyAlignment="1" applyProtection="1">
      <alignment horizontal="left" vertical="top"/>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3" xfId="0" applyFont="1" applyFill="1" applyBorder="1" applyAlignment="1">
      <alignment horizontal="center" vertical="center"/>
    </xf>
    <xf numFmtId="0" fontId="18" fillId="5" borderId="17"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8" xfId="5" applyFont="1" applyFill="1" applyBorder="1" applyAlignment="1">
      <alignment horizontal="center" vertical="center"/>
    </xf>
    <xf numFmtId="0" fontId="12" fillId="5" borderId="14" xfId="0" applyFont="1" applyFill="1" applyBorder="1" applyAlignment="1">
      <alignment horizontal="left"/>
    </xf>
    <xf numFmtId="0" fontId="12" fillId="5" borderId="15" xfId="0" applyFont="1" applyFill="1" applyBorder="1" applyAlignment="1">
      <alignment horizontal="left"/>
    </xf>
    <xf numFmtId="0" fontId="12" fillId="4" borderId="19" xfId="0" applyFont="1" applyFill="1" applyBorder="1" applyAlignment="1">
      <alignment horizontal="left" vertical="center"/>
    </xf>
    <xf numFmtId="0" fontId="19" fillId="5" borderId="17"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18" xfId="5" applyFont="1" applyFill="1" applyBorder="1" applyAlignment="1">
      <alignment horizontal="center" vertical="center"/>
    </xf>
    <xf numFmtId="0" fontId="20" fillId="5" borderId="17" xfId="5" applyFont="1" applyFill="1" applyBorder="1" applyAlignment="1">
      <alignment horizontal="center" vertical="center"/>
    </xf>
    <xf numFmtId="0" fontId="20" fillId="5" borderId="0" xfId="5" applyFont="1" applyFill="1" applyBorder="1" applyAlignment="1">
      <alignment horizontal="center" vertical="center"/>
    </xf>
    <xf numFmtId="0" fontId="20" fillId="5" borderId="18" xfId="5" applyFont="1" applyFill="1" applyBorder="1" applyAlignment="1">
      <alignment horizontal="center" vertical="center"/>
    </xf>
    <xf numFmtId="0" fontId="20" fillId="5" borderId="14" xfId="5" applyFont="1" applyFill="1" applyBorder="1" applyAlignment="1">
      <alignment horizontal="center" vertical="center"/>
    </xf>
    <xf numFmtId="0" fontId="20" fillId="5" borderId="15" xfId="5" applyFont="1" applyFill="1" applyBorder="1" applyAlignment="1">
      <alignment horizontal="center" vertical="center"/>
    </xf>
    <xf numFmtId="0" fontId="20" fillId="5" borderId="16" xfId="5" applyFont="1" applyFill="1" applyBorder="1" applyAlignment="1">
      <alignment horizontal="center" vertical="center"/>
    </xf>
    <xf numFmtId="0" fontId="11" fillId="4" borderId="19" xfId="0" applyFont="1" applyFill="1" applyBorder="1" applyAlignment="1">
      <alignment horizontal="left" vertical="center"/>
    </xf>
    <xf numFmtId="0" fontId="11" fillId="4" borderId="19" xfId="0" applyFont="1" applyFill="1" applyBorder="1" applyAlignment="1">
      <alignment horizontal="left" wrapText="1"/>
    </xf>
    <xf numFmtId="0" fontId="31" fillId="6" borderId="0" xfId="0" applyFont="1" applyFill="1" applyAlignment="1">
      <alignment horizontal="left" vertical="top"/>
    </xf>
    <xf numFmtId="0" fontId="26" fillId="6" borderId="0" xfId="0" applyFont="1" applyFill="1" applyAlignment="1">
      <alignment horizontal="left" vertical="top"/>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3" fillId="6" borderId="0" xfId="0" applyFont="1" applyFill="1" applyAlignment="1">
      <alignment horizontal="center" vertical="center" wrapText="1"/>
    </xf>
    <xf numFmtId="0" fontId="26" fillId="0" borderId="0" xfId="0" applyFont="1" applyFill="1" applyAlignment="1">
      <alignment horizontal="center" vertical="top"/>
    </xf>
    <xf numFmtId="166" fontId="27"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1" fillId="6" borderId="0" xfId="0" applyFont="1" applyFill="1" applyAlignment="1">
      <alignment horizontal="left" vertical="top" wrapText="1"/>
    </xf>
    <xf numFmtId="0" fontId="26" fillId="6" borderId="24" xfId="0" applyFont="1" applyFill="1" applyBorder="1" applyAlignment="1">
      <alignment horizontal="right" vertical="top"/>
    </xf>
    <xf numFmtId="0" fontId="26" fillId="6" borderId="0" xfId="0" applyFont="1" applyFill="1" applyAlignment="1">
      <alignment horizontal="left" vertical="center" wrapText="1"/>
    </xf>
    <xf numFmtId="0" fontId="31" fillId="6" borderId="0" xfId="0" applyFont="1" applyFill="1" applyAlignment="1">
      <alignment horizontal="center" vertical="top"/>
    </xf>
    <xf numFmtId="0" fontId="26" fillId="6" borderId="0" xfId="0" applyFont="1" applyFill="1" applyAlignment="1">
      <alignment horizontal="center" vertical="top"/>
    </xf>
    <xf numFmtId="0" fontId="26" fillId="6" borderId="0" xfId="0" applyFont="1" applyFill="1" applyAlignment="1">
      <alignment horizontal="center" vertical="center"/>
    </xf>
    <xf numFmtId="0" fontId="26" fillId="6" borderId="0" xfId="0" applyFont="1" applyFill="1" applyAlignment="1">
      <alignment horizontal="left" vertical="center"/>
    </xf>
    <xf numFmtId="0" fontId="31" fillId="6" borderId="0" xfId="0" applyFont="1" applyFill="1" applyAlignment="1">
      <alignment horizontal="left" vertical="center"/>
    </xf>
    <xf numFmtId="0" fontId="31" fillId="6" borderId="0" xfId="0" applyFont="1" applyFill="1" applyAlignment="1">
      <alignment horizontal="center" vertical="center"/>
    </xf>
    <xf numFmtId="0" fontId="31" fillId="6" borderId="0" xfId="0" applyFont="1" applyFill="1" applyAlignment="1">
      <alignment horizontal="left" vertical="center" wrapText="1"/>
    </xf>
    <xf numFmtId="0" fontId="26" fillId="6" borderId="24" xfId="0" applyFont="1" applyFill="1" applyBorder="1" applyAlignment="1">
      <alignment horizontal="right" vertical="center"/>
    </xf>
    <xf numFmtId="0" fontId="34" fillId="6" borderId="0" xfId="0" applyFont="1" applyFill="1" applyAlignment="1">
      <alignment horizontal="left" vertical="center"/>
    </xf>
    <xf numFmtId="0" fontId="34" fillId="6" borderId="0" xfId="0" applyFont="1" applyFill="1" applyAlignment="1">
      <alignment horizontal="left" vertical="center" wrapText="1"/>
    </xf>
    <xf numFmtId="0" fontId="24" fillId="5" borderId="0" xfId="7" applyFont="1" applyFill="1" applyAlignment="1">
      <alignment horizontal="left"/>
    </xf>
    <xf numFmtId="0" fontId="10"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10" fillId="5" borderId="0" xfId="7" applyNumberFormat="1" applyFont="1" applyFill="1" applyAlignment="1">
      <alignment horizontal="center" vertical="center" wrapText="1"/>
    </xf>
    <xf numFmtId="0" fontId="10" fillId="5" borderId="0" xfId="7" applyFont="1" applyFill="1" applyAlignment="1">
      <alignment horizontal="center" vertical="center"/>
    </xf>
    <xf numFmtId="0" fontId="27" fillId="7" borderId="20" xfId="7" applyFont="1" applyFill="1" applyBorder="1" applyAlignment="1">
      <alignment horizontal="center" vertical="center" wrapText="1"/>
    </xf>
    <xf numFmtId="0" fontId="27" fillId="7" borderId="23" xfId="7" applyFont="1" applyFill="1" applyBorder="1" applyAlignment="1">
      <alignment horizontal="center" vertical="center" wrapText="1"/>
    </xf>
    <xf numFmtId="0" fontId="27" fillId="7" borderId="21" xfId="7" applyFont="1" applyFill="1" applyBorder="1" applyAlignment="1">
      <alignment horizontal="center" vertical="center" wrapText="1"/>
    </xf>
    <xf numFmtId="0" fontId="27" fillId="7" borderId="22" xfId="7" applyFont="1" applyFill="1" applyBorder="1" applyAlignment="1">
      <alignment horizontal="center" vertical="center" wrapText="1"/>
    </xf>
    <xf numFmtId="0" fontId="24" fillId="0" borderId="11" xfId="7" applyFont="1" applyBorder="1" applyAlignment="1">
      <alignment horizontal="center" vertical="center" wrapText="1"/>
    </xf>
    <xf numFmtId="0" fontId="24" fillId="0" borderId="12" xfId="7" applyFont="1" applyBorder="1" applyAlignment="1">
      <alignment horizontal="center" vertical="center" wrapText="1"/>
    </xf>
    <xf numFmtId="0" fontId="24" fillId="0" borderId="13" xfId="7" applyFont="1" applyBorder="1" applyAlignment="1">
      <alignment horizontal="center" vertical="center" wrapText="1"/>
    </xf>
    <xf numFmtId="0" fontId="24" fillId="0" borderId="17" xfId="7" applyFont="1" applyBorder="1" applyAlignment="1">
      <alignment horizontal="center" vertical="center" wrapText="1"/>
    </xf>
    <xf numFmtId="0" fontId="24" fillId="0" borderId="0" xfId="7" applyFont="1" applyBorder="1" applyAlignment="1">
      <alignment horizontal="center" vertical="center" wrapText="1"/>
    </xf>
    <xf numFmtId="0" fontId="24" fillId="0" borderId="18" xfId="7" applyFont="1" applyBorder="1" applyAlignment="1">
      <alignment horizontal="center" vertical="center" wrapText="1"/>
    </xf>
    <xf numFmtId="0" fontId="24" fillId="0" borderId="14" xfId="7" applyFont="1" applyBorder="1" applyAlignment="1">
      <alignment horizontal="center" vertical="center" wrapText="1"/>
    </xf>
    <xf numFmtId="0" fontId="24" fillId="0" borderId="15" xfId="7" applyFont="1" applyBorder="1" applyAlignment="1">
      <alignment horizontal="center" vertical="center" wrapText="1"/>
    </xf>
    <xf numFmtId="0" fontId="24" fillId="0" borderId="16" xfId="7" applyFont="1" applyBorder="1" applyAlignment="1">
      <alignment horizontal="center" vertical="center" wrapText="1"/>
    </xf>
    <xf numFmtId="0" fontId="29" fillId="5" borderId="0" xfId="10" applyFont="1" applyFill="1" applyAlignment="1">
      <alignment horizontal="center" vertical="center"/>
    </xf>
    <xf numFmtId="173" fontId="29" fillId="5" borderId="0" xfId="10" applyNumberFormat="1" applyFont="1" applyFill="1" applyAlignment="1">
      <alignment horizontal="center" vertical="center"/>
    </xf>
    <xf numFmtId="0" fontId="29" fillId="7" borderId="20" xfId="7" applyFont="1" applyFill="1" applyBorder="1" applyAlignment="1" applyProtection="1">
      <alignment horizontal="center" vertical="center" wrapText="1"/>
    </xf>
    <xf numFmtId="0" fontId="29" fillId="7" borderId="23" xfId="7" applyFont="1" applyFill="1" applyBorder="1" applyAlignment="1" applyProtection="1">
      <alignment horizontal="center" vertical="center" wrapText="1"/>
    </xf>
    <xf numFmtId="0" fontId="29"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9" fillId="5" borderId="0" xfId="8" applyNumberFormat="1" applyFont="1" applyFill="1" applyBorder="1" applyAlignment="1">
      <alignment horizontal="center" vertical="center"/>
    </xf>
    <xf numFmtId="0" fontId="29" fillId="5" borderId="12" xfId="10" applyFont="1" applyFill="1" applyBorder="1" applyAlignment="1">
      <alignment horizontal="center" vertical="center"/>
    </xf>
    <xf numFmtId="0" fontId="34" fillId="6" borderId="0" xfId="0" applyFont="1" applyFill="1" applyAlignment="1">
      <alignment horizontal="right" vertical="center"/>
    </xf>
    <xf numFmtId="0" fontId="31" fillId="3" borderId="26" xfId="0" applyFont="1" applyFill="1" applyBorder="1" applyAlignment="1">
      <alignment horizontal="center" vertical="center" wrapText="1"/>
    </xf>
    <xf numFmtId="0" fontId="26" fillId="6" borderId="6" xfId="0" applyFont="1" applyFill="1" applyBorder="1" applyAlignment="1">
      <alignment horizontal="left" vertical="center" wrapText="1"/>
    </xf>
    <xf numFmtId="0" fontId="26" fillId="6" borderId="36" xfId="0" applyFont="1" applyFill="1" applyBorder="1" applyAlignment="1">
      <alignment horizontal="left" vertical="center" wrapText="1"/>
    </xf>
    <xf numFmtId="0" fontId="26" fillId="6" borderId="37" xfId="0" applyFont="1" applyFill="1" applyBorder="1" applyAlignment="1">
      <alignment horizontal="left" vertical="center" wrapText="1"/>
    </xf>
    <xf numFmtId="0" fontId="26" fillId="6" borderId="38" xfId="0" applyFont="1" applyFill="1" applyBorder="1" applyAlignment="1">
      <alignment horizontal="left" vertical="center" wrapText="1"/>
    </xf>
    <xf numFmtId="0" fontId="26" fillId="6" borderId="31" xfId="0" applyFont="1" applyFill="1" applyBorder="1" applyAlignment="1">
      <alignment horizontal="left" vertical="center" wrapText="1"/>
    </xf>
    <xf numFmtId="0" fontId="34" fillId="6" borderId="0" xfId="0" applyFont="1" applyFill="1" applyAlignment="1">
      <alignment horizontal="center" vertical="top" wrapText="1"/>
    </xf>
    <xf numFmtId="0" fontId="33" fillId="6" borderId="0" xfId="0" applyFont="1" applyFill="1" applyAlignment="1">
      <alignment horizontal="center" vertical="center"/>
    </xf>
    <xf numFmtId="0" fontId="33" fillId="6" borderId="0" xfId="0" applyFont="1" applyFill="1" applyAlignment="1">
      <alignment horizontal="center" vertical="top"/>
    </xf>
    <xf numFmtId="0" fontId="31" fillId="3" borderId="25" xfId="0" applyFont="1" applyFill="1" applyBorder="1" applyAlignment="1">
      <alignment horizontal="center" vertical="center" wrapText="1"/>
    </xf>
    <xf numFmtId="0" fontId="31" fillId="3" borderId="39" xfId="0" applyFont="1" applyFill="1" applyBorder="1" applyAlignment="1">
      <alignment horizontal="center" vertical="center" wrapText="1"/>
    </xf>
    <xf numFmtId="0" fontId="31" fillId="3" borderId="10" xfId="0" applyFont="1" applyFill="1" applyBorder="1" applyAlignment="1">
      <alignment horizontal="center" vertical="center" wrapText="1"/>
    </xf>
    <xf numFmtId="0" fontId="31" fillId="3" borderId="26" xfId="0" applyNumberFormat="1" applyFont="1" applyFill="1" applyBorder="1" applyAlignment="1" applyProtection="1">
      <alignment horizontal="center" vertical="center" wrapText="1"/>
    </xf>
    <xf numFmtId="0" fontId="31" fillId="3" borderId="27" xfId="0" applyNumberFormat="1" applyFont="1" applyFill="1" applyBorder="1" applyAlignment="1" applyProtection="1">
      <alignment horizontal="center" vertical="center" wrapText="1"/>
    </xf>
    <xf numFmtId="0" fontId="34" fillId="6" borderId="0" xfId="0" applyFont="1" applyFill="1" applyAlignment="1">
      <alignment horizontal="center" vertical="center"/>
    </xf>
    <xf numFmtId="0" fontId="34" fillId="6" borderId="0" xfId="0" applyFont="1" applyFill="1" applyAlignment="1">
      <alignment horizontal="center"/>
    </xf>
    <xf numFmtId="0" fontId="26" fillId="6" borderId="24" xfId="0" applyFont="1" applyFill="1" applyBorder="1" applyAlignment="1">
      <alignment horizontal="left" vertical="top"/>
    </xf>
    <xf numFmtId="0" fontId="31" fillId="6" borderId="0" xfId="0" applyFont="1" applyFill="1" applyAlignment="1">
      <alignment horizontal="center" wrapText="1"/>
    </xf>
    <xf numFmtId="0" fontId="31" fillId="6" borderId="0" xfId="0" applyFont="1" applyFill="1" applyAlignment="1">
      <alignment horizontal="center" vertical="top" wrapText="1"/>
    </xf>
    <xf numFmtId="0" fontId="26" fillId="6" borderId="0" xfId="0" applyFont="1" applyFill="1" applyAlignment="1">
      <alignment horizontal="center" vertical="top" wrapText="1"/>
    </xf>
    <xf numFmtId="0" fontId="35" fillId="6" borderId="0" xfId="0" applyFont="1" applyFill="1" applyAlignment="1">
      <alignment horizontal="center" vertical="center" wrapText="1"/>
    </xf>
    <xf numFmtId="0" fontId="32" fillId="6" borderId="0" xfId="0" applyFont="1" applyFill="1" applyAlignment="1">
      <alignment horizontal="center" vertical="top" wrapText="1"/>
    </xf>
    <xf numFmtId="0" fontId="34" fillId="6" borderId="0" xfId="0" applyFont="1" applyFill="1" applyAlignment="1">
      <alignment horizontal="center" vertical="top"/>
    </xf>
    <xf numFmtId="0" fontId="7" fillId="2" borderId="0" xfId="3" applyFont="1" applyFill="1" applyAlignment="1">
      <alignment horizontal="left" vertical="center"/>
    </xf>
    <xf numFmtId="0" fontId="4" fillId="2" borderId="0" xfId="3" applyFont="1" applyFill="1" applyAlignment="1">
      <alignment horizontal="center" vertical="center" wrapText="1"/>
    </xf>
    <xf numFmtId="0" fontId="5" fillId="2" borderId="0" xfId="3" applyFont="1" applyFill="1" applyAlignment="1">
      <alignment horizontal="center" vertical="center" wrapText="1"/>
    </xf>
    <xf numFmtId="0" fontId="9" fillId="2" borderId="0" xfId="3" applyFont="1" applyFill="1" applyAlignment="1">
      <alignment horizontal="center" vertical="center" wrapText="1"/>
    </xf>
    <xf numFmtId="0" fontId="9" fillId="2" borderId="0" xfId="3" applyFont="1" applyFill="1" applyAlignment="1">
      <alignment horizontal="center" vertical="center"/>
    </xf>
    <xf numFmtId="0" fontId="7" fillId="2" borderId="0" xfId="3" applyFont="1" applyFill="1" applyAlignment="1">
      <alignment horizontal="center" vertical="center"/>
    </xf>
    <xf numFmtId="0" fontId="8" fillId="2" borderId="0" xfId="3" applyFont="1" applyFill="1" applyAlignment="1">
      <alignment horizontal="right" vertical="center"/>
    </xf>
    <xf numFmtId="0" fontId="4" fillId="2" borderId="0" xfId="3" applyFont="1" applyFill="1" applyAlignment="1">
      <alignment horizontal="left" vertical="center"/>
    </xf>
    <xf numFmtId="0" fontId="7" fillId="2" borderId="5" xfId="3" applyFont="1" applyFill="1" applyBorder="1" applyAlignment="1">
      <alignment horizontal="left" vertical="center" wrapText="1"/>
    </xf>
    <xf numFmtId="0" fontId="7" fillId="2" borderId="6" xfId="3" applyFont="1" applyFill="1" applyBorder="1" applyAlignment="1">
      <alignment horizontal="left" vertical="center" wrapText="1"/>
    </xf>
    <xf numFmtId="14" fontId="4" fillId="2" borderId="0" xfId="3" applyNumberFormat="1" applyFont="1" applyFill="1" applyAlignment="1">
      <alignment horizontal="left" vertical="center"/>
    </xf>
    <xf numFmtId="15" fontId="7" fillId="2" borderId="0" xfId="3" applyNumberFormat="1" applyFont="1" applyFill="1" applyAlignment="1">
      <alignment horizontal="left" vertical="center"/>
    </xf>
    <xf numFmtId="0" fontId="7" fillId="2" borderId="1" xfId="3" applyFont="1" applyFill="1" applyBorder="1" applyAlignment="1">
      <alignment horizontal="left" vertical="center"/>
    </xf>
    <xf numFmtId="0" fontId="7" fillId="2" borderId="1" xfId="3" applyFont="1" applyFill="1" applyBorder="1" applyAlignment="1">
      <alignment horizontal="right" vertical="center"/>
    </xf>
    <xf numFmtId="0" fontId="4" fillId="3" borderId="2"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2" borderId="5" xfId="3" applyFont="1" applyFill="1" applyBorder="1" applyAlignment="1">
      <alignment horizontal="left" vertical="center" wrapText="1"/>
    </xf>
    <xf numFmtId="0" fontId="4" fillId="2" borderId="6" xfId="3" applyFont="1" applyFill="1" applyBorder="1" applyAlignment="1">
      <alignment horizontal="left" vertical="center" wrapText="1"/>
    </xf>
    <xf numFmtId="0" fontId="10" fillId="2" borderId="5" xfId="3" applyFont="1" applyFill="1" applyBorder="1" applyAlignment="1">
      <alignment horizontal="left" vertical="center" wrapText="1"/>
    </xf>
    <xf numFmtId="0" fontId="10" fillId="2" borderId="6" xfId="3" applyFont="1" applyFill="1" applyBorder="1" applyAlignment="1">
      <alignment horizontal="left" vertical="center" wrapText="1"/>
    </xf>
    <xf numFmtId="0" fontId="8" fillId="2" borderId="5" xfId="3" applyFont="1" applyFill="1" applyBorder="1" applyAlignment="1">
      <alignment horizontal="left" vertical="center" wrapText="1"/>
    </xf>
    <xf numFmtId="0" fontId="8" fillId="2" borderId="6" xfId="3" applyFont="1" applyFill="1" applyBorder="1" applyAlignment="1">
      <alignment horizontal="left" vertical="center" wrapText="1"/>
    </xf>
    <xf numFmtId="0" fontId="7" fillId="2" borderId="41" xfId="3" applyFont="1" applyFill="1" applyBorder="1" applyAlignment="1">
      <alignment horizontal="left" vertical="center" wrapText="1"/>
    </xf>
    <xf numFmtId="0" fontId="7" fillId="2" borderId="42" xfId="3" applyFont="1" applyFill="1" applyBorder="1" applyAlignment="1">
      <alignment horizontal="left" vertical="center" wrapText="1"/>
    </xf>
    <xf numFmtId="0" fontId="7" fillId="2" borderId="0" xfId="3" applyFont="1" applyFill="1" applyAlignment="1">
      <alignment horizontal="center" vertical="top"/>
    </xf>
    <xf numFmtId="0" fontId="4" fillId="2" borderId="0" xfId="3" applyFont="1" applyFill="1" applyAlignment="1">
      <alignment horizontal="center"/>
    </xf>
    <xf numFmtId="0" fontId="4" fillId="2" borderId="0" xfId="3" applyFont="1" applyFill="1" applyAlignment="1">
      <alignment horizontal="center" vertical="center"/>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1647825</xdr:colOff>
      <xdr:row>0</xdr:row>
      <xdr:rowOff>247650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1771650</xdr:colOff>
      <xdr:row>0</xdr:row>
      <xdr:rowOff>247650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1743075</xdr:colOff>
      <xdr:row>0</xdr:row>
      <xdr:rowOff>247650</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923925</xdr:colOff>
      <xdr:row>0</xdr:row>
      <xdr:rowOff>247650</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2047875</xdr:colOff>
      <xdr:row>0</xdr:row>
      <xdr:rowOff>247650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1647825</xdr:colOff>
      <xdr:row>0</xdr:row>
      <xdr:rowOff>247650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1771650</xdr:colOff>
      <xdr:row>0</xdr:row>
      <xdr:rowOff>247650</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2066925</xdr:colOff>
      <xdr:row>0</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topLeftCell="A10" zoomScale="80" zoomScaleNormal="50" zoomScaleSheetLayoutView="80" workbookViewId="0">
      <selection activeCell="C4" sqref="C4"/>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274" t="s">
        <v>1049</v>
      </c>
      <c r="B1" s="274"/>
    </row>
    <row r="2" spans="1:10" ht="15.75" customHeight="1" x14ac:dyDescent="0.2">
      <c r="C2" s="275" t="s">
        <v>1050</v>
      </c>
      <c r="D2" s="276"/>
      <c r="E2" s="277"/>
    </row>
    <row r="3" spans="1:10" ht="15.75" customHeight="1" x14ac:dyDescent="0.2">
      <c r="A3" s="2"/>
      <c r="B3" s="2"/>
      <c r="C3" s="278" t="s">
        <v>1133</v>
      </c>
      <c r="D3" s="279"/>
      <c r="E3" s="280"/>
    </row>
    <row r="4" spans="1:10" x14ac:dyDescent="0.2">
      <c r="A4" s="2"/>
      <c r="B4" s="2"/>
    </row>
    <row r="5" spans="1:10" x14ac:dyDescent="0.2">
      <c r="A5" s="281" t="s">
        <v>1051</v>
      </c>
      <c r="B5" s="281"/>
    </row>
    <row r="6" spans="1:10" x14ac:dyDescent="0.2">
      <c r="A6" s="2"/>
      <c r="B6" s="2"/>
      <c r="C6" s="282" t="s">
        <v>9</v>
      </c>
      <c r="D6" s="283"/>
      <c r="E6" s="3" t="s">
        <v>1052</v>
      </c>
      <c r="F6" s="4"/>
      <c r="G6" s="4"/>
      <c r="H6" s="4"/>
      <c r="I6" s="5"/>
    </row>
    <row r="7" spans="1:10" x14ac:dyDescent="0.2">
      <c r="A7" s="2"/>
      <c r="B7" s="2"/>
      <c r="C7" s="272" t="s">
        <v>11</v>
      </c>
      <c r="D7" s="273"/>
      <c r="E7" s="6" t="s">
        <v>12</v>
      </c>
      <c r="F7" s="7"/>
      <c r="G7" s="7"/>
      <c r="H7" s="7"/>
      <c r="I7" s="8"/>
      <c r="J7" s="9"/>
    </row>
    <row r="8" spans="1:10" x14ac:dyDescent="0.2">
      <c r="A8" s="2"/>
      <c r="B8" s="2"/>
      <c r="C8" s="284" t="s">
        <v>382</v>
      </c>
      <c r="D8" s="285"/>
      <c r="E8" s="10" t="s">
        <v>1053</v>
      </c>
      <c r="F8" s="11"/>
      <c r="G8" s="11"/>
      <c r="H8" s="11"/>
      <c r="I8" s="12"/>
      <c r="J8" s="9"/>
    </row>
    <row r="9" spans="1:10" x14ac:dyDescent="0.2">
      <c r="A9" s="2"/>
      <c r="B9" s="2"/>
      <c r="C9" s="272" t="s">
        <v>1054</v>
      </c>
      <c r="D9" s="273"/>
      <c r="E9" s="6" t="s">
        <v>701</v>
      </c>
      <c r="F9" s="7"/>
      <c r="G9" s="7"/>
      <c r="H9" s="7"/>
      <c r="I9" s="8"/>
      <c r="J9" s="9"/>
    </row>
    <row r="10" spans="1:10" x14ac:dyDescent="0.2">
      <c r="A10" s="2"/>
      <c r="B10" s="2"/>
      <c r="C10" s="284" t="s">
        <v>4</v>
      </c>
      <c r="D10" s="285"/>
      <c r="E10" s="10" t="s">
        <v>1055</v>
      </c>
      <c r="F10" s="11"/>
      <c r="G10" s="11"/>
      <c r="H10" s="11"/>
      <c r="I10" s="12"/>
      <c r="J10" s="9"/>
    </row>
    <row r="11" spans="1:10" x14ac:dyDescent="0.2">
      <c r="A11" s="2"/>
      <c r="B11" s="2"/>
      <c r="C11" s="272" t="s">
        <v>1056</v>
      </c>
      <c r="D11" s="273"/>
      <c r="E11" s="6" t="s">
        <v>1057</v>
      </c>
      <c r="F11" s="7"/>
      <c r="G11" s="7"/>
      <c r="H11" s="7"/>
      <c r="I11" s="8"/>
      <c r="J11" s="9"/>
    </row>
    <row r="12" spans="1:10" x14ac:dyDescent="0.2">
      <c r="A12" s="2"/>
      <c r="B12" s="2"/>
      <c r="C12" s="284" t="s">
        <v>19</v>
      </c>
      <c r="D12" s="285"/>
      <c r="E12" s="13">
        <v>45300</v>
      </c>
      <c r="F12" s="11"/>
      <c r="G12" s="11"/>
      <c r="H12" s="11"/>
      <c r="I12" s="12"/>
      <c r="J12" s="9"/>
    </row>
    <row r="13" spans="1:10" x14ac:dyDescent="0.2">
      <c r="A13" s="2"/>
      <c r="B13" s="2"/>
      <c r="C13" s="293" t="s">
        <v>20</v>
      </c>
      <c r="D13" s="294"/>
      <c r="E13" s="286">
        <f>+E12</f>
        <v>45300</v>
      </c>
      <c r="F13" s="286"/>
      <c r="G13" s="286"/>
      <c r="H13" s="286"/>
      <c r="I13" s="14"/>
      <c r="J13" s="9"/>
    </row>
    <row r="14" spans="1:10" x14ac:dyDescent="0.2">
      <c r="D14" s="15"/>
    </row>
    <row r="15" spans="1:10" x14ac:dyDescent="0.2">
      <c r="A15" s="281" t="s">
        <v>1058</v>
      </c>
      <c r="B15" s="281"/>
    </row>
    <row r="16" spans="1:10" x14ac:dyDescent="0.2">
      <c r="C16" s="287" t="s">
        <v>220</v>
      </c>
      <c r="D16" s="288"/>
      <c r="E16" s="289"/>
      <c r="G16" s="287" t="s">
        <v>1059</v>
      </c>
      <c r="H16" s="288"/>
      <c r="I16" s="289"/>
    </row>
    <row r="17" spans="3:9" x14ac:dyDescent="0.2">
      <c r="C17" s="290" t="s">
        <v>222</v>
      </c>
      <c r="D17" s="291"/>
      <c r="E17" s="292"/>
      <c r="G17" s="290" t="s">
        <v>223</v>
      </c>
      <c r="H17" s="291"/>
      <c r="I17" s="292"/>
    </row>
    <row r="18" spans="3:9" x14ac:dyDescent="0.2">
      <c r="C18" s="290"/>
      <c r="D18" s="291"/>
      <c r="E18" s="292"/>
      <c r="G18" s="296"/>
      <c r="H18" s="297"/>
      <c r="I18" s="298"/>
    </row>
    <row r="19" spans="3:9" ht="27" customHeight="1" x14ac:dyDescent="0.2">
      <c r="C19" s="290"/>
      <c r="D19" s="291"/>
      <c r="E19" s="292"/>
      <c r="G19" s="296"/>
      <c r="H19" s="297"/>
      <c r="I19" s="298"/>
    </row>
    <row r="20" spans="3:9" x14ac:dyDescent="0.2">
      <c r="C20" s="290"/>
      <c r="D20" s="291"/>
      <c r="E20" s="292"/>
      <c r="G20" s="296"/>
      <c r="H20" s="297"/>
      <c r="I20" s="298"/>
    </row>
    <row r="21" spans="3:9" x14ac:dyDescent="0.2">
      <c r="C21" s="290"/>
      <c r="D21" s="291"/>
      <c r="E21" s="292"/>
      <c r="G21" s="296"/>
      <c r="H21" s="297"/>
      <c r="I21" s="298"/>
    </row>
    <row r="22" spans="3:9" x14ac:dyDescent="0.2">
      <c r="C22" s="290"/>
      <c r="D22" s="291"/>
      <c r="E22" s="292"/>
      <c r="G22" s="296"/>
      <c r="H22" s="297"/>
      <c r="I22" s="298"/>
    </row>
    <row r="23" spans="3:9" x14ac:dyDescent="0.2">
      <c r="C23" s="290"/>
      <c r="D23" s="291"/>
      <c r="E23" s="292"/>
      <c r="G23" s="296"/>
      <c r="H23" s="297"/>
      <c r="I23" s="298"/>
    </row>
    <row r="24" spans="3:9" x14ac:dyDescent="0.2">
      <c r="C24" s="299" t="s">
        <v>1053</v>
      </c>
      <c r="D24" s="300"/>
      <c r="E24" s="301"/>
      <c r="G24" s="299" t="s">
        <v>1052</v>
      </c>
      <c r="H24" s="300"/>
      <c r="I24" s="301"/>
    </row>
    <row r="25" spans="3:9" x14ac:dyDescent="0.2">
      <c r="C25" s="299" t="s">
        <v>226</v>
      </c>
      <c r="D25" s="300"/>
      <c r="E25" s="301"/>
      <c r="G25" s="299" t="s">
        <v>1060</v>
      </c>
      <c r="H25" s="300"/>
      <c r="I25" s="301"/>
    </row>
    <row r="26" spans="3:9" x14ac:dyDescent="0.2">
      <c r="C26" s="302" t="s">
        <v>1061</v>
      </c>
      <c r="D26" s="303"/>
      <c r="E26" s="304"/>
      <c r="G26" s="302" t="s">
        <v>1062</v>
      </c>
      <c r="H26" s="303"/>
      <c r="I26" s="304"/>
    </row>
    <row r="27" spans="3:9" x14ac:dyDescent="0.2">
      <c r="C27" s="16"/>
      <c r="D27" s="16"/>
      <c r="E27" s="16"/>
      <c r="G27" s="17"/>
      <c r="H27" s="17"/>
      <c r="I27" s="17"/>
    </row>
    <row r="28" spans="3:9" x14ac:dyDescent="0.2">
      <c r="C28" s="16"/>
      <c r="D28" s="16"/>
      <c r="E28" s="16"/>
      <c r="G28" s="17"/>
      <c r="H28" s="17"/>
      <c r="I28" s="17"/>
    </row>
    <row r="29" spans="3:9" x14ac:dyDescent="0.2">
      <c r="C29" s="18" t="s">
        <v>500</v>
      </c>
      <c r="D29" s="305" t="s">
        <v>1063</v>
      </c>
      <c r="E29" s="305"/>
      <c r="F29" s="305"/>
      <c r="G29" s="305"/>
      <c r="H29" s="19" t="s">
        <v>1064</v>
      </c>
      <c r="I29" s="17"/>
    </row>
    <row r="30" spans="3:9" x14ac:dyDescent="0.2">
      <c r="C30" s="18" t="s">
        <v>1065</v>
      </c>
      <c r="D30" s="305" t="s">
        <v>1066</v>
      </c>
      <c r="E30" s="305"/>
      <c r="F30" s="305"/>
      <c r="G30" s="305"/>
      <c r="H30" s="19"/>
      <c r="I30" s="17"/>
    </row>
    <row r="31" spans="3:9" x14ac:dyDescent="0.2">
      <c r="C31" s="20" t="s">
        <v>1067</v>
      </c>
      <c r="D31" s="295" t="s">
        <v>1068</v>
      </c>
      <c r="E31" s="295"/>
      <c r="F31" s="295"/>
      <c r="G31" s="295"/>
      <c r="H31" s="21" t="s">
        <v>1069</v>
      </c>
      <c r="I31" s="17"/>
    </row>
    <row r="32" spans="3:9" x14ac:dyDescent="0.2">
      <c r="C32" s="20" t="s">
        <v>1070</v>
      </c>
      <c r="D32" s="295" t="s">
        <v>1071</v>
      </c>
      <c r="E32" s="295"/>
      <c r="F32" s="295"/>
      <c r="G32" s="295"/>
      <c r="H32" s="21" t="s">
        <v>1072</v>
      </c>
      <c r="I32" s="17"/>
    </row>
    <row r="33" spans="3:9" x14ac:dyDescent="0.2">
      <c r="C33" s="20" t="s">
        <v>1073</v>
      </c>
      <c r="D33" s="295" t="s">
        <v>1074</v>
      </c>
      <c r="E33" s="295"/>
      <c r="F33" s="295"/>
      <c r="G33" s="295"/>
      <c r="H33" s="21" t="s">
        <v>1075</v>
      </c>
      <c r="I33" s="17"/>
    </row>
    <row r="34" spans="3:9" x14ac:dyDescent="0.2">
      <c r="C34" s="20" t="s">
        <v>1076</v>
      </c>
      <c r="D34" s="295" t="s">
        <v>1077</v>
      </c>
      <c r="E34" s="295"/>
      <c r="F34" s="295"/>
      <c r="G34" s="295"/>
      <c r="H34" s="21" t="s">
        <v>1078</v>
      </c>
      <c r="I34" s="17"/>
    </row>
    <row r="35" spans="3:9" x14ac:dyDescent="0.2">
      <c r="C35" s="20" t="s">
        <v>1079</v>
      </c>
      <c r="D35" s="295" t="s">
        <v>1080</v>
      </c>
      <c r="E35" s="295"/>
      <c r="F35" s="295"/>
      <c r="G35" s="295"/>
      <c r="H35" s="21" t="s">
        <v>1081</v>
      </c>
      <c r="I35" s="17"/>
    </row>
    <row r="36" spans="3:9" x14ac:dyDescent="0.2">
      <c r="C36" s="20" t="s">
        <v>1082</v>
      </c>
      <c r="D36" s="295" t="s">
        <v>1083</v>
      </c>
      <c r="E36" s="295"/>
      <c r="F36" s="295"/>
      <c r="G36" s="295"/>
      <c r="H36" s="22" t="s">
        <v>1084</v>
      </c>
      <c r="I36" s="17"/>
    </row>
    <row r="37" spans="3:9" x14ac:dyDescent="0.2">
      <c r="C37" s="20" t="s">
        <v>1085</v>
      </c>
      <c r="D37" s="295" t="s">
        <v>1086</v>
      </c>
      <c r="E37" s="295"/>
      <c r="F37" s="295"/>
      <c r="G37" s="295"/>
      <c r="H37" s="23" t="s">
        <v>1087</v>
      </c>
      <c r="I37" s="17"/>
    </row>
    <row r="38" spans="3:9" x14ac:dyDescent="0.2">
      <c r="C38" s="20" t="s">
        <v>1088</v>
      </c>
      <c r="D38" s="295" t="s">
        <v>1089</v>
      </c>
      <c r="E38" s="295"/>
      <c r="F38" s="295"/>
      <c r="G38" s="295"/>
      <c r="H38" s="23" t="s">
        <v>1087</v>
      </c>
      <c r="I38" s="17"/>
    </row>
    <row r="39" spans="3:9" x14ac:dyDescent="0.2">
      <c r="C39" s="18" t="s">
        <v>1090</v>
      </c>
      <c r="D39" s="306" t="s">
        <v>1091</v>
      </c>
      <c r="E39" s="306"/>
      <c r="F39" s="306"/>
      <c r="G39" s="306"/>
      <c r="H39" s="23" t="s">
        <v>1087</v>
      </c>
      <c r="I39" s="17"/>
    </row>
    <row r="40" spans="3:9" x14ac:dyDescent="0.2">
      <c r="C40" s="20">
        <v>6</v>
      </c>
      <c r="D40" s="295" t="s">
        <v>1092</v>
      </c>
      <c r="E40" s="295"/>
      <c r="F40" s="295"/>
      <c r="G40" s="295"/>
      <c r="H40" s="21" t="s">
        <v>1093</v>
      </c>
      <c r="I40" s="17"/>
    </row>
    <row r="41" spans="3:9" x14ac:dyDescent="0.2">
      <c r="C41" s="20">
        <v>7</v>
      </c>
      <c r="D41" s="295" t="s">
        <v>1094</v>
      </c>
      <c r="E41" s="295"/>
      <c r="F41" s="295"/>
      <c r="G41" s="295"/>
      <c r="H41" s="21" t="s">
        <v>1095</v>
      </c>
      <c r="I41" s="17"/>
    </row>
    <row r="42" spans="3:9" x14ac:dyDescent="0.2">
      <c r="C42" s="20">
        <v>8</v>
      </c>
      <c r="D42" s="295" t="s">
        <v>1096</v>
      </c>
      <c r="E42" s="295"/>
      <c r="F42" s="295"/>
      <c r="G42" s="295"/>
      <c r="H42" s="21" t="s">
        <v>1097</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topLeftCell="A100" zoomScaleNormal="100" zoomScaleSheetLayoutView="100" workbookViewId="0">
      <selection activeCell="C14" sqref="C14"/>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x14ac:dyDescent="0.15">
      <c r="A1" s="308"/>
      <c r="B1" s="308"/>
      <c r="C1" s="82"/>
      <c r="D1" s="309" t="s">
        <v>0</v>
      </c>
      <c r="E1" s="309"/>
      <c r="F1" s="309"/>
    </row>
    <row r="2" spans="1:6" ht="27.75" customHeight="1" x14ac:dyDescent="0.15">
      <c r="A2" s="310" t="s">
        <v>1</v>
      </c>
      <c r="B2" s="310"/>
      <c r="C2" s="310"/>
      <c r="D2" s="310"/>
      <c r="E2" s="310"/>
      <c r="F2" s="310"/>
    </row>
    <row r="3" spans="1:6" ht="7.5" customHeight="1" x14ac:dyDescent="0.15">
      <c r="A3" s="84"/>
      <c r="B3" s="84"/>
      <c r="C3" s="84"/>
      <c r="D3" s="84"/>
      <c r="E3" s="84"/>
      <c r="F3" s="84"/>
    </row>
    <row r="4" spans="1:6" ht="27" customHeight="1" x14ac:dyDescent="0.15">
      <c r="A4" s="311" t="s">
        <v>2</v>
      </c>
      <c r="B4" s="311"/>
      <c r="C4" s="311"/>
      <c r="D4" s="311"/>
      <c r="E4" s="311"/>
      <c r="F4" s="311"/>
    </row>
    <row r="5" spans="1:6" ht="18" customHeight="1" x14ac:dyDescent="0.15">
      <c r="A5" s="312" t="s">
        <v>1134</v>
      </c>
      <c r="B5" s="312"/>
      <c r="C5" s="312"/>
      <c r="D5" s="312"/>
      <c r="E5" s="312"/>
      <c r="F5" s="312"/>
    </row>
    <row r="6" spans="1:6" ht="12.75" customHeight="1" x14ac:dyDescent="0.15">
      <c r="A6" s="85" t="s">
        <v>3</v>
      </c>
      <c r="B6" s="86" t="s">
        <v>4</v>
      </c>
      <c r="C6" s="307" t="s">
        <v>5</v>
      </c>
      <c r="D6" s="307"/>
      <c r="E6" s="307"/>
      <c r="F6" s="307"/>
    </row>
    <row r="7" spans="1:6" ht="12.75" customHeight="1" x14ac:dyDescent="0.15">
      <c r="A7" s="84"/>
      <c r="B7" s="84" t="s">
        <v>6</v>
      </c>
      <c r="C7" s="308" t="s">
        <v>7</v>
      </c>
      <c r="D7" s="308"/>
      <c r="E7" s="308"/>
      <c r="F7" s="308"/>
    </row>
    <row r="8" spans="1:6" ht="12.75" customHeight="1" x14ac:dyDescent="0.15">
      <c r="A8" s="85" t="s">
        <v>8</v>
      </c>
      <c r="B8" s="86" t="s">
        <v>9</v>
      </c>
      <c r="C8" s="307" t="s">
        <v>10</v>
      </c>
      <c r="D8" s="307"/>
      <c r="E8" s="307"/>
      <c r="F8" s="307"/>
    </row>
    <row r="9" spans="1:6" ht="12.75" customHeight="1" x14ac:dyDescent="0.15">
      <c r="A9" s="84"/>
      <c r="B9" s="84" t="s">
        <v>11</v>
      </c>
      <c r="C9" s="308" t="s">
        <v>12</v>
      </c>
      <c r="D9" s="308"/>
      <c r="E9" s="308"/>
      <c r="F9" s="308"/>
    </row>
    <row r="10" spans="1:6" ht="12.75" customHeight="1" x14ac:dyDescent="0.15">
      <c r="A10" s="85" t="s">
        <v>13</v>
      </c>
      <c r="B10" s="86" t="s">
        <v>14</v>
      </c>
      <c r="C10" s="307" t="s">
        <v>15</v>
      </c>
      <c r="D10" s="307"/>
      <c r="E10" s="307"/>
      <c r="F10" s="307"/>
    </row>
    <row r="11" spans="1:6" ht="12.75" customHeight="1" x14ac:dyDescent="0.15">
      <c r="A11" s="84"/>
      <c r="B11" s="84" t="s">
        <v>16</v>
      </c>
      <c r="C11" s="308" t="s">
        <v>17</v>
      </c>
      <c r="D11" s="308"/>
      <c r="E11" s="308"/>
      <c r="F11" s="308"/>
    </row>
    <row r="12" spans="1:6" ht="12.75" customHeight="1" x14ac:dyDescent="0.15">
      <c r="A12" s="85" t="s">
        <v>18</v>
      </c>
      <c r="B12" s="86" t="s">
        <v>19</v>
      </c>
      <c r="C12" s="313">
        <v>45303</v>
      </c>
      <c r="D12" s="313"/>
      <c r="E12" s="313"/>
      <c r="F12" s="313"/>
    </row>
    <row r="13" spans="1:6" ht="12.75" customHeight="1" x14ac:dyDescent="0.15">
      <c r="A13" s="84"/>
      <c r="B13" s="84" t="s">
        <v>20</v>
      </c>
      <c r="C13" s="314">
        <v>45303</v>
      </c>
      <c r="D13" s="314"/>
      <c r="E13" s="314"/>
      <c r="F13" s="314"/>
    </row>
    <row r="14" spans="1:6" ht="12.75" customHeight="1" x14ac:dyDescent="0.15">
      <c r="A14" s="84"/>
      <c r="B14" s="84"/>
      <c r="C14" s="84"/>
      <c r="D14" s="84"/>
      <c r="E14" s="84"/>
      <c r="F14" s="84"/>
    </row>
    <row r="15" spans="1:6" ht="12.75" customHeight="1" x14ac:dyDescent="0.15">
      <c r="A15" s="315" t="s">
        <v>21</v>
      </c>
      <c r="B15" s="315"/>
      <c r="C15" s="315"/>
      <c r="D15" s="315"/>
      <c r="E15" s="315"/>
      <c r="F15" s="315"/>
    </row>
    <row r="16" spans="1:6" ht="12.75" customHeight="1" x14ac:dyDescent="0.15">
      <c r="A16" s="307" t="s">
        <v>22</v>
      </c>
      <c r="B16" s="307"/>
      <c r="C16" s="307"/>
      <c r="D16" s="307"/>
      <c r="E16" s="307"/>
      <c r="F16" s="307"/>
    </row>
    <row r="17" spans="1:8" ht="12.75" customHeight="1" x14ac:dyDescent="0.15">
      <c r="A17" s="87"/>
      <c r="B17" s="88"/>
      <c r="C17" s="87"/>
      <c r="D17" s="87"/>
      <c r="E17" s="316" t="s">
        <v>23</v>
      </c>
      <c r="F17" s="316"/>
    </row>
    <row r="18" spans="1:8" ht="42" x14ac:dyDescent="0.15">
      <c r="A18" s="89" t="s">
        <v>24</v>
      </c>
      <c r="B18" s="90" t="s">
        <v>25</v>
      </c>
      <c r="C18" s="90" t="s">
        <v>26</v>
      </c>
      <c r="D18" s="90" t="s">
        <v>27</v>
      </c>
      <c r="E18" s="90" t="s">
        <v>28</v>
      </c>
      <c r="F18" s="91" t="s">
        <v>29</v>
      </c>
    </row>
    <row r="19" spans="1:8" ht="23.1" customHeight="1" x14ac:dyDescent="0.15">
      <c r="A19" s="92" t="s">
        <v>30</v>
      </c>
      <c r="B19" s="93" t="s">
        <v>31</v>
      </c>
      <c r="C19" s="94" t="s">
        <v>32</v>
      </c>
      <c r="D19" s="95"/>
      <c r="E19" s="95"/>
      <c r="F19" s="96"/>
    </row>
    <row r="20" spans="1:8" ht="23.1" customHeight="1" x14ac:dyDescent="0.15">
      <c r="A20" s="92" t="s">
        <v>33</v>
      </c>
      <c r="B20" s="93" t="s">
        <v>34</v>
      </c>
      <c r="C20" s="94" t="s">
        <v>35</v>
      </c>
      <c r="D20" s="97">
        <v>22225901806</v>
      </c>
      <c r="E20" s="97">
        <v>274448294478</v>
      </c>
      <c r="F20" s="96">
        <v>0.1011</v>
      </c>
      <c r="H20" s="98"/>
    </row>
    <row r="21" spans="1:8" ht="23.1" customHeight="1" x14ac:dyDescent="0.15">
      <c r="A21" s="92"/>
      <c r="B21" s="93" t="s">
        <v>36</v>
      </c>
      <c r="C21" s="94" t="s">
        <v>37</v>
      </c>
      <c r="D21" s="97">
        <v>0</v>
      </c>
      <c r="E21" s="97">
        <v>0</v>
      </c>
      <c r="F21" s="96">
        <v>0</v>
      </c>
      <c r="H21" s="98"/>
    </row>
    <row r="22" spans="1:8" ht="23.1" customHeight="1" x14ac:dyDescent="0.15">
      <c r="A22" s="92"/>
      <c r="B22" s="93" t="s">
        <v>38</v>
      </c>
      <c r="C22" s="94" t="s">
        <v>39</v>
      </c>
      <c r="D22" s="97">
        <v>22225901806</v>
      </c>
      <c r="E22" s="97">
        <v>274448294478</v>
      </c>
      <c r="F22" s="96">
        <v>0.1011</v>
      </c>
      <c r="H22" s="98"/>
    </row>
    <row r="23" spans="1:8" ht="33" customHeight="1" x14ac:dyDescent="0.15">
      <c r="A23" s="92"/>
      <c r="B23" s="93" t="s">
        <v>40</v>
      </c>
      <c r="C23" s="94" t="s">
        <v>41</v>
      </c>
      <c r="D23" s="99">
        <v>0</v>
      </c>
      <c r="E23" s="99">
        <v>0</v>
      </c>
      <c r="F23" s="96">
        <v>0</v>
      </c>
      <c r="H23" s="98"/>
    </row>
    <row r="24" spans="1:8" ht="23.1" customHeight="1" x14ac:dyDescent="0.15">
      <c r="A24" s="92"/>
      <c r="B24" s="93" t="s">
        <v>42</v>
      </c>
      <c r="C24" s="94" t="s">
        <v>43</v>
      </c>
      <c r="D24" s="99">
        <v>0</v>
      </c>
      <c r="E24" s="99">
        <v>0</v>
      </c>
      <c r="F24" s="96">
        <v>0</v>
      </c>
      <c r="H24" s="98"/>
    </row>
    <row r="25" spans="1:8" ht="23.1" customHeight="1" x14ac:dyDescent="0.15">
      <c r="A25" s="92"/>
      <c r="B25" s="93" t="s">
        <v>44</v>
      </c>
      <c r="C25" s="94" t="s">
        <v>45</v>
      </c>
      <c r="D25" s="99">
        <v>22225901806</v>
      </c>
      <c r="E25" s="99">
        <v>274448294478</v>
      </c>
      <c r="F25" s="96">
        <v>0.1011</v>
      </c>
      <c r="H25" s="98"/>
    </row>
    <row r="26" spans="1:8" ht="33" customHeight="1" x14ac:dyDescent="0.15">
      <c r="A26" s="92"/>
      <c r="B26" s="93" t="s">
        <v>46</v>
      </c>
      <c r="C26" s="94" t="s">
        <v>47</v>
      </c>
      <c r="D26" s="99">
        <v>0</v>
      </c>
      <c r="E26" s="99">
        <v>0</v>
      </c>
      <c r="F26" s="96">
        <v>0</v>
      </c>
      <c r="H26" s="98"/>
    </row>
    <row r="27" spans="1:8" ht="23.1" customHeight="1" x14ac:dyDescent="0.15">
      <c r="A27" s="92"/>
      <c r="B27" s="93" t="s">
        <v>48</v>
      </c>
      <c r="C27" s="94" t="s">
        <v>49</v>
      </c>
      <c r="D27" s="99">
        <v>0</v>
      </c>
      <c r="E27" s="99">
        <v>0</v>
      </c>
      <c r="F27" s="96">
        <v>0</v>
      </c>
      <c r="H27" s="98"/>
    </row>
    <row r="28" spans="1:8" ht="23.1" customHeight="1" x14ac:dyDescent="0.15">
      <c r="A28" s="92"/>
      <c r="B28" s="93" t="s">
        <v>50</v>
      </c>
      <c r="C28" s="94" t="s">
        <v>51</v>
      </c>
      <c r="D28" s="97">
        <v>0</v>
      </c>
      <c r="E28" s="97">
        <v>0</v>
      </c>
      <c r="F28" s="96">
        <v>0</v>
      </c>
      <c r="H28" s="98"/>
    </row>
    <row r="29" spans="1:8" ht="23.1" customHeight="1" x14ac:dyDescent="0.15">
      <c r="A29" s="92" t="s">
        <v>52</v>
      </c>
      <c r="B29" s="93" t="s">
        <v>53</v>
      </c>
      <c r="C29" s="94" t="s">
        <v>54</v>
      </c>
      <c r="D29" s="97">
        <v>17263333319150</v>
      </c>
      <c r="E29" s="97">
        <v>19323066106700</v>
      </c>
      <c r="F29" s="96">
        <v>0.95989999999999998</v>
      </c>
      <c r="H29" s="98"/>
    </row>
    <row r="30" spans="1:8" ht="23.1" customHeight="1" x14ac:dyDescent="0.15">
      <c r="A30" s="92"/>
      <c r="B30" s="93" t="s">
        <v>55</v>
      </c>
      <c r="C30" s="94" t="s">
        <v>56</v>
      </c>
      <c r="D30" s="97">
        <v>17263333319150</v>
      </c>
      <c r="E30" s="97">
        <v>19323066106700</v>
      </c>
      <c r="F30" s="96">
        <v>0.95989999999999998</v>
      </c>
      <c r="H30" s="98"/>
    </row>
    <row r="31" spans="1:8" ht="23.1" customHeight="1" x14ac:dyDescent="0.15">
      <c r="A31" s="92"/>
      <c r="B31" s="93" t="s">
        <v>57</v>
      </c>
      <c r="C31" s="94" t="s">
        <v>58</v>
      </c>
      <c r="D31" s="97">
        <v>0</v>
      </c>
      <c r="E31" s="97">
        <v>0</v>
      </c>
      <c r="F31" s="96">
        <v>0</v>
      </c>
      <c r="H31" s="98"/>
    </row>
    <row r="32" spans="1:8" ht="23.1" customHeight="1" x14ac:dyDescent="0.15">
      <c r="A32" s="92"/>
      <c r="B32" s="93" t="s">
        <v>59</v>
      </c>
      <c r="C32" s="94" t="s">
        <v>60</v>
      </c>
      <c r="D32" s="97">
        <v>0</v>
      </c>
      <c r="E32" s="97">
        <v>0</v>
      </c>
      <c r="F32" s="96">
        <v>0</v>
      </c>
      <c r="H32" s="98"/>
    </row>
    <row r="33" spans="1:8" ht="23.1" customHeight="1" x14ac:dyDescent="0.15">
      <c r="A33" s="92"/>
      <c r="B33" s="93" t="s">
        <v>61</v>
      </c>
      <c r="C33" s="94" t="s">
        <v>62</v>
      </c>
      <c r="D33" s="97">
        <v>0</v>
      </c>
      <c r="E33" s="97">
        <v>0</v>
      </c>
      <c r="F33" s="96">
        <v>0</v>
      </c>
      <c r="H33" s="98"/>
    </row>
    <row r="34" spans="1:8" ht="23.1" customHeight="1" x14ac:dyDescent="0.15">
      <c r="A34" s="92"/>
      <c r="B34" s="93" t="s">
        <v>63</v>
      </c>
      <c r="C34" s="94" t="s">
        <v>64</v>
      </c>
      <c r="D34" s="97">
        <v>0</v>
      </c>
      <c r="E34" s="97">
        <v>0</v>
      </c>
      <c r="F34" s="96">
        <v>0</v>
      </c>
      <c r="H34" s="98"/>
    </row>
    <row r="35" spans="1:8" ht="23.1" customHeight="1" x14ac:dyDescent="0.15">
      <c r="A35" s="92"/>
      <c r="B35" s="93" t="s">
        <v>65</v>
      </c>
      <c r="C35" s="94" t="s">
        <v>66</v>
      </c>
      <c r="D35" s="97">
        <v>0</v>
      </c>
      <c r="E35" s="97">
        <v>0</v>
      </c>
      <c r="F35" s="96">
        <v>0</v>
      </c>
      <c r="H35" s="98"/>
    </row>
    <row r="36" spans="1:8" ht="23.1" customHeight="1" x14ac:dyDescent="0.15">
      <c r="A36" s="92"/>
      <c r="B36" s="93" t="s">
        <v>67</v>
      </c>
      <c r="C36" s="94" t="s">
        <v>68</v>
      </c>
      <c r="D36" s="97">
        <v>0</v>
      </c>
      <c r="E36" s="97">
        <v>0</v>
      </c>
      <c r="F36" s="96">
        <v>0</v>
      </c>
      <c r="H36" s="98"/>
    </row>
    <row r="37" spans="1:8" ht="23.1" customHeight="1" x14ac:dyDescent="0.15">
      <c r="A37" s="92"/>
      <c r="B37" s="93" t="s">
        <v>69</v>
      </c>
      <c r="C37" s="94" t="s">
        <v>70</v>
      </c>
      <c r="D37" s="97">
        <v>0</v>
      </c>
      <c r="E37" s="97">
        <v>0</v>
      </c>
      <c r="F37" s="96">
        <v>0</v>
      </c>
      <c r="H37" s="98"/>
    </row>
    <row r="38" spans="1:8" ht="34.5" customHeight="1" x14ac:dyDescent="0.15">
      <c r="A38" s="92" t="s">
        <v>71</v>
      </c>
      <c r="B38" s="93" t="s">
        <v>72</v>
      </c>
      <c r="C38" s="94"/>
      <c r="D38" s="97">
        <v>0</v>
      </c>
      <c r="E38" s="97">
        <v>0</v>
      </c>
      <c r="F38" s="96">
        <v>0</v>
      </c>
      <c r="H38" s="98"/>
    </row>
    <row r="39" spans="1:8" ht="23.1" customHeight="1" x14ac:dyDescent="0.15">
      <c r="A39" s="92" t="s">
        <v>73</v>
      </c>
      <c r="B39" s="93" t="s">
        <v>74</v>
      </c>
      <c r="C39" s="94" t="s">
        <v>75</v>
      </c>
      <c r="D39" s="97">
        <v>0</v>
      </c>
      <c r="E39" s="97">
        <v>0</v>
      </c>
      <c r="F39" s="96">
        <v>0</v>
      </c>
      <c r="H39" s="98"/>
    </row>
    <row r="40" spans="1:8" ht="23.1" customHeight="1" x14ac:dyDescent="0.15">
      <c r="A40" s="92"/>
      <c r="B40" s="93" t="s">
        <v>76</v>
      </c>
      <c r="C40" s="94" t="s">
        <v>77</v>
      </c>
      <c r="D40" s="97">
        <v>0</v>
      </c>
      <c r="E40" s="97">
        <v>0</v>
      </c>
      <c r="F40" s="96">
        <v>0</v>
      </c>
      <c r="H40" s="98"/>
    </row>
    <row r="41" spans="1:8" ht="23.1" customHeight="1" x14ac:dyDescent="0.15">
      <c r="A41" s="92"/>
      <c r="B41" s="93" t="s">
        <v>78</v>
      </c>
      <c r="C41" s="94" t="s">
        <v>79</v>
      </c>
      <c r="D41" s="97">
        <v>0</v>
      </c>
      <c r="E41" s="97">
        <v>0</v>
      </c>
      <c r="F41" s="96">
        <v>0</v>
      </c>
      <c r="H41" s="98"/>
    </row>
    <row r="42" spans="1:8" ht="23.1" customHeight="1" x14ac:dyDescent="0.15">
      <c r="A42" s="92" t="s">
        <v>80</v>
      </c>
      <c r="B42" s="93" t="s">
        <v>81</v>
      </c>
      <c r="C42" s="94" t="s">
        <v>82</v>
      </c>
      <c r="D42" s="97">
        <v>0</v>
      </c>
      <c r="E42" s="97">
        <v>0</v>
      </c>
      <c r="F42" s="96">
        <v>0</v>
      </c>
      <c r="H42" s="98"/>
    </row>
    <row r="43" spans="1:8" ht="33" customHeight="1" x14ac:dyDescent="0.15">
      <c r="A43" s="92"/>
      <c r="B43" s="93" t="s">
        <v>83</v>
      </c>
      <c r="C43" s="94" t="s">
        <v>84</v>
      </c>
      <c r="D43" s="97">
        <v>0</v>
      </c>
      <c r="E43" s="97">
        <v>0</v>
      </c>
      <c r="F43" s="96">
        <v>0</v>
      </c>
      <c r="H43" s="98"/>
    </row>
    <row r="44" spans="1:8" ht="33" customHeight="1" x14ac:dyDescent="0.15">
      <c r="A44" s="92"/>
      <c r="B44" s="93" t="s">
        <v>85</v>
      </c>
      <c r="C44" s="94" t="s">
        <v>86</v>
      </c>
      <c r="D44" s="97">
        <v>0</v>
      </c>
      <c r="E44" s="97">
        <v>0</v>
      </c>
      <c r="F44" s="96">
        <v>0</v>
      </c>
      <c r="H44" s="98"/>
    </row>
    <row r="45" spans="1:8" ht="23.1" customHeight="1" x14ac:dyDescent="0.15">
      <c r="A45" s="92"/>
      <c r="B45" s="93" t="s">
        <v>87</v>
      </c>
      <c r="C45" s="94" t="s">
        <v>88</v>
      </c>
      <c r="D45" s="97">
        <v>0</v>
      </c>
      <c r="E45" s="97">
        <v>0</v>
      </c>
      <c r="F45" s="96">
        <v>0</v>
      </c>
      <c r="H45" s="98"/>
    </row>
    <row r="46" spans="1:8" ht="23.1" customHeight="1" x14ac:dyDescent="0.15">
      <c r="A46" s="92" t="s">
        <v>89</v>
      </c>
      <c r="B46" s="93" t="s">
        <v>90</v>
      </c>
      <c r="C46" s="94" t="s">
        <v>91</v>
      </c>
      <c r="D46" s="97">
        <v>0</v>
      </c>
      <c r="E46" s="97">
        <v>0</v>
      </c>
      <c r="F46" s="96">
        <v>0</v>
      </c>
      <c r="H46" s="98"/>
    </row>
    <row r="47" spans="1:8" ht="23.1" customHeight="1" x14ac:dyDescent="0.15">
      <c r="A47" s="92" t="s">
        <v>92</v>
      </c>
      <c r="B47" s="93" t="s">
        <v>93</v>
      </c>
      <c r="C47" s="94" t="s">
        <v>94</v>
      </c>
      <c r="D47" s="97">
        <v>13837903250</v>
      </c>
      <c r="E47" s="97">
        <v>10577500000</v>
      </c>
      <c r="F47" s="96">
        <v>0.83850000000000002</v>
      </c>
      <c r="H47" s="98"/>
    </row>
    <row r="48" spans="1:8" ht="23.1" customHeight="1" x14ac:dyDescent="0.15">
      <c r="A48" s="92" t="s">
        <v>95</v>
      </c>
      <c r="B48" s="93" t="s">
        <v>96</v>
      </c>
      <c r="C48" s="94" t="s">
        <v>97</v>
      </c>
      <c r="D48" s="97">
        <v>36799980</v>
      </c>
      <c r="E48" s="97">
        <v>0</v>
      </c>
      <c r="F48" s="96">
        <v>0</v>
      </c>
      <c r="H48" s="98"/>
    </row>
    <row r="49" spans="1:8" ht="23.1" customHeight="1" x14ac:dyDescent="0.15">
      <c r="A49" s="92"/>
      <c r="B49" s="93" t="s">
        <v>98</v>
      </c>
      <c r="C49" s="94" t="s">
        <v>99</v>
      </c>
      <c r="D49" s="97">
        <v>0</v>
      </c>
      <c r="E49" s="97">
        <v>0</v>
      </c>
      <c r="F49" s="96">
        <v>0</v>
      </c>
      <c r="H49" s="98"/>
    </row>
    <row r="50" spans="1:8" ht="23.1" customHeight="1" x14ac:dyDescent="0.15">
      <c r="A50" s="92"/>
      <c r="B50" s="93" t="s">
        <v>100</v>
      </c>
      <c r="C50" s="94" t="s">
        <v>101</v>
      </c>
      <c r="D50" s="97">
        <v>0</v>
      </c>
      <c r="E50" s="97">
        <v>0</v>
      </c>
      <c r="F50" s="96">
        <v>0</v>
      </c>
      <c r="H50" s="98"/>
    </row>
    <row r="51" spans="1:8" ht="23.1" customHeight="1" x14ac:dyDescent="0.15">
      <c r="A51" s="92"/>
      <c r="B51" s="93" t="s">
        <v>102</v>
      </c>
      <c r="C51" s="94" t="s">
        <v>103</v>
      </c>
      <c r="D51" s="97">
        <v>36799980</v>
      </c>
      <c r="E51" s="97">
        <v>0</v>
      </c>
      <c r="F51" s="96">
        <v>0</v>
      </c>
      <c r="H51" s="98"/>
    </row>
    <row r="52" spans="1:8" ht="23.1" customHeight="1" x14ac:dyDescent="0.15">
      <c r="A52" s="92" t="s">
        <v>104</v>
      </c>
      <c r="B52" s="93" t="s">
        <v>105</v>
      </c>
      <c r="C52" s="94" t="s">
        <v>106</v>
      </c>
      <c r="D52" s="97">
        <v>0</v>
      </c>
      <c r="E52" s="97">
        <v>0</v>
      </c>
      <c r="F52" s="96">
        <v>0</v>
      </c>
      <c r="H52" s="98"/>
    </row>
    <row r="53" spans="1:8" ht="23.1" customHeight="1" x14ac:dyDescent="0.15">
      <c r="A53" s="92"/>
      <c r="B53" s="93" t="s">
        <v>107</v>
      </c>
      <c r="C53" s="94" t="s">
        <v>108</v>
      </c>
      <c r="D53" s="97">
        <v>0</v>
      </c>
      <c r="E53" s="97">
        <v>0</v>
      </c>
      <c r="F53" s="96">
        <v>0</v>
      </c>
      <c r="H53" s="98"/>
    </row>
    <row r="54" spans="1:8" ht="23.1" customHeight="1" x14ac:dyDescent="0.15">
      <c r="A54" s="92"/>
      <c r="B54" s="93" t="s">
        <v>109</v>
      </c>
      <c r="C54" s="94" t="s">
        <v>110</v>
      </c>
      <c r="D54" s="97">
        <v>0</v>
      </c>
      <c r="E54" s="97">
        <v>0</v>
      </c>
      <c r="F54" s="96">
        <v>0</v>
      </c>
      <c r="H54" s="98"/>
    </row>
    <row r="55" spans="1:8" ht="23.1" customHeight="1" x14ac:dyDescent="0.15">
      <c r="A55" s="92"/>
      <c r="B55" s="93" t="s">
        <v>111</v>
      </c>
      <c r="C55" s="94" t="s">
        <v>112</v>
      </c>
      <c r="D55" s="97">
        <v>0</v>
      </c>
      <c r="E55" s="97">
        <v>0</v>
      </c>
      <c r="F55" s="96">
        <v>0</v>
      </c>
      <c r="H55" s="98"/>
    </row>
    <row r="56" spans="1:8" ht="23.1" customHeight="1" x14ac:dyDescent="0.15">
      <c r="A56" s="92"/>
      <c r="B56" s="93" t="s">
        <v>113</v>
      </c>
      <c r="C56" s="94" t="s">
        <v>114</v>
      </c>
      <c r="D56" s="97">
        <v>0</v>
      </c>
      <c r="E56" s="97">
        <v>0</v>
      </c>
      <c r="F56" s="96">
        <v>0</v>
      </c>
      <c r="H56" s="98"/>
    </row>
    <row r="57" spans="1:8" ht="44.1" customHeight="1" x14ac:dyDescent="0.15">
      <c r="A57" s="92"/>
      <c r="B57" s="93" t="s">
        <v>115</v>
      </c>
      <c r="C57" s="94" t="s">
        <v>116</v>
      </c>
      <c r="D57" s="97">
        <v>0</v>
      </c>
      <c r="E57" s="97">
        <v>0</v>
      </c>
      <c r="F57" s="96">
        <v>0</v>
      </c>
      <c r="H57" s="98"/>
    </row>
    <row r="58" spans="1:8" s="104" customFormat="1" ht="23.1" customHeight="1" x14ac:dyDescent="0.15">
      <c r="A58" s="100" t="s">
        <v>117</v>
      </c>
      <c r="B58" s="101" t="s">
        <v>118</v>
      </c>
      <c r="C58" s="102" t="s">
        <v>119</v>
      </c>
      <c r="D58" s="95">
        <v>17299433924186</v>
      </c>
      <c r="E58" s="95">
        <v>19608091901178</v>
      </c>
      <c r="F58" s="103">
        <v>0.94940000000000002</v>
      </c>
      <c r="H58" s="98"/>
    </row>
    <row r="59" spans="1:8" ht="23.1" customHeight="1" x14ac:dyDescent="0.15">
      <c r="A59" s="92" t="s">
        <v>120</v>
      </c>
      <c r="B59" s="93" t="s">
        <v>121</v>
      </c>
      <c r="C59" s="94" t="s">
        <v>122</v>
      </c>
      <c r="D59" s="95">
        <v>0</v>
      </c>
      <c r="E59" s="95">
        <v>0</v>
      </c>
      <c r="F59" s="96">
        <v>0</v>
      </c>
      <c r="H59" s="98"/>
    </row>
    <row r="60" spans="1:8" ht="33" customHeight="1" x14ac:dyDescent="0.15">
      <c r="A60" s="92" t="s">
        <v>123</v>
      </c>
      <c r="B60" s="93" t="s">
        <v>124</v>
      </c>
      <c r="C60" s="94"/>
      <c r="D60" s="97">
        <v>0</v>
      </c>
      <c r="E60" s="97">
        <v>0</v>
      </c>
      <c r="F60" s="96">
        <v>0</v>
      </c>
      <c r="H60" s="98"/>
    </row>
    <row r="61" spans="1:8" ht="23.1" customHeight="1" x14ac:dyDescent="0.15">
      <c r="A61" s="92" t="s">
        <v>125</v>
      </c>
      <c r="B61" s="93" t="s">
        <v>126</v>
      </c>
      <c r="C61" s="94" t="s">
        <v>127</v>
      </c>
      <c r="D61" s="97">
        <v>0</v>
      </c>
      <c r="E61" s="97">
        <v>118767895000</v>
      </c>
      <c r="F61" s="96">
        <v>0</v>
      </c>
      <c r="H61" s="98"/>
    </row>
    <row r="62" spans="1:8" ht="23.1" customHeight="1" x14ac:dyDescent="0.15">
      <c r="A62" s="92" t="s">
        <v>128</v>
      </c>
      <c r="B62" s="93" t="s">
        <v>129</v>
      </c>
      <c r="C62" s="94" t="s">
        <v>130</v>
      </c>
      <c r="D62" s="97">
        <v>38039111049</v>
      </c>
      <c r="E62" s="97">
        <v>23851165937</v>
      </c>
      <c r="F62" s="96">
        <v>1.1722999999999999</v>
      </c>
      <c r="H62" s="98"/>
    </row>
    <row r="63" spans="1:8" ht="23.1" customHeight="1" x14ac:dyDescent="0.15">
      <c r="A63" s="92"/>
      <c r="B63" s="93" t="s">
        <v>131</v>
      </c>
      <c r="C63" s="94" t="s">
        <v>132</v>
      </c>
      <c r="D63" s="97">
        <v>13836703250</v>
      </c>
      <c r="E63" s="97">
        <v>1689470000</v>
      </c>
      <c r="F63" s="96">
        <v>1.5394000000000001</v>
      </c>
      <c r="H63" s="98"/>
    </row>
    <row r="64" spans="1:8" ht="23.1" customHeight="1" x14ac:dyDescent="0.15">
      <c r="A64" s="92"/>
      <c r="B64" s="93" t="s">
        <v>133</v>
      </c>
      <c r="C64" s="94" t="s">
        <v>134</v>
      </c>
      <c r="D64" s="99">
        <v>0</v>
      </c>
      <c r="E64" s="99">
        <v>1689470000</v>
      </c>
      <c r="F64" s="96">
        <v>0</v>
      </c>
      <c r="H64" s="98"/>
    </row>
    <row r="65" spans="1:8" ht="23.1" customHeight="1" x14ac:dyDescent="0.15">
      <c r="A65" s="92"/>
      <c r="B65" s="93" t="s">
        <v>135</v>
      </c>
      <c r="C65" s="94" t="s">
        <v>136</v>
      </c>
      <c r="D65" s="99">
        <v>0</v>
      </c>
      <c r="E65" s="99">
        <v>0</v>
      </c>
      <c r="F65" s="96">
        <v>0</v>
      </c>
      <c r="H65" s="98"/>
    </row>
    <row r="66" spans="1:8" ht="23.1" customHeight="1" x14ac:dyDescent="0.15">
      <c r="A66" s="92"/>
      <c r="B66" s="93" t="s">
        <v>137</v>
      </c>
      <c r="C66" s="94" t="s">
        <v>138</v>
      </c>
      <c r="D66" s="99">
        <v>13836703250</v>
      </c>
      <c r="E66" s="99">
        <v>0</v>
      </c>
      <c r="F66" s="96">
        <v>0</v>
      </c>
      <c r="H66" s="98"/>
    </row>
    <row r="67" spans="1:8" ht="23.1" customHeight="1" x14ac:dyDescent="0.15">
      <c r="A67" s="92"/>
      <c r="B67" s="93" t="s">
        <v>139</v>
      </c>
      <c r="C67" s="94" t="s">
        <v>140</v>
      </c>
      <c r="D67" s="97">
        <v>0</v>
      </c>
      <c r="E67" s="97">
        <v>0</v>
      </c>
      <c r="F67" s="96">
        <v>0</v>
      </c>
      <c r="H67" s="98"/>
    </row>
    <row r="68" spans="1:8" ht="44.1" customHeight="1" x14ac:dyDescent="0.15">
      <c r="A68" s="92"/>
      <c r="B68" s="93" t="s">
        <v>141</v>
      </c>
      <c r="C68" s="94" t="s">
        <v>142</v>
      </c>
      <c r="D68" s="97">
        <v>0</v>
      </c>
      <c r="E68" s="97">
        <v>0</v>
      </c>
      <c r="F68" s="96">
        <v>0</v>
      </c>
      <c r="H68" s="98"/>
    </row>
    <row r="69" spans="1:8" ht="33" customHeight="1" x14ac:dyDescent="0.15">
      <c r="A69" s="92"/>
      <c r="B69" s="93" t="s">
        <v>143</v>
      </c>
      <c r="C69" s="94" t="s">
        <v>144</v>
      </c>
      <c r="D69" s="97">
        <v>0</v>
      </c>
      <c r="E69" s="97">
        <v>0</v>
      </c>
      <c r="F69" s="96">
        <v>0</v>
      </c>
      <c r="H69" s="98"/>
    </row>
    <row r="70" spans="1:8" ht="44.1" customHeight="1" x14ac:dyDescent="0.15">
      <c r="A70" s="92"/>
      <c r="B70" s="93" t="s">
        <v>145</v>
      </c>
      <c r="C70" s="94" t="s">
        <v>146</v>
      </c>
      <c r="D70" s="99">
        <v>0</v>
      </c>
      <c r="E70" s="99">
        <v>0</v>
      </c>
      <c r="F70" s="96">
        <v>0</v>
      </c>
      <c r="H70" s="98"/>
    </row>
    <row r="71" spans="1:8" ht="23.1" customHeight="1" x14ac:dyDescent="0.15">
      <c r="A71" s="92"/>
      <c r="B71" s="93" t="s">
        <v>147</v>
      </c>
      <c r="C71" s="94" t="s">
        <v>148</v>
      </c>
      <c r="D71" s="97">
        <v>0</v>
      </c>
      <c r="E71" s="97">
        <v>0</v>
      </c>
      <c r="F71" s="96">
        <v>0</v>
      </c>
      <c r="H71" s="98"/>
    </row>
    <row r="72" spans="1:8" ht="33" customHeight="1" x14ac:dyDescent="0.15">
      <c r="A72" s="92"/>
      <c r="B72" s="93" t="s">
        <v>149</v>
      </c>
      <c r="C72" s="94" t="s">
        <v>150</v>
      </c>
      <c r="D72" s="97">
        <v>18000000</v>
      </c>
      <c r="E72" s="97">
        <v>15731441</v>
      </c>
      <c r="F72" s="96">
        <v>1.0588</v>
      </c>
      <c r="H72" s="98"/>
    </row>
    <row r="73" spans="1:8" ht="23.1" customHeight="1" x14ac:dyDescent="0.15">
      <c r="A73" s="92"/>
      <c r="B73" s="93" t="s">
        <v>151</v>
      </c>
      <c r="C73" s="94" t="s">
        <v>152</v>
      </c>
      <c r="D73" s="97">
        <v>11808763923</v>
      </c>
      <c r="E73" s="97">
        <v>13270374609</v>
      </c>
      <c r="F73" s="96">
        <v>0.9587</v>
      </c>
      <c r="H73" s="98"/>
    </row>
    <row r="74" spans="1:8" ht="23.1" customHeight="1" x14ac:dyDescent="0.15">
      <c r="A74" s="92"/>
      <c r="B74" s="93" t="s">
        <v>153</v>
      </c>
      <c r="C74" s="94" t="s">
        <v>154</v>
      </c>
      <c r="D74" s="97">
        <v>324741010</v>
      </c>
      <c r="E74" s="97">
        <v>364935302</v>
      </c>
      <c r="F74" s="96">
        <v>0.9587</v>
      </c>
      <c r="H74" s="98"/>
    </row>
    <row r="75" spans="1:8" ht="23.1" customHeight="1" x14ac:dyDescent="0.15">
      <c r="A75" s="92"/>
      <c r="B75" s="93" t="s">
        <v>155</v>
      </c>
      <c r="C75" s="94" t="s">
        <v>156</v>
      </c>
      <c r="D75" s="97">
        <v>649482016</v>
      </c>
      <c r="E75" s="97">
        <v>729870602</v>
      </c>
      <c r="F75" s="96">
        <v>0.9587</v>
      </c>
      <c r="H75" s="98"/>
    </row>
    <row r="76" spans="1:8" ht="23.1" customHeight="1" x14ac:dyDescent="0.15">
      <c r="A76" s="92"/>
      <c r="B76" s="93" t="s">
        <v>157</v>
      </c>
      <c r="C76" s="94" t="s">
        <v>158</v>
      </c>
      <c r="D76" s="105">
        <v>0</v>
      </c>
      <c r="E76" s="105">
        <v>194018094</v>
      </c>
      <c r="F76" s="106">
        <v>0</v>
      </c>
      <c r="H76" s="98"/>
    </row>
    <row r="77" spans="1:8" ht="23.1" customHeight="1" x14ac:dyDescent="0.15">
      <c r="A77" s="92"/>
      <c r="B77" s="93" t="s">
        <v>159</v>
      </c>
      <c r="C77" s="94" t="s">
        <v>160</v>
      </c>
      <c r="D77" s="99">
        <v>0</v>
      </c>
      <c r="E77" s="99">
        <v>194018094</v>
      </c>
      <c r="F77" s="96">
        <v>0</v>
      </c>
      <c r="H77" s="98"/>
    </row>
    <row r="78" spans="1:8" ht="23.1" customHeight="1" x14ac:dyDescent="0.15">
      <c r="A78" s="92"/>
      <c r="B78" s="93" t="s">
        <v>161</v>
      </c>
      <c r="C78" s="94" t="s">
        <v>162</v>
      </c>
      <c r="D78" s="107">
        <v>0</v>
      </c>
      <c r="E78" s="99">
        <v>0</v>
      </c>
      <c r="F78" s="96">
        <v>0</v>
      </c>
      <c r="H78" s="98"/>
    </row>
    <row r="79" spans="1:8" ht="23.1" customHeight="1" x14ac:dyDescent="0.15">
      <c r="A79" s="92"/>
      <c r="B79" s="93" t="s">
        <v>163</v>
      </c>
      <c r="C79" s="94" t="s">
        <v>164</v>
      </c>
      <c r="D79" s="97">
        <v>309319100</v>
      </c>
      <c r="E79" s="97">
        <v>338359365</v>
      </c>
      <c r="F79" s="96">
        <v>0.96409999999999996</v>
      </c>
      <c r="H79" s="98"/>
    </row>
    <row r="80" spans="1:8" ht="23.1" customHeight="1" x14ac:dyDescent="0.15">
      <c r="A80" s="92"/>
      <c r="B80" s="93" t="s">
        <v>165</v>
      </c>
      <c r="C80" s="94" t="s">
        <v>166</v>
      </c>
      <c r="D80" s="99">
        <v>295219100</v>
      </c>
      <c r="E80" s="99">
        <v>331759365</v>
      </c>
      <c r="F80" s="96">
        <v>0.9587</v>
      </c>
      <c r="H80" s="98"/>
    </row>
    <row r="81" spans="1:8" ht="23.1" customHeight="1" x14ac:dyDescent="0.15">
      <c r="A81" s="92"/>
      <c r="B81" s="93" t="s">
        <v>167</v>
      </c>
      <c r="C81" s="94" t="s">
        <v>168</v>
      </c>
      <c r="D81" s="99">
        <v>14100000</v>
      </c>
      <c r="E81" s="99">
        <v>6600000</v>
      </c>
      <c r="F81" s="96">
        <v>1.093</v>
      </c>
      <c r="H81" s="98"/>
    </row>
    <row r="82" spans="1:8" ht="23.1" customHeight="1" x14ac:dyDescent="0.15">
      <c r="A82" s="92"/>
      <c r="B82" s="93" t="s">
        <v>169</v>
      </c>
      <c r="C82" s="94" t="s">
        <v>170</v>
      </c>
      <c r="D82" s="99">
        <v>0</v>
      </c>
      <c r="E82" s="99">
        <v>0</v>
      </c>
      <c r="F82" s="96">
        <v>0</v>
      </c>
      <c r="H82" s="98"/>
    </row>
    <row r="83" spans="1:8" ht="44.1" customHeight="1" x14ac:dyDescent="0.15">
      <c r="A83" s="92"/>
      <c r="B83" s="93" t="s">
        <v>171</v>
      </c>
      <c r="C83" s="94" t="s">
        <v>172</v>
      </c>
      <c r="D83" s="99">
        <v>0</v>
      </c>
      <c r="E83" s="99">
        <v>0</v>
      </c>
      <c r="F83" s="96">
        <v>0</v>
      </c>
      <c r="H83" s="98"/>
    </row>
    <row r="84" spans="1:8" ht="23.1" customHeight="1" x14ac:dyDescent="0.15">
      <c r="A84" s="92"/>
      <c r="B84" s="93" t="s">
        <v>173</v>
      </c>
      <c r="C84" s="94" t="s">
        <v>174</v>
      </c>
      <c r="D84" s="97">
        <v>181500000</v>
      </c>
      <c r="E84" s="97">
        <v>98227453</v>
      </c>
      <c r="F84" s="96">
        <v>1.1000000000000001</v>
      </c>
      <c r="H84" s="98"/>
    </row>
    <row r="85" spans="1:8" ht="23.1" customHeight="1" x14ac:dyDescent="0.15">
      <c r="A85" s="92"/>
      <c r="B85" s="93" t="s">
        <v>175</v>
      </c>
      <c r="C85" s="94" t="s">
        <v>176</v>
      </c>
      <c r="D85" s="97">
        <v>0</v>
      </c>
      <c r="E85" s="97">
        <v>0</v>
      </c>
      <c r="F85" s="96">
        <v>0</v>
      </c>
      <c r="H85" s="98"/>
    </row>
    <row r="86" spans="1:8" ht="23.1" customHeight="1" x14ac:dyDescent="0.15">
      <c r="A86" s="92"/>
      <c r="B86" s="93" t="s">
        <v>177</v>
      </c>
      <c r="C86" s="94" t="s">
        <v>178</v>
      </c>
      <c r="D86" s="97">
        <v>0</v>
      </c>
      <c r="E86" s="97">
        <v>0</v>
      </c>
      <c r="F86" s="96">
        <v>0</v>
      </c>
      <c r="H86" s="98"/>
    </row>
    <row r="87" spans="1:8" ht="23.1" customHeight="1" x14ac:dyDescent="0.15">
      <c r="A87" s="92"/>
      <c r="B87" s="93" t="s">
        <v>179</v>
      </c>
      <c r="C87" s="94" t="s">
        <v>180</v>
      </c>
      <c r="D87" s="97">
        <v>16500000</v>
      </c>
      <c r="E87" s="97">
        <v>16500000</v>
      </c>
      <c r="F87" s="96">
        <v>1</v>
      </c>
      <c r="H87" s="98"/>
    </row>
    <row r="88" spans="1:8" ht="44.1" customHeight="1" x14ac:dyDescent="0.15">
      <c r="A88" s="92"/>
      <c r="B88" s="93" t="s">
        <v>181</v>
      </c>
      <c r="C88" s="94" t="s">
        <v>182</v>
      </c>
      <c r="D88" s="97">
        <v>4784723002</v>
      </c>
      <c r="E88" s="97">
        <v>2547574231</v>
      </c>
      <c r="F88" s="96">
        <v>1.1468</v>
      </c>
      <c r="H88" s="98"/>
    </row>
    <row r="89" spans="1:8" ht="23.1" customHeight="1" x14ac:dyDescent="0.15">
      <c r="A89" s="92"/>
      <c r="B89" s="93" t="s">
        <v>183</v>
      </c>
      <c r="C89" s="94" t="s">
        <v>184</v>
      </c>
      <c r="D89" s="97">
        <v>3827778402</v>
      </c>
      <c r="E89" s="97">
        <v>2038059385</v>
      </c>
      <c r="F89" s="96">
        <v>1.1468</v>
      </c>
      <c r="H89" s="98"/>
    </row>
    <row r="90" spans="1:8" ht="23.1" customHeight="1" x14ac:dyDescent="0.15">
      <c r="A90" s="92"/>
      <c r="B90" s="93" t="s">
        <v>185</v>
      </c>
      <c r="C90" s="94" t="s">
        <v>186</v>
      </c>
      <c r="D90" s="97">
        <v>2281600346</v>
      </c>
      <c r="E90" s="97">
        <v>2548045455</v>
      </c>
      <c r="F90" s="96">
        <v>1.1347</v>
      </c>
      <c r="H90" s="98"/>
    </row>
    <row r="91" spans="1:8" ht="23.1" customHeight="1" x14ac:dyDescent="0.15">
      <c r="A91" s="92"/>
      <c r="B91" s="93" t="s">
        <v>187</v>
      </c>
      <c r="C91" s="94" t="s">
        <v>188</v>
      </c>
      <c r="D91" s="97">
        <v>0</v>
      </c>
      <c r="E91" s="97">
        <v>0</v>
      </c>
      <c r="F91" s="96">
        <v>0</v>
      </c>
      <c r="H91" s="98"/>
    </row>
    <row r="92" spans="1:8" ht="23.1" customHeight="1" x14ac:dyDescent="0.15">
      <c r="A92" s="92"/>
      <c r="B92" s="93" t="s">
        <v>189</v>
      </c>
      <c r="C92" s="94" t="s">
        <v>190</v>
      </c>
      <c r="D92" s="99">
        <v>0</v>
      </c>
      <c r="E92" s="99">
        <v>0</v>
      </c>
      <c r="F92" s="96">
        <v>0</v>
      </c>
      <c r="H92" s="98"/>
    </row>
    <row r="93" spans="1:8" ht="33" customHeight="1" x14ac:dyDescent="0.15">
      <c r="A93" s="92"/>
      <c r="B93" s="93" t="s">
        <v>191</v>
      </c>
      <c r="C93" s="94" t="s">
        <v>192</v>
      </c>
      <c r="D93" s="99">
        <v>0</v>
      </c>
      <c r="E93" s="99">
        <v>0</v>
      </c>
      <c r="F93" s="96">
        <v>0</v>
      </c>
      <c r="H93" s="98"/>
    </row>
    <row r="94" spans="1:8" ht="23.1" customHeight="1" x14ac:dyDescent="0.15">
      <c r="A94" s="92"/>
      <c r="B94" s="93" t="s">
        <v>193</v>
      </c>
      <c r="C94" s="94" t="s">
        <v>194</v>
      </c>
      <c r="D94" s="99">
        <v>0</v>
      </c>
      <c r="E94" s="99">
        <v>0</v>
      </c>
      <c r="F94" s="96">
        <v>0</v>
      </c>
      <c r="H94" s="98"/>
    </row>
    <row r="95" spans="1:8" ht="23.1" customHeight="1" x14ac:dyDescent="0.15">
      <c r="A95" s="92"/>
      <c r="B95" s="93" t="s">
        <v>195</v>
      </c>
      <c r="C95" s="94" t="s">
        <v>196</v>
      </c>
      <c r="D95" s="99">
        <v>0</v>
      </c>
      <c r="E95" s="99">
        <v>0</v>
      </c>
      <c r="F95" s="96">
        <v>0</v>
      </c>
      <c r="H95" s="98"/>
    </row>
    <row r="96" spans="1:8" ht="33" customHeight="1" x14ac:dyDescent="0.15">
      <c r="A96" s="92"/>
      <c r="B96" s="93" t="s">
        <v>197</v>
      </c>
      <c r="C96" s="94" t="s">
        <v>198</v>
      </c>
      <c r="D96" s="99">
        <v>0</v>
      </c>
      <c r="E96" s="99">
        <v>0</v>
      </c>
      <c r="F96" s="96">
        <v>0</v>
      </c>
      <c r="H96" s="98"/>
    </row>
    <row r="97" spans="1:8" ht="23.1" customHeight="1" x14ac:dyDescent="0.15">
      <c r="A97" s="92"/>
      <c r="B97" s="93" t="s">
        <v>199</v>
      </c>
      <c r="C97" s="94" t="s">
        <v>200</v>
      </c>
      <c r="D97" s="99">
        <v>0</v>
      </c>
      <c r="E97" s="99">
        <v>0</v>
      </c>
      <c r="F97" s="96">
        <v>0</v>
      </c>
      <c r="H97" s="98"/>
    </row>
    <row r="98" spans="1:8" ht="23.1" customHeight="1" x14ac:dyDescent="0.15">
      <c r="A98" s="92"/>
      <c r="B98" s="93" t="s">
        <v>201</v>
      </c>
      <c r="C98" s="94" t="s">
        <v>202</v>
      </c>
      <c r="D98" s="99">
        <v>0</v>
      </c>
      <c r="E98" s="99">
        <v>0</v>
      </c>
      <c r="F98" s="96">
        <v>0</v>
      </c>
      <c r="H98" s="98"/>
    </row>
    <row r="99" spans="1:8" ht="23.1" customHeight="1" x14ac:dyDescent="0.15">
      <c r="A99" s="92"/>
      <c r="B99" s="93" t="s">
        <v>203</v>
      </c>
      <c r="C99" s="94" t="s">
        <v>204</v>
      </c>
      <c r="D99" s="99">
        <v>0</v>
      </c>
      <c r="E99" s="99">
        <v>0</v>
      </c>
      <c r="F99" s="96">
        <v>0</v>
      </c>
      <c r="H99" s="98"/>
    </row>
    <row r="100" spans="1:8" ht="23.1" customHeight="1" x14ac:dyDescent="0.15">
      <c r="A100" s="92"/>
      <c r="B100" s="93" t="s">
        <v>205</v>
      </c>
      <c r="C100" s="94" t="s">
        <v>206</v>
      </c>
      <c r="D100" s="97">
        <v>0</v>
      </c>
      <c r="E100" s="97">
        <v>0</v>
      </c>
      <c r="F100" s="96">
        <v>0</v>
      </c>
      <c r="H100" s="98"/>
    </row>
    <row r="101" spans="1:8" ht="23.1" customHeight="1" x14ac:dyDescent="0.15">
      <c r="A101" s="92"/>
      <c r="B101" s="93" t="s">
        <v>207</v>
      </c>
      <c r="C101" s="94" t="s">
        <v>208</v>
      </c>
      <c r="D101" s="99">
        <v>0</v>
      </c>
      <c r="E101" s="99">
        <v>0</v>
      </c>
      <c r="F101" s="96">
        <v>0</v>
      </c>
      <c r="H101" s="98"/>
    </row>
    <row r="102" spans="1:8" ht="23.1" customHeight="1" x14ac:dyDescent="0.15">
      <c r="A102" s="92"/>
      <c r="B102" s="93" t="s">
        <v>209</v>
      </c>
      <c r="C102" s="94" t="s">
        <v>210</v>
      </c>
      <c r="D102" s="99">
        <v>0</v>
      </c>
      <c r="E102" s="99">
        <v>0</v>
      </c>
      <c r="F102" s="96">
        <v>0</v>
      </c>
      <c r="H102" s="98"/>
    </row>
    <row r="103" spans="1:8" s="104" customFormat="1" ht="23.1" customHeight="1" x14ac:dyDescent="0.15">
      <c r="A103" s="100" t="s">
        <v>211</v>
      </c>
      <c r="B103" s="101" t="s">
        <v>212</v>
      </c>
      <c r="C103" s="102" t="s">
        <v>213</v>
      </c>
      <c r="D103" s="95">
        <v>38039111049</v>
      </c>
      <c r="E103" s="95">
        <v>142619060937</v>
      </c>
      <c r="F103" s="103">
        <v>0.27600000000000002</v>
      </c>
      <c r="H103" s="98"/>
    </row>
    <row r="104" spans="1:8" s="104" customFormat="1" ht="23.1" customHeight="1" x14ac:dyDescent="0.15">
      <c r="A104" s="100"/>
      <c r="B104" s="101" t="s">
        <v>214</v>
      </c>
      <c r="C104" s="102" t="s">
        <v>215</v>
      </c>
      <c r="D104" s="95">
        <v>17261394813137</v>
      </c>
      <c r="E104" s="95">
        <v>19465472840241</v>
      </c>
      <c r="F104" s="103">
        <v>0.95450000000000002</v>
      </c>
      <c r="H104" s="98"/>
    </row>
    <row r="105" spans="1:8" ht="23.1" customHeight="1" x14ac:dyDescent="0.15">
      <c r="A105" s="92"/>
      <c r="B105" s="93" t="s">
        <v>216</v>
      </c>
      <c r="C105" s="94" t="s">
        <v>217</v>
      </c>
      <c r="D105" s="97">
        <v>665100000</v>
      </c>
      <c r="E105" s="97">
        <v>733700000</v>
      </c>
      <c r="F105" s="96">
        <v>0.82140000000000002</v>
      </c>
      <c r="H105" s="98"/>
    </row>
    <row r="106" spans="1:8" ht="23.1" customHeight="1" x14ac:dyDescent="0.15">
      <c r="A106" s="108"/>
      <c r="B106" s="109" t="s">
        <v>218</v>
      </c>
      <c r="C106" s="110" t="s">
        <v>219</v>
      </c>
      <c r="D106" s="111">
        <v>25953.08</v>
      </c>
      <c r="E106" s="111">
        <v>26530.560000000001</v>
      </c>
      <c r="F106" s="112">
        <v>1.1620999999999999</v>
      </c>
      <c r="H106" s="98"/>
    </row>
    <row r="107" spans="1:8" ht="2.25" customHeight="1" x14ac:dyDescent="0.15">
      <c r="A107" s="317"/>
      <c r="B107" s="317"/>
      <c r="C107" s="317"/>
      <c r="D107" s="317"/>
      <c r="E107" s="317"/>
      <c r="F107" s="317"/>
    </row>
    <row r="108" spans="1:8" ht="2.25" customHeight="1" x14ac:dyDescent="0.15">
      <c r="A108" s="84"/>
      <c r="B108" s="84"/>
      <c r="C108" s="113"/>
      <c r="D108" s="84"/>
      <c r="E108" s="84"/>
      <c r="F108" s="84"/>
    </row>
    <row r="109" spans="1:8" ht="12.75" customHeight="1" x14ac:dyDescent="0.15">
      <c r="A109" s="309" t="s">
        <v>220</v>
      </c>
      <c r="B109" s="309"/>
      <c r="C109" s="309"/>
      <c r="D109" s="309" t="s">
        <v>221</v>
      </c>
      <c r="E109" s="309"/>
      <c r="F109" s="309"/>
    </row>
    <row r="110" spans="1:8" ht="12.75" customHeight="1" x14ac:dyDescent="0.15">
      <c r="A110" s="319" t="s">
        <v>222</v>
      </c>
      <c r="B110" s="319"/>
      <c r="C110" s="319"/>
      <c r="D110" s="320" t="s">
        <v>223</v>
      </c>
      <c r="E110" s="320"/>
      <c r="F110" s="320"/>
    </row>
    <row r="111" spans="1:8" ht="18" customHeight="1" x14ac:dyDescent="0.15">
      <c r="A111" s="84"/>
      <c r="B111" s="84"/>
      <c r="C111" s="84"/>
      <c r="D111" s="84"/>
      <c r="E111" s="84"/>
      <c r="F111" s="84"/>
    </row>
    <row r="112" spans="1:8" ht="18" customHeight="1" x14ac:dyDescent="0.15">
      <c r="A112" s="84"/>
      <c r="B112" s="84"/>
      <c r="C112" s="84"/>
      <c r="D112" s="84"/>
      <c r="E112" s="84"/>
      <c r="F112" s="84"/>
    </row>
    <row r="113" spans="1:6" ht="18" customHeight="1" x14ac:dyDescent="0.15">
      <c r="A113" s="84"/>
      <c r="B113" s="84"/>
      <c r="C113" s="84"/>
      <c r="D113" s="84"/>
      <c r="E113" s="84"/>
      <c r="F113" s="84"/>
    </row>
    <row r="114" spans="1:6" ht="18" customHeight="1" x14ac:dyDescent="0.15">
      <c r="A114" s="84"/>
      <c r="B114" s="84"/>
      <c r="C114" s="84"/>
      <c r="D114" s="84"/>
      <c r="E114" s="84"/>
      <c r="F114" s="84"/>
    </row>
    <row r="115" spans="1:6" ht="18" customHeight="1" x14ac:dyDescent="0.15">
      <c r="A115" s="84"/>
      <c r="B115" s="84"/>
      <c r="C115" s="84"/>
      <c r="D115" s="84"/>
      <c r="E115" s="84"/>
      <c r="F115" s="84"/>
    </row>
    <row r="116" spans="1:6" ht="12.75" customHeight="1" x14ac:dyDescent="0.15">
      <c r="A116" s="309" t="s">
        <v>224</v>
      </c>
      <c r="B116" s="309"/>
      <c r="C116" s="309"/>
      <c r="D116" s="309" t="s">
        <v>225</v>
      </c>
      <c r="E116" s="309"/>
      <c r="F116" s="309"/>
    </row>
    <row r="117" spans="1:6" ht="12.75" customHeight="1" x14ac:dyDescent="0.15">
      <c r="A117" s="318" t="s">
        <v>226</v>
      </c>
      <c r="B117" s="318"/>
      <c r="C117" s="318"/>
      <c r="D117" s="318" t="s">
        <v>227</v>
      </c>
      <c r="E117" s="318"/>
      <c r="F117" s="318"/>
    </row>
    <row r="118" spans="1:6" ht="12.75" customHeight="1" x14ac:dyDescent="0.15">
      <c r="A118" s="318" t="s">
        <v>228</v>
      </c>
      <c r="B118" s="318"/>
      <c r="C118" s="318"/>
      <c r="D118" s="318" t="s">
        <v>229</v>
      </c>
      <c r="E118" s="318"/>
      <c r="F118" s="318"/>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zoomScaleNormal="100" zoomScaleSheetLayoutView="100" workbookViewId="0">
      <selection activeCell="B13" sqref="B13"/>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x14ac:dyDescent="0.15">
      <c r="A1" s="308"/>
      <c r="B1" s="308"/>
      <c r="C1" s="82"/>
      <c r="D1" s="309" t="s">
        <v>0</v>
      </c>
      <c r="E1" s="309"/>
      <c r="F1" s="309"/>
    </row>
    <row r="2" spans="1:6" ht="27.75" customHeight="1" x14ac:dyDescent="0.15">
      <c r="A2" s="310" t="s">
        <v>1</v>
      </c>
      <c r="B2" s="310"/>
      <c r="C2" s="310"/>
      <c r="D2" s="310"/>
      <c r="E2" s="310"/>
      <c r="F2" s="310"/>
    </row>
    <row r="3" spans="1:6" ht="4.5" customHeight="1" x14ac:dyDescent="0.15">
      <c r="A3" s="84"/>
      <c r="B3" s="84"/>
      <c r="C3" s="84"/>
      <c r="D3" s="84"/>
      <c r="E3" s="84"/>
      <c r="F3" s="84"/>
    </row>
    <row r="4" spans="1:6" ht="28.5" customHeight="1" x14ac:dyDescent="0.15">
      <c r="A4" s="311" t="s">
        <v>230</v>
      </c>
      <c r="B4" s="311"/>
      <c r="C4" s="311"/>
      <c r="D4" s="311"/>
      <c r="E4" s="311"/>
      <c r="F4" s="311"/>
    </row>
    <row r="5" spans="1:6" s="114" customFormat="1" ht="16.5" customHeight="1" x14ac:dyDescent="0.25">
      <c r="A5" s="312" t="s">
        <v>1134</v>
      </c>
      <c r="B5" s="312"/>
      <c r="C5" s="312"/>
      <c r="D5" s="312"/>
      <c r="E5" s="312"/>
      <c r="F5" s="312"/>
    </row>
    <row r="6" spans="1:6" ht="12" customHeight="1" x14ac:dyDescent="0.15">
      <c r="A6" s="115" t="s">
        <v>3</v>
      </c>
      <c r="B6" s="86" t="s">
        <v>231</v>
      </c>
      <c r="C6" s="307" t="s">
        <v>5</v>
      </c>
      <c r="D6" s="307"/>
      <c r="E6" s="307"/>
      <c r="F6" s="307"/>
    </row>
    <row r="7" spans="1:6" ht="12" customHeight="1" x14ac:dyDescent="0.15">
      <c r="A7" s="84"/>
      <c r="B7" s="84" t="s">
        <v>6</v>
      </c>
      <c r="C7" s="308" t="s">
        <v>7</v>
      </c>
      <c r="D7" s="308"/>
      <c r="E7" s="308"/>
      <c r="F7" s="308"/>
    </row>
    <row r="8" spans="1:6" ht="12" customHeight="1" x14ac:dyDescent="0.15">
      <c r="A8" s="85" t="s">
        <v>8</v>
      </c>
      <c r="B8" s="86" t="s">
        <v>9</v>
      </c>
      <c r="C8" s="307" t="s">
        <v>10</v>
      </c>
      <c r="D8" s="307"/>
      <c r="E8" s="307"/>
      <c r="F8" s="307"/>
    </row>
    <row r="9" spans="1:6" ht="12" customHeight="1" x14ac:dyDescent="0.15">
      <c r="A9" s="84"/>
      <c r="B9" s="84" t="s">
        <v>11</v>
      </c>
      <c r="C9" s="308" t="s">
        <v>12</v>
      </c>
      <c r="D9" s="308"/>
      <c r="E9" s="308"/>
      <c r="F9" s="308"/>
    </row>
    <row r="10" spans="1:6" ht="12" customHeight="1" x14ac:dyDescent="0.15">
      <c r="A10" s="85" t="s">
        <v>13</v>
      </c>
      <c r="B10" s="86" t="s">
        <v>14</v>
      </c>
      <c r="C10" s="307" t="s">
        <v>15</v>
      </c>
      <c r="D10" s="307"/>
      <c r="E10" s="307"/>
      <c r="F10" s="307"/>
    </row>
    <row r="11" spans="1:6" ht="12" customHeight="1" x14ac:dyDescent="0.15">
      <c r="A11" s="84"/>
      <c r="B11" s="84" t="s">
        <v>16</v>
      </c>
      <c r="C11" s="308" t="s">
        <v>17</v>
      </c>
      <c r="D11" s="308"/>
      <c r="E11" s="308"/>
      <c r="F11" s="308"/>
    </row>
    <row r="12" spans="1:6" ht="12" customHeight="1" x14ac:dyDescent="0.15">
      <c r="A12" s="85" t="s">
        <v>18</v>
      </c>
      <c r="B12" s="86" t="s">
        <v>19</v>
      </c>
      <c r="C12" s="313">
        <v>45303</v>
      </c>
      <c r="D12" s="313"/>
      <c r="E12" s="313"/>
      <c r="F12" s="313"/>
    </row>
    <row r="13" spans="1:6" ht="12" customHeight="1" x14ac:dyDescent="0.15">
      <c r="A13" s="84"/>
      <c r="B13" s="84" t="s">
        <v>20</v>
      </c>
      <c r="C13" s="314">
        <v>45303</v>
      </c>
      <c r="D13" s="314"/>
      <c r="E13" s="314"/>
      <c r="F13" s="314"/>
    </row>
    <row r="14" spans="1:6" x14ac:dyDescent="0.15">
      <c r="A14" s="84"/>
      <c r="B14" s="84"/>
      <c r="C14" s="84"/>
      <c r="D14" s="84"/>
      <c r="E14" s="84"/>
      <c r="F14" s="84"/>
    </row>
    <row r="15" spans="1:6" ht="12" customHeight="1" x14ac:dyDescent="0.15">
      <c r="A15" s="315" t="s">
        <v>21</v>
      </c>
      <c r="B15" s="315"/>
      <c r="C15" s="315"/>
      <c r="D15" s="315"/>
      <c r="E15" s="315"/>
      <c r="F15" s="315"/>
    </row>
    <row r="16" spans="1:6" ht="12" customHeight="1" x14ac:dyDescent="0.15">
      <c r="A16" s="307" t="s">
        <v>232</v>
      </c>
      <c r="B16" s="307"/>
      <c r="C16" s="307"/>
      <c r="D16" s="307"/>
      <c r="E16" s="307"/>
      <c r="F16" s="307"/>
    </row>
    <row r="17" spans="1:8" x14ac:dyDescent="0.15">
      <c r="A17" s="87"/>
      <c r="B17" s="88"/>
      <c r="C17" s="87"/>
      <c r="D17" s="87"/>
      <c r="E17" s="316" t="s">
        <v>23</v>
      </c>
      <c r="F17" s="316"/>
    </row>
    <row r="18" spans="1:8" s="116" customFormat="1" ht="48" customHeight="1" x14ac:dyDescent="0.25">
      <c r="A18" s="89" t="s">
        <v>24</v>
      </c>
      <c r="B18" s="90" t="s">
        <v>25</v>
      </c>
      <c r="C18" s="90" t="s">
        <v>26</v>
      </c>
      <c r="D18" s="90" t="s">
        <v>1137</v>
      </c>
      <c r="E18" s="90" t="s">
        <v>1138</v>
      </c>
      <c r="F18" s="91" t="s">
        <v>233</v>
      </c>
    </row>
    <row r="19" spans="1:8" s="116" customFormat="1" ht="21" x14ac:dyDescent="0.25">
      <c r="A19" s="117" t="s">
        <v>30</v>
      </c>
      <c r="B19" s="118" t="s">
        <v>234</v>
      </c>
      <c r="C19" s="119" t="s">
        <v>235</v>
      </c>
      <c r="D19" s="95">
        <v>72998382729</v>
      </c>
      <c r="E19" s="95">
        <v>149578709286</v>
      </c>
      <c r="F19" s="120">
        <v>447705752157</v>
      </c>
      <c r="H19" s="121"/>
    </row>
    <row r="20" spans="1:8" s="116" customFormat="1" ht="21" x14ac:dyDescent="0.25">
      <c r="A20" s="122" t="s">
        <v>3</v>
      </c>
      <c r="B20" s="123" t="s">
        <v>236</v>
      </c>
      <c r="C20" s="124"/>
      <c r="D20" s="97">
        <v>0</v>
      </c>
      <c r="E20" s="97">
        <v>0</v>
      </c>
      <c r="F20" s="125">
        <v>0</v>
      </c>
      <c r="H20" s="121"/>
    </row>
    <row r="21" spans="1:8" s="116" customFormat="1" ht="21" x14ac:dyDescent="0.25">
      <c r="A21" s="122" t="s">
        <v>8</v>
      </c>
      <c r="B21" s="123" t="s">
        <v>237</v>
      </c>
      <c r="C21" s="124" t="s">
        <v>238</v>
      </c>
      <c r="D21" s="97">
        <v>72899699200</v>
      </c>
      <c r="E21" s="97">
        <v>149499145500</v>
      </c>
      <c r="F21" s="125">
        <v>447349855000</v>
      </c>
      <c r="H21" s="121"/>
    </row>
    <row r="22" spans="1:8" s="116" customFormat="1" ht="21" x14ac:dyDescent="0.25">
      <c r="A22" s="126"/>
      <c r="B22" s="127" t="s">
        <v>239</v>
      </c>
      <c r="C22" s="128" t="s">
        <v>240</v>
      </c>
      <c r="D22" s="99">
        <v>72899699200</v>
      </c>
      <c r="E22" s="99">
        <v>149499145500</v>
      </c>
      <c r="F22" s="129">
        <v>447349855000</v>
      </c>
      <c r="H22" s="121"/>
    </row>
    <row r="23" spans="1:8" s="116" customFormat="1" ht="21" x14ac:dyDescent="0.25">
      <c r="A23" s="126"/>
      <c r="B23" s="127" t="s">
        <v>241</v>
      </c>
      <c r="C23" s="128" t="s">
        <v>242</v>
      </c>
      <c r="D23" s="99">
        <v>0</v>
      </c>
      <c r="E23" s="99">
        <v>0</v>
      </c>
      <c r="F23" s="129">
        <v>0</v>
      </c>
      <c r="H23" s="121"/>
    </row>
    <row r="24" spans="1:8" s="116" customFormat="1" ht="21" x14ac:dyDescent="0.25">
      <c r="A24" s="122" t="s">
        <v>13</v>
      </c>
      <c r="B24" s="123" t="s">
        <v>243</v>
      </c>
      <c r="C24" s="124" t="s">
        <v>244</v>
      </c>
      <c r="D24" s="97">
        <v>98683529</v>
      </c>
      <c r="E24" s="97">
        <v>79563786</v>
      </c>
      <c r="F24" s="125">
        <v>355897157</v>
      </c>
      <c r="H24" s="121"/>
    </row>
    <row r="25" spans="1:8" s="116" customFormat="1" ht="21" x14ac:dyDescent="0.25">
      <c r="A25" s="126"/>
      <c r="B25" s="127" t="s">
        <v>245</v>
      </c>
      <c r="C25" s="128" t="s">
        <v>246</v>
      </c>
      <c r="D25" s="99">
        <v>98683529</v>
      </c>
      <c r="E25" s="99">
        <v>79563786</v>
      </c>
      <c r="F25" s="129">
        <v>355897157</v>
      </c>
      <c r="H25" s="121"/>
    </row>
    <row r="26" spans="1:8" s="116" customFormat="1" ht="21" x14ac:dyDescent="0.25">
      <c r="A26" s="126"/>
      <c r="B26" s="127" t="s">
        <v>247</v>
      </c>
      <c r="C26" s="128" t="s">
        <v>248</v>
      </c>
      <c r="D26" s="99">
        <v>0</v>
      </c>
      <c r="E26" s="99">
        <v>0</v>
      </c>
      <c r="F26" s="129">
        <v>0</v>
      </c>
      <c r="H26" s="121"/>
    </row>
    <row r="27" spans="1:8" s="116" customFormat="1" ht="21" x14ac:dyDescent="0.25">
      <c r="A27" s="122" t="s">
        <v>18</v>
      </c>
      <c r="B27" s="123" t="s">
        <v>249</v>
      </c>
      <c r="C27" s="124" t="s">
        <v>250</v>
      </c>
      <c r="D27" s="97">
        <v>0</v>
      </c>
      <c r="E27" s="97">
        <v>0</v>
      </c>
      <c r="F27" s="125">
        <v>0</v>
      </c>
      <c r="H27" s="121"/>
    </row>
    <row r="28" spans="1:8" s="116" customFormat="1" ht="21" x14ac:dyDescent="0.25">
      <c r="A28" s="126"/>
      <c r="B28" s="127" t="s">
        <v>251</v>
      </c>
      <c r="C28" s="128" t="s">
        <v>252</v>
      </c>
      <c r="D28" s="99">
        <v>0</v>
      </c>
      <c r="E28" s="99">
        <v>0</v>
      </c>
      <c r="F28" s="129">
        <v>0</v>
      </c>
      <c r="H28" s="121"/>
    </row>
    <row r="29" spans="1:8" s="116" customFormat="1" ht="21" x14ac:dyDescent="0.25">
      <c r="A29" s="126"/>
      <c r="B29" s="127" t="s">
        <v>253</v>
      </c>
      <c r="C29" s="128" t="s">
        <v>254</v>
      </c>
      <c r="D29" s="99">
        <v>0</v>
      </c>
      <c r="E29" s="99">
        <v>0</v>
      </c>
      <c r="F29" s="129">
        <v>0</v>
      </c>
      <c r="H29" s="121"/>
    </row>
    <row r="30" spans="1:8" s="116" customFormat="1" ht="53.25" customHeight="1" x14ac:dyDescent="0.25">
      <c r="A30" s="126"/>
      <c r="B30" s="127" t="s">
        <v>255</v>
      </c>
      <c r="C30" s="128" t="s">
        <v>256</v>
      </c>
      <c r="D30" s="99">
        <v>0</v>
      </c>
      <c r="E30" s="99">
        <v>0</v>
      </c>
      <c r="F30" s="129">
        <v>0</v>
      </c>
      <c r="H30" s="121"/>
    </row>
    <row r="31" spans="1:8" s="116" customFormat="1" ht="21" x14ac:dyDescent="0.25">
      <c r="A31" s="117" t="s">
        <v>120</v>
      </c>
      <c r="B31" s="118" t="s">
        <v>257</v>
      </c>
      <c r="C31" s="119" t="s">
        <v>258</v>
      </c>
      <c r="D31" s="95">
        <v>51704321899</v>
      </c>
      <c r="E31" s="95">
        <v>56685728557</v>
      </c>
      <c r="F31" s="120">
        <v>210323336084</v>
      </c>
      <c r="H31" s="121"/>
    </row>
    <row r="32" spans="1:8" s="116" customFormat="1" ht="21" x14ac:dyDescent="0.25">
      <c r="A32" s="122" t="s">
        <v>3</v>
      </c>
      <c r="B32" s="123" t="s">
        <v>259</v>
      </c>
      <c r="C32" s="124" t="s">
        <v>260</v>
      </c>
      <c r="D32" s="97">
        <v>35794380337</v>
      </c>
      <c r="E32" s="97">
        <v>40761187725</v>
      </c>
      <c r="F32" s="125">
        <v>150577829773</v>
      </c>
      <c r="H32" s="121"/>
    </row>
    <row r="33" spans="1:8" s="116" customFormat="1" ht="21" x14ac:dyDescent="0.25">
      <c r="A33" s="122" t="s">
        <v>8</v>
      </c>
      <c r="B33" s="123" t="s">
        <v>261</v>
      </c>
      <c r="C33" s="124" t="s">
        <v>262</v>
      </c>
      <c r="D33" s="97">
        <v>3319412103</v>
      </c>
      <c r="E33" s="97">
        <v>3722314019</v>
      </c>
      <c r="F33" s="125">
        <v>13874951400</v>
      </c>
      <c r="H33" s="121"/>
    </row>
    <row r="34" spans="1:8" s="116" customFormat="1" ht="21" x14ac:dyDescent="0.25">
      <c r="A34" s="126"/>
      <c r="B34" s="127" t="s">
        <v>263</v>
      </c>
      <c r="C34" s="128" t="s">
        <v>264</v>
      </c>
      <c r="D34" s="99">
        <v>894859509</v>
      </c>
      <c r="E34" s="99">
        <v>1019029695</v>
      </c>
      <c r="F34" s="129">
        <v>3764445747</v>
      </c>
      <c r="H34" s="121"/>
    </row>
    <row r="35" spans="1:8" s="116" customFormat="1" ht="21" x14ac:dyDescent="0.25">
      <c r="A35" s="126"/>
      <c r="B35" s="127" t="s">
        <v>265</v>
      </c>
      <c r="C35" s="128" t="s">
        <v>266</v>
      </c>
      <c r="D35" s="99">
        <v>23200000</v>
      </c>
      <c r="E35" s="99">
        <v>14100000</v>
      </c>
      <c r="F35" s="129">
        <v>60400000</v>
      </c>
      <c r="H35" s="121"/>
    </row>
    <row r="36" spans="1:8" s="116" customFormat="1" ht="21" x14ac:dyDescent="0.25">
      <c r="A36" s="126"/>
      <c r="B36" s="127" t="s">
        <v>169</v>
      </c>
      <c r="C36" s="128" t="s">
        <v>267</v>
      </c>
      <c r="D36" s="99">
        <v>432661675</v>
      </c>
      <c r="E36" s="99">
        <v>447319000</v>
      </c>
      <c r="F36" s="129">
        <v>1768325021</v>
      </c>
      <c r="H36" s="121"/>
    </row>
    <row r="37" spans="1:8" s="116" customFormat="1" ht="21" x14ac:dyDescent="0.25">
      <c r="A37" s="126"/>
      <c r="B37" s="127" t="s">
        <v>268</v>
      </c>
      <c r="C37" s="128" t="s">
        <v>269</v>
      </c>
      <c r="D37" s="99">
        <v>1968690919</v>
      </c>
      <c r="E37" s="99">
        <v>2241865324</v>
      </c>
      <c r="F37" s="129">
        <v>8281780632</v>
      </c>
      <c r="H37" s="121"/>
    </row>
    <row r="38" spans="1:8" s="116" customFormat="1" ht="42" x14ac:dyDescent="0.25">
      <c r="A38" s="126"/>
      <c r="B38" s="127" t="s">
        <v>171</v>
      </c>
      <c r="C38" s="128" t="s">
        <v>270</v>
      </c>
      <c r="D38" s="99">
        <v>0</v>
      </c>
      <c r="E38" s="99">
        <v>0</v>
      </c>
      <c r="F38" s="129">
        <v>0</v>
      </c>
      <c r="H38" s="121"/>
    </row>
    <row r="39" spans="1:8" s="116" customFormat="1" ht="52.5" x14ac:dyDescent="0.25">
      <c r="A39" s="122" t="s">
        <v>13</v>
      </c>
      <c r="B39" s="123" t="s">
        <v>271</v>
      </c>
      <c r="C39" s="124" t="s">
        <v>272</v>
      </c>
      <c r="D39" s="97">
        <v>7309313594</v>
      </c>
      <c r="E39" s="97">
        <v>8271111736</v>
      </c>
      <c r="F39" s="125">
        <v>30583055039</v>
      </c>
      <c r="H39" s="121"/>
    </row>
    <row r="40" spans="1:8" s="116" customFormat="1" ht="21" x14ac:dyDescent="0.25">
      <c r="A40" s="126"/>
      <c r="B40" s="127" t="s">
        <v>273</v>
      </c>
      <c r="C40" s="128" t="s">
        <v>274</v>
      </c>
      <c r="D40" s="99">
        <v>984345460</v>
      </c>
      <c r="E40" s="99">
        <v>1120932665</v>
      </c>
      <c r="F40" s="129">
        <v>4140890323</v>
      </c>
      <c r="H40" s="121"/>
    </row>
    <row r="41" spans="1:8" s="116" customFormat="1" ht="21" x14ac:dyDescent="0.25">
      <c r="A41" s="126"/>
      <c r="B41" s="127" t="s">
        <v>275</v>
      </c>
      <c r="C41" s="128" t="s">
        <v>276</v>
      </c>
      <c r="D41" s="99">
        <v>16500000</v>
      </c>
      <c r="E41" s="99">
        <v>16500000</v>
      </c>
      <c r="F41" s="129">
        <v>66000000</v>
      </c>
      <c r="H41" s="121"/>
    </row>
    <row r="42" spans="1:8" s="116" customFormat="1" ht="31.5" x14ac:dyDescent="0.25">
      <c r="A42" s="126"/>
      <c r="B42" s="127" t="s">
        <v>277</v>
      </c>
      <c r="C42" s="128" t="s">
        <v>278</v>
      </c>
      <c r="D42" s="99">
        <v>2237148771</v>
      </c>
      <c r="E42" s="99">
        <v>2547574231</v>
      </c>
      <c r="F42" s="129">
        <v>9411114358</v>
      </c>
      <c r="H42" s="121"/>
    </row>
    <row r="43" spans="1:8" s="116" customFormat="1" ht="21" x14ac:dyDescent="0.25">
      <c r="A43" s="126"/>
      <c r="B43" s="127" t="s">
        <v>279</v>
      </c>
      <c r="C43" s="128" t="s">
        <v>280</v>
      </c>
      <c r="D43" s="99">
        <v>1789719017</v>
      </c>
      <c r="E43" s="99">
        <v>2038059385</v>
      </c>
      <c r="F43" s="129">
        <v>7528891482</v>
      </c>
      <c r="H43" s="121"/>
    </row>
    <row r="44" spans="1:8" s="116" customFormat="1" ht="21" x14ac:dyDescent="0.25">
      <c r="A44" s="126"/>
      <c r="B44" s="127" t="s">
        <v>281</v>
      </c>
      <c r="C44" s="128" t="s">
        <v>282</v>
      </c>
      <c r="D44" s="99">
        <v>2281600346</v>
      </c>
      <c r="E44" s="99">
        <v>2548045455</v>
      </c>
      <c r="F44" s="129">
        <v>9436158876</v>
      </c>
      <c r="H44" s="121"/>
    </row>
    <row r="45" spans="1:8" s="116" customFormat="1" ht="21" x14ac:dyDescent="0.25">
      <c r="A45" s="122" t="s">
        <v>18</v>
      </c>
      <c r="B45" s="123" t="s">
        <v>283</v>
      </c>
      <c r="C45" s="124"/>
      <c r="D45" s="97">
        <v>0</v>
      </c>
      <c r="E45" s="97">
        <v>0</v>
      </c>
      <c r="F45" s="125">
        <v>0</v>
      </c>
      <c r="H45" s="121"/>
    </row>
    <row r="46" spans="1:8" s="116" customFormat="1" ht="21" x14ac:dyDescent="0.25">
      <c r="A46" s="122" t="s">
        <v>284</v>
      </c>
      <c r="B46" s="123" t="s">
        <v>285</v>
      </c>
      <c r="C46" s="124"/>
      <c r="D46" s="97">
        <v>0</v>
      </c>
      <c r="E46" s="97">
        <v>0</v>
      </c>
      <c r="F46" s="125">
        <v>0</v>
      </c>
      <c r="H46" s="121"/>
    </row>
    <row r="47" spans="1:8" s="116" customFormat="1" ht="21" x14ac:dyDescent="0.25">
      <c r="A47" s="122" t="s">
        <v>286</v>
      </c>
      <c r="B47" s="123" t="s">
        <v>287</v>
      </c>
      <c r="C47" s="124" t="s">
        <v>288</v>
      </c>
      <c r="D47" s="97">
        <v>83272547</v>
      </c>
      <c r="E47" s="97">
        <v>85127523</v>
      </c>
      <c r="F47" s="125">
        <v>306540960</v>
      </c>
      <c r="H47" s="121"/>
    </row>
    <row r="48" spans="1:8" s="116" customFormat="1" ht="52.5" x14ac:dyDescent="0.25">
      <c r="A48" s="122" t="s">
        <v>289</v>
      </c>
      <c r="B48" s="123" t="s">
        <v>290</v>
      </c>
      <c r="C48" s="124" t="s">
        <v>291</v>
      </c>
      <c r="D48" s="97">
        <v>29268559</v>
      </c>
      <c r="E48" s="97">
        <v>29268470</v>
      </c>
      <c r="F48" s="125">
        <v>117000000</v>
      </c>
      <c r="H48" s="121"/>
    </row>
    <row r="49" spans="1:8" s="116" customFormat="1" ht="21" x14ac:dyDescent="0.25">
      <c r="A49" s="126"/>
      <c r="B49" s="127" t="s">
        <v>292</v>
      </c>
      <c r="C49" s="128" t="s">
        <v>293</v>
      </c>
      <c r="D49" s="99">
        <v>29268559</v>
      </c>
      <c r="E49" s="99">
        <v>29268470</v>
      </c>
      <c r="F49" s="129">
        <v>117000000</v>
      </c>
      <c r="H49" s="121"/>
    </row>
    <row r="50" spans="1:8" s="116" customFormat="1" ht="21" x14ac:dyDescent="0.25">
      <c r="A50" s="126"/>
      <c r="B50" s="127" t="s">
        <v>294</v>
      </c>
      <c r="C50" s="128" t="s">
        <v>295</v>
      </c>
      <c r="D50" s="99">
        <v>0</v>
      </c>
      <c r="E50" s="99">
        <v>0</v>
      </c>
      <c r="F50" s="129">
        <v>0</v>
      </c>
      <c r="H50" s="121"/>
    </row>
    <row r="51" spans="1:8" s="116" customFormat="1" ht="21" x14ac:dyDescent="0.25">
      <c r="A51" s="126"/>
      <c r="B51" s="127" t="s">
        <v>296</v>
      </c>
      <c r="C51" s="128" t="s">
        <v>297</v>
      </c>
      <c r="D51" s="99">
        <v>0</v>
      </c>
      <c r="E51" s="99">
        <v>0</v>
      </c>
      <c r="F51" s="129">
        <v>0</v>
      </c>
      <c r="H51" s="121"/>
    </row>
    <row r="52" spans="1:8" s="116" customFormat="1" ht="115.5" x14ac:dyDescent="0.25">
      <c r="A52" s="122" t="s">
        <v>298</v>
      </c>
      <c r="B52" s="123" t="s">
        <v>299</v>
      </c>
      <c r="C52" s="124" t="s">
        <v>300</v>
      </c>
      <c r="D52" s="97">
        <v>0</v>
      </c>
      <c r="E52" s="97">
        <v>0</v>
      </c>
      <c r="F52" s="125">
        <v>87789716</v>
      </c>
      <c r="H52" s="121"/>
    </row>
    <row r="53" spans="1:8" s="116" customFormat="1" ht="21" x14ac:dyDescent="0.25">
      <c r="A53" s="126"/>
      <c r="B53" s="127" t="s">
        <v>301</v>
      </c>
      <c r="C53" s="128" t="s">
        <v>302</v>
      </c>
      <c r="D53" s="99">
        <v>0</v>
      </c>
      <c r="E53" s="99">
        <v>0</v>
      </c>
      <c r="F53" s="129">
        <v>42258500</v>
      </c>
      <c r="H53" s="121"/>
    </row>
    <row r="54" spans="1:8" s="116" customFormat="1" ht="21" x14ac:dyDescent="0.25">
      <c r="A54" s="126"/>
      <c r="B54" s="127" t="s">
        <v>303</v>
      </c>
      <c r="C54" s="128" t="s">
        <v>304</v>
      </c>
      <c r="D54" s="99">
        <v>0</v>
      </c>
      <c r="E54" s="99">
        <v>0</v>
      </c>
      <c r="F54" s="129">
        <v>0</v>
      </c>
      <c r="H54" s="121"/>
    </row>
    <row r="55" spans="1:8" s="116" customFormat="1" ht="31.5" x14ac:dyDescent="0.25">
      <c r="A55" s="126"/>
      <c r="B55" s="127" t="s">
        <v>305</v>
      </c>
      <c r="C55" s="128" t="s">
        <v>306</v>
      </c>
      <c r="D55" s="99">
        <v>0</v>
      </c>
      <c r="E55" s="99">
        <v>0</v>
      </c>
      <c r="F55" s="129">
        <v>0</v>
      </c>
      <c r="H55" s="121"/>
    </row>
    <row r="56" spans="1:8" s="116" customFormat="1" ht="21" x14ac:dyDescent="0.25">
      <c r="A56" s="126"/>
      <c r="B56" s="127" t="s">
        <v>307</v>
      </c>
      <c r="C56" s="128" t="s">
        <v>308</v>
      </c>
      <c r="D56" s="99">
        <v>0</v>
      </c>
      <c r="E56" s="99">
        <v>0</v>
      </c>
      <c r="F56" s="129">
        <v>0</v>
      </c>
      <c r="H56" s="121"/>
    </row>
    <row r="57" spans="1:8" s="116" customFormat="1" ht="21" x14ac:dyDescent="0.25">
      <c r="A57" s="126"/>
      <c r="B57" s="127" t="s">
        <v>309</v>
      </c>
      <c r="C57" s="128" t="s">
        <v>310</v>
      </c>
      <c r="D57" s="99">
        <v>0</v>
      </c>
      <c r="E57" s="99">
        <v>0</v>
      </c>
      <c r="F57" s="129">
        <v>45531216</v>
      </c>
      <c r="H57" s="121"/>
    </row>
    <row r="58" spans="1:8" s="116" customFormat="1" ht="42" x14ac:dyDescent="0.25">
      <c r="A58" s="122" t="s">
        <v>311</v>
      </c>
      <c r="B58" s="123" t="s">
        <v>312</v>
      </c>
      <c r="C58" s="124" t="s">
        <v>313</v>
      </c>
      <c r="D58" s="97">
        <v>5146522000</v>
      </c>
      <c r="E58" s="97">
        <v>3773403012</v>
      </c>
      <c r="F58" s="125">
        <v>14620374419</v>
      </c>
      <c r="H58" s="121"/>
    </row>
    <row r="59" spans="1:8" s="116" customFormat="1" ht="21" x14ac:dyDescent="0.25">
      <c r="A59" s="126"/>
      <c r="B59" s="127" t="s">
        <v>314</v>
      </c>
      <c r="C59" s="128" t="s">
        <v>315</v>
      </c>
      <c r="D59" s="99">
        <v>5137154196</v>
      </c>
      <c r="E59" s="99">
        <v>3765213867</v>
      </c>
      <c r="F59" s="129">
        <v>14584539661</v>
      </c>
      <c r="H59" s="121"/>
    </row>
    <row r="60" spans="1:8" s="116" customFormat="1" ht="21" x14ac:dyDescent="0.25">
      <c r="A60" s="126"/>
      <c r="B60" s="127" t="s">
        <v>316</v>
      </c>
      <c r="C60" s="128" t="s">
        <v>317</v>
      </c>
      <c r="D60" s="99">
        <v>9367804</v>
      </c>
      <c r="E60" s="99">
        <v>8189145</v>
      </c>
      <c r="F60" s="129">
        <v>35834758</v>
      </c>
      <c r="H60" s="121"/>
    </row>
    <row r="61" spans="1:8" s="116" customFormat="1" ht="21" x14ac:dyDescent="0.25">
      <c r="A61" s="122" t="s">
        <v>318</v>
      </c>
      <c r="B61" s="123" t="s">
        <v>319</v>
      </c>
      <c r="C61" s="124" t="s">
        <v>320</v>
      </c>
      <c r="D61" s="97">
        <v>22152759</v>
      </c>
      <c r="E61" s="97">
        <v>43316072</v>
      </c>
      <c r="F61" s="125">
        <v>155794777</v>
      </c>
      <c r="H61" s="121"/>
    </row>
    <row r="62" spans="1:8" s="116" customFormat="1" ht="21" x14ac:dyDescent="0.25">
      <c r="A62" s="126"/>
      <c r="B62" s="127" t="s">
        <v>321</v>
      </c>
      <c r="C62" s="128" t="s">
        <v>322</v>
      </c>
      <c r="D62" s="99">
        <v>0</v>
      </c>
      <c r="E62" s="99">
        <v>0</v>
      </c>
      <c r="F62" s="129">
        <v>0</v>
      </c>
      <c r="H62" s="121"/>
    </row>
    <row r="63" spans="1:8" s="116" customFormat="1" ht="21" x14ac:dyDescent="0.25">
      <c r="A63" s="126"/>
      <c r="B63" s="127" t="s">
        <v>323</v>
      </c>
      <c r="C63" s="128" t="s">
        <v>324</v>
      </c>
      <c r="D63" s="99">
        <v>0</v>
      </c>
      <c r="E63" s="99">
        <v>0</v>
      </c>
      <c r="F63" s="129">
        <v>30000000</v>
      </c>
      <c r="H63" s="121"/>
    </row>
    <row r="64" spans="1:8" s="116" customFormat="1" ht="21" x14ac:dyDescent="0.25">
      <c r="A64" s="126"/>
      <c r="B64" s="127" t="s">
        <v>325</v>
      </c>
      <c r="C64" s="128" t="s">
        <v>326</v>
      </c>
      <c r="D64" s="99">
        <v>0</v>
      </c>
      <c r="E64" s="99">
        <v>17125995</v>
      </c>
      <c r="F64" s="129">
        <v>17125995</v>
      </c>
      <c r="H64" s="121"/>
    </row>
    <row r="65" spans="1:8" s="116" customFormat="1" ht="21" x14ac:dyDescent="0.25">
      <c r="A65" s="126"/>
      <c r="B65" s="127" t="s">
        <v>327</v>
      </c>
      <c r="C65" s="128" t="s">
        <v>328</v>
      </c>
      <c r="D65" s="99">
        <v>2152759</v>
      </c>
      <c r="E65" s="99">
        <v>1690077</v>
      </c>
      <c r="F65" s="129">
        <v>10668782</v>
      </c>
      <c r="H65" s="121"/>
    </row>
    <row r="66" spans="1:8" s="116" customFormat="1" ht="21" x14ac:dyDescent="0.25">
      <c r="A66" s="126"/>
      <c r="B66" s="127" t="s">
        <v>329</v>
      </c>
      <c r="C66" s="128" t="s">
        <v>330</v>
      </c>
      <c r="D66" s="99">
        <v>0</v>
      </c>
      <c r="E66" s="99">
        <v>0</v>
      </c>
      <c r="F66" s="129">
        <v>0</v>
      </c>
      <c r="H66" s="121"/>
    </row>
    <row r="67" spans="1:8" s="116" customFormat="1" ht="21" x14ac:dyDescent="0.25">
      <c r="A67" s="126"/>
      <c r="B67" s="127" t="s">
        <v>331</v>
      </c>
      <c r="C67" s="128" t="s">
        <v>332</v>
      </c>
      <c r="D67" s="99">
        <v>0</v>
      </c>
      <c r="E67" s="99">
        <v>0</v>
      </c>
      <c r="F67" s="129">
        <v>0</v>
      </c>
      <c r="H67" s="121"/>
    </row>
    <row r="68" spans="1:8" s="116" customFormat="1" ht="21" x14ac:dyDescent="0.25">
      <c r="A68" s="126"/>
      <c r="B68" s="127" t="s">
        <v>333</v>
      </c>
      <c r="C68" s="128" t="s">
        <v>334</v>
      </c>
      <c r="D68" s="99">
        <v>0</v>
      </c>
      <c r="E68" s="99">
        <v>0</v>
      </c>
      <c r="F68" s="129">
        <v>14000000</v>
      </c>
      <c r="H68" s="121"/>
    </row>
    <row r="69" spans="1:8" s="116" customFormat="1" ht="21" x14ac:dyDescent="0.25">
      <c r="A69" s="126"/>
      <c r="B69" s="127" t="s">
        <v>335</v>
      </c>
      <c r="C69" s="128" t="s">
        <v>336</v>
      </c>
      <c r="D69" s="99">
        <v>20000000</v>
      </c>
      <c r="E69" s="99">
        <v>24500000</v>
      </c>
      <c r="F69" s="129">
        <v>84000000</v>
      </c>
      <c r="H69" s="121"/>
    </row>
    <row r="70" spans="1:8" s="116" customFormat="1" ht="31.5" x14ac:dyDescent="0.25">
      <c r="A70" s="117" t="s">
        <v>337</v>
      </c>
      <c r="B70" s="118" t="s">
        <v>338</v>
      </c>
      <c r="C70" s="119" t="s">
        <v>339</v>
      </c>
      <c r="D70" s="95">
        <v>21294060830</v>
      </c>
      <c r="E70" s="95">
        <v>92892980729</v>
      </c>
      <c r="F70" s="120">
        <v>237382416073</v>
      </c>
      <c r="H70" s="121"/>
    </row>
    <row r="71" spans="1:8" s="116" customFormat="1" ht="21" x14ac:dyDescent="0.25">
      <c r="A71" s="117" t="s">
        <v>340</v>
      </c>
      <c r="B71" s="118" t="s">
        <v>341</v>
      </c>
      <c r="C71" s="119" t="s">
        <v>342</v>
      </c>
      <c r="D71" s="95">
        <v>-477123782574</v>
      </c>
      <c r="E71" s="95">
        <v>2011831343500</v>
      </c>
      <c r="F71" s="120">
        <v>2602727620526</v>
      </c>
      <c r="H71" s="121"/>
    </row>
    <row r="72" spans="1:8" s="116" customFormat="1" ht="42" x14ac:dyDescent="0.25">
      <c r="A72" s="122" t="s">
        <v>3</v>
      </c>
      <c r="B72" s="123" t="s">
        <v>343</v>
      </c>
      <c r="C72" s="124" t="s">
        <v>344</v>
      </c>
      <c r="D72" s="97">
        <v>321706105469</v>
      </c>
      <c r="E72" s="97">
        <v>335772887050</v>
      </c>
      <c r="F72" s="125">
        <v>593948317281</v>
      </c>
      <c r="H72" s="121"/>
    </row>
    <row r="73" spans="1:8" s="116" customFormat="1" ht="21" x14ac:dyDescent="0.25">
      <c r="A73" s="126"/>
      <c r="B73" s="127" t="s">
        <v>345</v>
      </c>
      <c r="C73" s="128" t="s">
        <v>346</v>
      </c>
      <c r="D73" s="99">
        <v>157919744295</v>
      </c>
      <c r="E73" s="99">
        <v>98213253635</v>
      </c>
      <c r="F73" s="129">
        <v>214939749139</v>
      </c>
      <c r="H73" s="121"/>
    </row>
    <row r="74" spans="1:8" s="116" customFormat="1" ht="31.5" x14ac:dyDescent="0.25">
      <c r="A74" s="126"/>
      <c r="B74" s="127" t="s">
        <v>347</v>
      </c>
      <c r="C74" s="128" t="s">
        <v>348</v>
      </c>
      <c r="D74" s="99">
        <v>163812286174</v>
      </c>
      <c r="E74" s="99">
        <v>236662773415</v>
      </c>
      <c r="F74" s="129">
        <v>375561248542</v>
      </c>
      <c r="H74" s="121"/>
    </row>
    <row r="75" spans="1:8" s="116" customFormat="1" ht="42" x14ac:dyDescent="0.25">
      <c r="A75" s="126"/>
      <c r="B75" s="127" t="s">
        <v>349</v>
      </c>
      <c r="C75" s="128" t="s">
        <v>350</v>
      </c>
      <c r="D75" s="99">
        <v>-25925000</v>
      </c>
      <c r="E75" s="99">
        <v>896860000</v>
      </c>
      <c r="F75" s="129">
        <v>3447319600</v>
      </c>
      <c r="H75" s="121"/>
    </row>
    <row r="76" spans="1:8" s="116" customFormat="1" ht="21" x14ac:dyDescent="0.25">
      <c r="A76" s="122" t="s">
        <v>8</v>
      </c>
      <c r="B76" s="123" t="s">
        <v>351</v>
      </c>
      <c r="C76" s="124" t="s">
        <v>352</v>
      </c>
      <c r="D76" s="97">
        <v>-798829888043</v>
      </c>
      <c r="E76" s="97">
        <v>1676058456450</v>
      </c>
      <c r="F76" s="125">
        <v>2008779303245</v>
      </c>
      <c r="H76" s="121"/>
    </row>
    <row r="77" spans="1:8" s="116" customFormat="1" ht="47.25" customHeight="1" x14ac:dyDescent="0.25">
      <c r="A77" s="117" t="s">
        <v>353</v>
      </c>
      <c r="B77" s="118" t="s">
        <v>354</v>
      </c>
      <c r="C77" s="119" t="s">
        <v>355</v>
      </c>
      <c r="D77" s="95">
        <v>-455829721744</v>
      </c>
      <c r="E77" s="95">
        <v>2104724324229</v>
      </c>
      <c r="F77" s="120">
        <v>2840110036599</v>
      </c>
      <c r="H77" s="121"/>
    </row>
    <row r="78" spans="1:8" s="116" customFormat="1" ht="21" x14ac:dyDescent="0.25">
      <c r="A78" s="117" t="s">
        <v>356</v>
      </c>
      <c r="B78" s="118" t="s">
        <v>357</v>
      </c>
      <c r="C78" s="119" t="s">
        <v>358</v>
      </c>
      <c r="D78" s="95">
        <v>19465472840241</v>
      </c>
      <c r="E78" s="95">
        <v>19082391579937</v>
      </c>
      <c r="F78" s="120">
        <v>18083580873093</v>
      </c>
      <c r="H78" s="121"/>
    </row>
    <row r="79" spans="1:8" s="116" customFormat="1" ht="31.5" x14ac:dyDescent="0.25">
      <c r="A79" s="117" t="s">
        <v>359</v>
      </c>
      <c r="B79" s="118" t="s">
        <v>360</v>
      </c>
      <c r="C79" s="119" t="s">
        <v>361</v>
      </c>
      <c r="D79" s="95">
        <v>-2204078027104</v>
      </c>
      <c r="E79" s="95">
        <v>383081260304</v>
      </c>
      <c r="F79" s="120">
        <v>-822186059956</v>
      </c>
      <c r="H79" s="121"/>
    </row>
    <row r="80" spans="1:8" s="116" customFormat="1" ht="21" x14ac:dyDescent="0.25">
      <c r="A80" s="122"/>
      <c r="B80" s="123" t="s">
        <v>362</v>
      </c>
      <c r="C80" s="124" t="s">
        <v>363</v>
      </c>
      <c r="D80" s="97">
        <v>0</v>
      </c>
      <c r="E80" s="97">
        <v>0</v>
      </c>
      <c r="F80" s="125">
        <v>0</v>
      </c>
      <c r="H80" s="121"/>
    </row>
    <row r="81" spans="1:8" s="116" customFormat="1" ht="42" x14ac:dyDescent="0.25">
      <c r="A81" s="122" t="s">
        <v>3</v>
      </c>
      <c r="B81" s="123" t="s">
        <v>364</v>
      </c>
      <c r="C81" s="124" t="s">
        <v>365</v>
      </c>
      <c r="D81" s="97">
        <v>-455829721744</v>
      </c>
      <c r="E81" s="97">
        <v>2104724324229</v>
      </c>
      <c r="F81" s="125">
        <v>2840110036599</v>
      </c>
      <c r="H81" s="121"/>
    </row>
    <row r="82" spans="1:8" s="116" customFormat="1" ht="42" x14ac:dyDescent="0.25">
      <c r="A82" s="122" t="s">
        <v>8</v>
      </c>
      <c r="B82" s="123" t="s">
        <v>366</v>
      </c>
      <c r="C82" s="124"/>
      <c r="D82" s="97">
        <v>0</v>
      </c>
      <c r="E82" s="97">
        <v>0</v>
      </c>
      <c r="F82" s="125">
        <v>0</v>
      </c>
      <c r="H82" s="121"/>
    </row>
    <row r="83" spans="1:8" s="116" customFormat="1" ht="42" x14ac:dyDescent="0.25">
      <c r="A83" s="122" t="s">
        <v>13</v>
      </c>
      <c r="B83" s="123" t="s">
        <v>367</v>
      </c>
      <c r="C83" s="124" t="s">
        <v>368</v>
      </c>
      <c r="D83" s="97">
        <v>-1748248305360</v>
      </c>
      <c r="E83" s="97">
        <v>-1721643063925</v>
      </c>
      <c r="F83" s="125">
        <v>-3662296096555</v>
      </c>
      <c r="H83" s="121"/>
    </row>
    <row r="84" spans="1:8" s="116" customFormat="1" ht="42" x14ac:dyDescent="0.25">
      <c r="A84" s="126"/>
      <c r="B84" s="127" t="s">
        <v>369</v>
      </c>
      <c r="C84" s="128" t="s">
        <v>370</v>
      </c>
      <c r="D84" s="99">
        <v>436969315341</v>
      </c>
      <c r="E84" s="99">
        <v>302332569284</v>
      </c>
      <c r="F84" s="129">
        <v>2143254396794</v>
      </c>
      <c r="H84" s="121"/>
    </row>
    <row r="85" spans="1:8" s="116" customFormat="1" ht="31.5" x14ac:dyDescent="0.25">
      <c r="A85" s="126"/>
      <c r="B85" s="127" t="s">
        <v>371</v>
      </c>
      <c r="C85" s="128" t="s">
        <v>372</v>
      </c>
      <c r="D85" s="99">
        <v>-2185217620701</v>
      </c>
      <c r="E85" s="99">
        <v>-2023975633209</v>
      </c>
      <c r="F85" s="129">
        <v>-5805550493349</v>
      </c>
      <c r="H85" s="121"/>
    </row>
    <row r="86" spans="1:8" s="116" customFormat="1" ht="21" x14ac:dyDescent="0.25">
      <c r="A86" s="117" t="s">
        <v>373</v>
      </c>
      <c r="B86" s="118" t="s">
        <v>374</v>
      </c>
      <c r="C86" s="119" t="s">
        <v>375</v>
      </c>
      <c r="D86" s="95">
        <v>17261394813137</v>
      </c>
      <c r="E86" s="95">
        <v>19465472840241</v>
      </c>
      <c r="F86" s="120">
        <v>17261394813137</v>
      </c>
      <c r="H86" s="121"/>
    </row>
    <row r="87" spans="1:8" s="116" customFormat="1" ht="42" x14ac:dyDescent="0.25">
      <c r="A87" s="117" t="s">
        <v>376</v>
      </c>
      <c r="B87" s="118" t="s">
        <v>377</v>
      </c>
      <c r="C87" s="119" t="s">
        <v>378</v>
      </c>
      <c r="D87" s="95"/>
      <c r="E87" s="95"/>
      <c r="F87" s="120"/>
      <c r="H87" s="121"/>
    </row>
    <row r="88" spans="1:8" s="116" customFormat="1" ht="42" x14ac:dyDescent="0.25">
      <c r="A88" s="130"/>
      <c r="B88" s="131" t="s">
        <v>379</v>
      </c>
      <c r="C88" s="132" t="s">
        <v>380</v>
      </c>
      <c r="D88" s="133"/>
      <c r="E88" s="133"/>
      <c r="F88" s="134"/>
      <c r="H88" s="121"/>
    </row>
    <row r="89" spans="1:8" ht="9" customHeight="1" x14ac:dyDescent="0.15">
      <c r="A89" s="84"/>
      <c r="B89" s="84"/>
      <c r="C89" s="113"/>
      <c r="D89" s="84"/>
      <c r="E89" s="84"/>
      <c r="F89" s="84"/>
    </row>
    <row r="90" spans="1:8" ht="12.75" customHeight="1" x14ac:dyDescent="0.15">
      <c r="A90" s="309" t="s">
        <v>220</v>
      </c>
      <c r="B90" s="309"/>
      <c r="C90" s="309"/>
      <c r="D90" s="309" t="s">
        <v>221</v>
      </c>
      <c r="E90" s="309"/>
      <c r="F90" s="309"/>
    </row>
    <row r="91" spans="1:8" ht="12.75" customHeight="1" x14ac:dyDescent="0.15">
      <c r="A91" s="319" t="s">
        <v>222</v>
      </c>
      <c r="B91" s="319"/>
      <c r="C91" s="319"/>
      <c r="D91" s="320" t="s">
        <v>223</v>
      </c>
      <c r="E91" s="320"/>
      <c r="F91" s="320"/>
    </row>
    <row r="92" spans="1:8" ht="12.75" customHeight="1" x14ac:dyDescent="0.15">
      <c r="A92" s="84"/>
      <c r="B92" s="84"/>
      <c r="C92" s="84"/>
      <c r="D92" s="84"/>
      <c r="E92" s="84"/>
      <c r="F92" s="84"/>
    </row>
    <row r="93" spans="1:8" ht="12.75" customHeight="1" x14ac:dyDescent="0.15">
      <c r="A93" s="84"/>
      <c r="B93" s="84"/>
      <c r="C93" s="84"/>
      <c r="D93" s="84"/>
      <c r="E93" s="84"/>
      <c r="F93" s="84"/>
    </row>
    <row r="94" spans="1:8" ht="12.75" customHeight="1" x14ac:dyDescent="0.15">
      <c r="A94" s="84"/>
      <c r="B94" s="84"/>
      <c r="C94" s="84"/>
      <c r="D94" s="84"/>
      <c r="E94" s="84"/>
      <c r="F94" s="84"/>
    </row>
    <row r="95" spans="1:8" ht="12.75" customHeight="1" x14ac:dyDescent="0.15">
      <c r="A95" s="84"/>
      <c r="B95" s="84"/>
      <c r="C95" s="84"/>
      <c r="D95" s="84"/>
      <c r="E95" s="84"/>
      <c r="F95" s="84"/>
    </row>
    <row r="96" spans="1:8" ht="12.75" customHeight="1" x14ac:dyDescent="0.15">
      <c r="A96" s="84"/>
      <c r="B96" s="84"/>
      <c r="C96" s="84"/>
      <c r="D96" s="84"/>
      <c r="E96" s="84"/>
      <c r="F96" s="84"/>
    </row>
    <row r="97" spans="1:6" ht="12.75" customHeight="1" x14ac:dyDescent="0.15">
      <c r="A97" s="309" t="s">
        <v>224</v>
      </c>
      <c r="B97" s="309"/>
      <c r="C97" s="309"/>
      <c r="D97" s="309" t="s">
        <v>225</v>
      </c>
      <c r="E97" s="309"/>
      <c r="F97" s="309"/>
    </row>
    <row r="98" spans="1:6" ht="12.75" customHeight="1" x14ac:dyDescent="0.15">
      <c r="A98" s="318" t="s">
        <v>226</v>
      </c>
      <c r="B98" s="318"/>
      <c r="C98" s="318"/>
      <c r="D98" s="318" t="s">
        <v>227</v>
      </c>
      <c r="E98" s="318"/>
      <c r="F98" s="318"/>
    </row>
    <row r="99" spans="1:6" ht="12.75" customHeight="1" x14ac:dyDescent="0.15">
      <c r="A99" s="318" t="s">
        <v>228</v>
      </c>
      <c r="B99" s="318"/>
      <c r="C99" s="318"/>
      <c r="D99" s="318" t="s">
        <v>229</v>
      </c>
      <c r="E99" s="318"/>
      <c r="F99" s="318"/>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63" bottom="0.5899999737739563" header="0.5" footer="0.5"/>
  <pageSetup paperSize="9" scale="9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O88"/>
  <sheetViews>
    <sheetView showGridLines="0" showZeros="0" showOutlineSymbols="0" view="pageBreakPreview" topLeftCell="A47" zoomScaleNormal="100" zoomScaleSheetLayoutView="100" workbookViewId="0">
      <selection activeCell="I56" sqref="I56"/>
    </sheetView>
  </sheetViews>
  <sheetFormatPr defaultColWidth="9.140625" defaultRowHeight="10.5" x14ac:dyDescent="0.25"/>
  <cols>
    <col min="1" max="1" width="4.5703125" style="116" customWidth="1"/>
    <col min="2" max="2" width="42" style="116" customWidth="1"/>
    <col min="3" max="3" width="9.140625" style="116"/>
    <col min="4" max="4" width="12.42578125" style="116" bestFit="1" customWidth="1"/>
    <col min="5" max="5" width="11.42578125" style="116" bestFit="1" customWidth="1"/>
    <col min="6" max="6" width="19" style="116" bestFit="1" customWidth="1"/>
    <col min="7" max="7" width="8.85546875" style="116" customWidth="1"/>
    <col min="8" max="8" width="9.140625" style="116"/>
    <col min="9" max="9" width="16.5703125" style="116" bestFit="1" customWidth="1"/>
    <col min="10" max="16384" width="9.140625" style="116"/>
  </cols>
  <sheetData>
    <row r="1" spans="1:7" ht="30.75" customHeight="1" x14ac:dyDescent="0.25">
      <c r="A1" s="135"/>
      <c r="B1" s="135"/>
      <c r="C1" s="82"/>
      <c r="D1" s="309" t="s">
        <v>0</v>
      </c>
      <c r="E1" s="309"/>
      <c r="F1" s="309"/>
      <c r="G1" s="309"/>
    </row>
    <row r="2" spans="1:7" ht="27.75" customHeight="1" x14ac:dyDescent="0.25">
      <c r="A2" s="310" t="s">
        <v>1</v>
      </c>
      <c r="B2" s="310"/>
      <c r="C2" s="310"/>
      <c r="D2" s="310"/>
      <c r="E2" s="310"/>
      <c r="F2" s="310"/>
      <c r="G2" s="310"/>
    </row>
    <row r="3" spans="1:7" ht="6" customHeight="1" x14ac:dyDescent="0.25">
      <c r="A3" s="135"/>
      <c r="B3" s="135"/>
      <c r="C3" s="135"/>
      <c r="D3" s="135"/>
      <c r="E3" s="135"/>
      <c r="F3" s="135"/>
      <c r="G3" s="135"/>
    </row>
    <row r="4" spans="1:7" ht="30" customHeight="1" x14ac:dyDescent="0.25">
      <c r="A4" s="311" t="s">
        <v>230</v>
      </c>
      <c r="B4" s="311"/>
      <c r="C4" s="311"/>
      <c r="D4" s="311"/>
      <c r="E4" s="311"/>
      <c r="F4" s="311"/>
      <c r="G4" s="311"/>
    </row>
    <row r="5" spans="1:7" ht="12.75" customHeight="1" x14ac:dyDescent="0.25">
      <c r="A5" s="320" t="s">
        <v>381</v>
      </c>
      <c r="B5" s="320"/>
      <c r="C5" s="320"/>
      <c r="D5" s="320"/>
      <c r="E5" s="320"/>
      <c r="F5" s="320"/>
      <c r="G5" s="320"/>
    </row>
    <row r="6" spans="1:7" ht="12.75" customHeight="1" x14ac:dyDescent="0.25">
      <c r="A6" s="115" t="s">
        <v>3</v>
      </c>
      <c r="B6" s="136" t="s">
        <v>231</v>
      </c>
      <c r="C6" s="322" t="s">
        <v>5</v>
      </c>
      <c r="D6" s="322"/>
      <c r="E6" s="322"/>
      <c r="F6" s="322"/>
      <c r="G6" s="322"/>
    </row>
    <row r="7" spans="1:7" ht="12.75" customHeight="1" x14ac:dyDescent="0.25">
      <c r="A7" s="135"/>
      <c r="B7" s="135" t="s">
        <v>6</v>
      </c>
      <c r="C7" s="321" t="s">
        <v>7</v>
      </c>
      <c r="D7" s="321"/>
      <c r="E7" s="321"/>
      <c r="F7" s="321"/>
      <c r="G7" s="321"/>
    </row>
    <row r="8" spans="1:7" ht="12.75" customHeight="1" x14ac:dyDescent="0.25">
      <c r="A8" s="115" t="s">
        <v>8</v>
      </c>
      <c r="B8" s="136" t="s">
        <v>9</v>
      </c>
      <c r="C8" s="322" t="s">
        <v>10</v>
      </c>
      <c r="D8" s="322"/>
      <c r="E8" s="322"/>
      <c r="F8" s="322"/>
      <c r="G8" s="322"/>
    </row>
    <row r="9" spans="1:7" ht="12.75" customHeight="1" x14ac:dyDescent="0.25">
      <c r="A9" s="135"/>
      <c r="B9" s="135" t="s">
        <v>11</v>
      </c>
      <c r="C9" s="321" t="s">
        <v>12</v>
      </c>
      <c r="D9" s="321"/>
      <c r="E9" s="321"/>
      <c r="F9" s="321"/>
      <c r="G9" s="321"/>
    </row>
    <row r="10" spans="1:7" ht="12.75" customHeight="1" x14ac:dyDescent="0.25">
      <c r="A10" s="115" t="s">
        <v>13</v>
      </c>
      <c r="B10" s="136" t="s">
        <v>382</v>
      </c>
      <c r="C10" s="322" t="s">
        <v>15</v>
      </c>
      <c r="D10" s="322"/>
      <c r="E10" s="322"/>
      <c r="F10" s="322"/>
      <c r="G10" s="322"/>
    </row>
    <row r="11" spans="1:7" ht="12.75" customHeight="1" x14ac:dyDescent="0.25">
      <c r="A11" s="135"/>
      <c r="B11" s="135" t="s">
        <v>16</v>
      </c>
      <c r="C11" s="321" t="s">
        <v>17</v>
      </c>
      <c r="D11" s="321"/>
      <c r="E11" s="321"/>
      <c r="F11" s="321"/>
      <c r="G11" s="321"/>
    </row>
    <row r="12" spans="1:7" ht="12.75" customHeight="1" x14ac:dyDescent="0.25">
      <c r="A12" s="115" t="s">
        <v>18</v>
      </c>
      <c r="B12" s="136" t="s">
        <v>19</v>
      </c>
      <c r="C12" s="313">
        <v>45303</v>
      </c>
      <c r="D12" s="313"/>
      <c r="E12" s="313"/>
      <c r="F12" s="313"/>
      <c r="G12" s="313"/>
    </row>
    <row r="13" spans="1:7" ht="12.75" customHeight="1" x14ac:dyDescent="0.25">
      <c r="A13" s="135"/>
      <c r="B13" s="135" t="s">
        <v>20</v>
      </c>
      <c r="C13" s="314">
        <v>45303</v>
      </c>
      <c r="D13" s="314"/>
      <c r="E13" s="314"/>
      <c r="F13" s="314"/>
      <c r="G13" s="314"/>
    </row>
    <row r="14" spans="1:7" ht="9" customHeight="1" x14ac:dyDescent="0.25">
      <c r="A14" s="135"/>
      <c r="B14" s="135"/>
      <c r="C14" s="137"/>
      <c r="D14" s="135"/>
      <c r="E14" s="135"/>
      <c r="F14" s="135"/>
      <c r="G14" s="135"/>
    </row>
    <row r="15" spans="1:7" ht="12.75" customHeight="1" x14ac:dyDescent="0.25">
      <c r="A15" s="324" t="s">
        <v>383</v>
      </c>
      <c r="B15" s="324"/>
      <c r="C15" s="324"/>
      <c r="D15" s="324"/>
      <c r="E15" s="324"/>
      <c r="F15" s="324"/>
      <c r="G15" s="324"/>
    </row>
    <row r="16" spans="1:7" ht="12.75" customHeight="1" x14ac:dyDescent="0.25">
      <c r="A16" s="322" t="s">
        <v>384</v>
      </c>
      <c r="B16" s="322"/>
      <c r="C16" s="322"/>
      <c r="D16" s="322"/>
      <c r="E16" s="322"/>
      <c r="F16" s="322"/>
      <c r="G16" s="322"/>
    </row>
    <row r="17" spans="1:15" ht="12.75" customHeight="1" x14ac:dyDescent="0.25">
      <c r="A17" s="138"/>
      <c r="B17" s="138"/>
      <c r="C17" s="139"/>
      <c r="D17" s="138"/>
      <c r="E17" s="138"/>
      <c r="F17" s="325" t="s">
        <v>23</v>
      </c>
      <c r="G17" s="325"/>
    </row>
    <row r="18" spans="1:15" ht="104.25" customHeight="1" x14ac:dyDescent="0.25">
      <c r="A18" s="89" t="s">
        <v>385</v>
      </c>
      <c r="B18" s="90" t="s">
        <v>386</v>
      </c>
      <c r="C18" s="90" t="s">
        <v>26</v>
      </c>
      <c r="D18" s="90" t="s">
        <v>387</v>
      </c>
      <c r="E18" s="90" t="s">
        <v>388</v>
      </c>
      <c r="F18" s="90" t="s">
        <v>389</v>
      </c>
      <c r="G18" s="91" t="s">
        <v>390</v>
      </c>
    </row>
    <row r="19" spans="1:15" ht="21" x14ac:dyDescent="0.25">
      <c r="A19" s="92" t="s">
        <v>30</v>
      </c>
      <c r="B19" s="93" t="s">
        <v>391</v>
      </c>
      <c r="C19" s="94"/>
      <c r="D19" s="140">
        <v>0</v>
      </c>
      <c r="E19" s="141">
        <v>0</v>
      </c>
      <c r="F19" s="141">
        <v>0</v>
      </c>
      <c r="G19" s="96">
        <v>0</v>
      </c>
    </row>
    <row r="20" spans="1:15" ht="35.25" customHeight="1" x14ac:dyDescent="0.25">
      <c r="A20" s="92" t="s">
        <v>120</v>
      </c>
      <c r="B20" s="93" t="s">
        <v>392</v>
      </c>
      <c r="C20" s="94" t="s">
        <v>393</v>
      </c>
      <c r="D20" s="140">
        <v>0</v>
      </c>
      <c r="E20" s="141">
        <v>0</v>
      </c>
      <c r="F20" s="141">
        <v>0</v>
      </c>
      <c r="G20" s="96">
        <v>0</v>
      </c>
    </row>
    <row r="21" spans="1:15" ht="15" customHeight="1" x14ac:dyDescent="0.25">
      <c r="A21" s="92" t="s">
        <v>3</v>
      </c>
      <c r="B21" s="93" t="s">
        <v>394</v>
      </c>
      <c r="C21" s="94" t="s">
        <v>395</v>
      </c>
      <c r="D21" s="97">
        <v>37531968</v>
      </c>
      <c r="E21" s="97">
        <v>23900</v>
      </c>
      <c r="F21" s="97">
        <v>897014035200</v>
      </c>
      <c r="G21" s="96">
        <v>5.1900000000000002E-2</v>
      </c>
      <c r="L21" s="121"/>
      <c r="M21" s="121"/>
      <c r="N21" s="121"/>
      <c r="O21" s="121"/>
    </row>
    <row r="22" spans="1:15" ht="15" customHeight="1" x14ac:dyDescent="0.25">
      <c r="A22" s="92" t="s">
        <v>8</v>
      </c>
      <c r="B22" s="93" t="s">
        <v>396</v>
      </c>
      <c r="C22" s="94" t="s">
        <v>397</v>
      </c>
      <c r="D22" s="97">
        <v>12964736</v>
      </c>
      <c r="E22" s="97">
        <v>27100</v>
      </c>
      <c r="F22" s="97">
        <v>351344345600</v>
      </c>
      <c r="G22" s="96">
        <v>2.0299999999999999E-2</v>
      </c>
      <c r="L22" s="121"/>
      <c r="M22" s="121"/>
      <c r="N22" s="121"/>
      <c r="O22" s="121"/>
    </row>
    <row r="23" spans="1:15" ht="15" customHeight="1" x14ac:dyDescent="0.25">
      <c r="A23" s="92" t="s">
        <v>13</v>
      </c>
      <c r="B23" s="93" t="s">
        <v>398</v>
      </c>
      <c r="C23" s="94" t="s">
        <v>399</v>
      </c>
      <c r="D23" s="97">
        <v>27714134</v>
      </c>
      <c r="E23" s="97">
        <v>96100</v>
      </c>
      <c r="F23" s="97">
        <v>2663328277400</v>
      </c>
      <c r="G23" s="96">
        <v>0.154</v>
      </c>
      <c r="L23" s="121"/>
      <c r="M23" s="121"/>
      <c r="N23" s="121"/>
      <c r="O23" s="121"/>
    </row>
    <row r="24" spans="1:15" ht="15" customHeight="1" x14ac:dyDescent="0.25">
      <c r="A24" s="92" t="s">
        <v>18</v>
      </c>
      <c r="B24" s="93" t="s">
        <v>400</v>
      </c>
      <c r="C24" s="94" t="s">
        <v>401</v>
      </c>
      <c r="D24" s="97">
        <v>22853950</v>
      </c>
      <c r="E24" s="97">
        <v>70500</v>
      </c>
      <c r="F24" s="97">
        <v>1611203475000</v>
      </c>
      <c r="G24" s="96">
        <v>9.3100000000000002E-2</v>
      </c>
      <c r="L24" s="121"/>
      <c r="M24" s="121"/>
      <c r="N24" s="121"/>
      <c r="O24" s="121"/>
    </row>
    <row r="25" spans="1:15" ht="15" customHeight="1" x14ac:dyDescent="0.25">
      <c r="A25" s="92" t="s">
        <v>284</v>
      </c>
      <c r="B25" s="93" t="s">
        <v>402</v>
      </c>
      <c r="C25" s="94" t="s">
        <v>403</v>
      </c>
      <c r="D25" s="97">
        <v>15571300</v>
      </c>
      <c r="E25" s="97">
        <v>20300</v>
      </c>
      <c r="F25" s="97">
        <v>316097390000</v>
      </c>
      <c r="G25" s="96">
        <v>1.83E-2</v>
      </c>
      <c r="L25" s="121"/>
      <c r="M25" s="121"/>
      <c r="N25" s="121"/>
      <c r="O25" s="121"/>
    </row>
    <row r="26" spans="1:15" ht="15" customHeight="1" x14ac:dyDescent="0.25">
      <c r="A26" s="92" t="s">
        <v>286</v>
      </c>
      <c r="B26" s="93" t="s">
        <v>404</v>
      </c>
      <c r="C26" s="94" t="s">
        <v>405</v>
      </c>
      <c r="D26" s="97">
        <v>12208192</v>
      </c>
      <c r="E26" s="97">
        <v>31400</v>
      </c>
      <c r="F26" s="97">
        <v>383337228800</v>
      </c>
      <c r="G26" s="96">
        <v>2.2200000000000001E-2</v>
      </c>
      <c r="L26" s="121"/>
      <c r="M26" s="121"/>
      <c r="N26" s="121"/>
      <c r="O26" s="121"/>
    </row>
    <row r="27" spans="1:15" ht="15" customHeight="1" x14ac:dyDescent="0.25">
      <c r="A27" s="92" t="s">
        <v>289</v>
      </c>
      <c r="B27" s="93" t="s">
        <v>406</v>
      </c>
      <c r="C27" s="94" t="s">
        <v>407</v>
      </c>
      <c r="D27" s="97">
        <v>61533783</v>
      </c>
      <c r="E27" s="97">
        <v>18650</v>
      </c>
      <c r="F27" s="97">
        <v>1147605052950</v>
      </c>
      <c r="G27" s="96">
        <v>6.6299999999999998E-2</v>
      </c>
      <c r="L27" s="121"/>
      <c r="M27" s="121"/>
      <c r="N27" s="121"/>
      <c r="O27" s="121"/>
    </row>
    <row r="28" spans="1:15" ht="15" customHeight="1" x14ac:dyDescent="0.25">
      <c r="A28" s="92" t="s">
        <v>298</v>
      </c>
      <c r="B28" s="93" t="s">
        <v>408</v>
      </c>
      <c r="C28" s="94" t="s">
        <v>409</v>
      </c>
      <c r="D28" s="97">
        <v>36272987</v>
      </c>
      <c r="E28" s="97">
        <v>13000</v>
      </c>
      <c r="F28" s="97">
        <v>471548831000</v>
      </c>
      <c r="G28" s="96">
        <v>2.7300000000000001E-2</v>
      </c>
      <c r="L28" s="121"/>
      <c r="M28" s="121"/>
      <c r="N28" s="121"/>
      <c r="O28" s="121"/>
    </row>
    <row r="29" spans="1:15" ht="15" customHeight="1" x14ac:dyDescent="0.25">
      <c r="A29" s="92" t="s">
        <v>311</v>
      </c>
      <c r="B29" s="93" t="s">
        <v>410</v>
      </c>
      <c r="C29" s="94" t="s">
        <v>411</v>
      </c>
      <c r="D29" s="97">
        <v>53657440</v>
      </c>
      <c r="E29" s="97">
        <v>42800</v>
      </c>
      <c r="F29" s="97">
        <v>2296538432000</v>
      </c>
      <c r="G29" s="96">
        <v>0.1328</v>
      </c>
      <c r="L29" s="121"/>
      <c r="M29" s="121"/>
      <c r="N29" s="121"/>
      <c r="O29" s="121"/>
    </row>
    <row r="30" spans="1:15" ht="15" customHeight="1" x14ac:dyDescent="0.25">
      <c r="A30" s="92" t="s">
        <v>318</v>
      </c>
      <c r="B30" s="93" t="s">
        <v>412</v>
      </c>
      <c r="C30" s="94" t="s">
        <v>413</v>
      </c>
      <c r="D30" s="97">
        <v>11688988</v>
      </c>
      <c r="E30" s="97">
        <v>36650</v>
      </c>
      <c r="F30" s="97">
        <v>428401410200</v>
      </c>
      <c r="G30" s="96">
        <v>2.4799999999999999E-2</v>
      </c>
      <c r="L30" s="121"/>
      <c r="M30" s="121"/>
      <c r="N30" s="121"/>
      <c r="O30" s="121"/>
    </row>
    <row r="31" spans="1:15" ht="15" customHeight="1" x14ac:dyDescent="0.25">
      <c r="A31" s="92" t="s">
        <v>414</v>
      </c>
      <c r="B31" s="93" t="s">
        <v>415</v>
      </c>
      <c r="C31" s="94" t="s">
        <v>416</v>
      </c>
      <c r="D31" s="97">
        <v>17579850</v>
      </c>
      <c r="E31" s="97">
        <v>13300</v>
      </c>
      <c r="F31" s="97">
        <v>233812005000</v>
      </c>
      <c r="G31" s="96">
        <v>1.35E-2</v>
      </c>
      <c r="L31" s="121"/>
      <c r="M31" s="121"/>
      <c r="N31" s="121"/>
      <c r="O31" s="121"/>
    </row>
    <row r="32" spans="1:15" ht="15" customHeight="1" x14ac:dyDescent="0.25">
      <c r="A32" s="92" t="s">
        <v>417</v>
      </c>
      <c r="B32" s="93" t="s">
        <v>418</v>
      </c>
      <c r="C32" s="94" t="s">
        <v>419</v>
      </c>
      <c r="D32" s="97">
        <v>20321304</v>
      </c>
      <c r="E32" s="97">
        <v>86000</v>
      </c>
      <c r="F32" s="97">
        <v>1747632144000</v>
      </c>
      <c r="G32" s="96">
        <v>0.10100000000000001</v>
      </c>
      <c r="L32" s="121"/>
      <c r="M32" s="121"/>
      <c r="N32" s="121"/>
      <c r="O32" s="121"/>
    </row>
    <row r="33" spans="1:15" ht="15" customHeight="1" x14ac:dyDescent="0.25">
      <c r="A33" s="92" t="s">
        <v>420</v>
      </c>
      <c r="B33" s="93" t="s">
        <v>421</v>
      </c>
      <c r="C33" s="94" t="s">
        <v>422</v>
      </c>
      <c r="D33" s="97">
        <v>15240181</v>
      </c>
      <c r="E33" s="97">
        <v>56800</v>
      </c>
      <c r="F33" s="97">
        <v>865642280800</v>
      </c>
      <c r="G33" s="96">
        <v>0.05</v>
      </c>
      <c r="L33" s="121"/>
      <c r="M33" s="121"/>
      <c r="N33" s="121"/>
      <c r="O33" s="121"/>
    </row>
    <row r="34" spans="1:15" ht="15" customHeight="1" x14ac:dyDescent="0.25">
      <c r="A34" s="92" t="s">
        <v>423</v>
      </c>
      <c r="B34" s="93" t="s">
        <v>424</v>
      </c>
      <c r="C34" s="94" t="s">
        <v>425</v>
      </c>
      <c r="D34" s="97">
        <v>48784400</v>
      </c>
      <c r="E34" s="97">
        <v>31800</v>
      </c>
      <c r="F34" s="97">
        <v>1551343920000</v>
      </c>
      <c r="G34" s="96">
        <v>8.9700000000000002E-2</v>
      </c>
      <c r="L34" s="121"/>
      <c r="M34" s="121"/>
      <c r="N34" s="121"/>
      <c r="O34" s="121"/>
    </row>
    <row r="35" spans="1:15" ht="15" customHeight="1" x14ac:dyDescent="0.25">
      <c r="A35" s="92" t="s">
        <v>426</v>
      </c>
      <c r="B35" s="93" t="s">
        <v>427</v>
      </c>
      <c r="C35" s="94" t="s">
        <v>428</v>
      </c>
      <c r="D35" s="97">
        <v>28339174</v>
      </c>
      <c r="E35" s="97">
        <v>17400</v>
      </c>
      <c r="F35" s="97">
        <v>493101627600</v>
      </c>
      <c r="G35" s="96">
        <v>2.8500000000000001E-2</v>
      </c>
      <c r="L35" s="121"/>
      <c r="M35" s="121"/>
      <c r="N35" s="121"/>
      <c r="O35" s="121"/>
    </row>
    <row r="36" spans="1:15" ht="15" customHeight="1" x14ac:dyDescent="0.25">
      <c r="A36" s="92" t="s">
        <v>429</v>
      </c>
      <c r="B36" s="93" t="s">
        <v>430</v>
      </c>
      <c r="C36" s="94" t="s">
        <v>431</v>
      </c>
      <c r="D36" s="97">
        <v>29923484</v>
      </c>
      <c r="E36" s="97">
        <v>19600</v>
      </c>
      <c r="F36" s="97">
        <v>586500286400</v>
      </c>
      <c r="G36" s="96">
        <v>3.39E-2</v>
      </c>
      <c r="L36" s="121"/>
      <c r="M36" s="121"/>
      <c r="N36" s="121"/>
      <c r="O36" s="121"/>
    </row>
    <row r="37" spans="1:15" ht="15" customHeight="1" x14ac:dyDescent="0.25">
      <c r="A37" s="92" t="s">
        <v>432</v>
      </c>
      <c r="B37" s="93" t="s">
        <v>433</v>
      </c>
      <c r="C37" s="94" t="s">
        <v>434</v>
      </c>
      <c r="D37" s="97">
        <v>50601116</v>
      </c>
      <c r="E37" s="97">
        <v>19200</v>
      </c>
      <c r="F37" s="97">
        <v>971541427200</v>
      </c>
      <c r="G37" s="96">
        <v>5.62E-2</v>
      </c>
      <c r="L37" s="121"/>
      <c r="M37" s="121"/>
      <c r="N37" s="121"/>
      <c r="O37" s="121"/>
    </row>
    <row r="38" spans="1:15" x14ac:dyDescent="0.25">
      <c r="A38" s="92" t="s">
        <v>435</v>
      </c>
      <c r="B38" s="93" t="s">
        <v>436</v>
      </c>
      <c r="C38" s="94" t="s">
        <v>437</v>
      </c>
      <c r="D38" s="97">
        <v>10615500</v>
      </c>
      <c r="E38" s="97">
        <v>23300</v>
      </c>
      <c r="F38" s="97">
        <v>247341150000</v>
      </c>
      <c r="G38" s="96">
        <v>1.43E-2</v>
      </c>
      <c r="L38" s="121"/>
      <c r="M38" s="121"/>
      <c r="N38" s="121"/>
      <c r="O38" s="121"/>
    </row>
    <row r="39" spans="1:15" ht="21" x14ac:dyDescent="0.25">
      <c r="A39" s="92"/>
      <c r="B39" s="93" t="s">
        <v>441</v>
      </c>
      <c r="C39" s="94" t="s">
        <v>438</v>
      </c>
      <c r="D39" s="97"/>
      <c r="E39" s="97"/>
      <c r="F39" s="97">
        <v>17263333319150</v>
      </c>
      <c r="G39" s="96">
        <v>0.99790000000000001</v>
      </c>
      <c r="L39" s="121"/>
      <c r="M39" s="121"/>
      <c r="N39" s="121"/>
      <c r="O39" s="121"/>
    </row>
    <row r="40" spans="1:15" ht="42" x14ac:dyDescent="0.25">
      <c r="A40" s="92" t="s">
        <v>337</v>
      </c>
      <c r="B40" s="93" t="s">
        <v>439</v>
      </c>
      <c r="C40" s="94" t="s">
        <v>440</v>
      </c>
      <c r="D40" s="97"/>
      <c r="E40" s="97"/>
      <c r="F40" s="97">
        <v>0</v>
      </c>
      <c r="G40" s="96">
        <v>0</v>
      </c>
      <c r="L40" s="121"/>
      <c r="M40" s="121"/>
      <c r="N40" s="121"/>
      <c r="O40" s="121"/>
    </row>
    <row r="41" spans="1:15" ht="21" x14ac:dyDescent="0.25">
      <c r="A41" s="92"/>
      <c r="B41" s="93" t="s">
        <v>441</v>
      </c>
      <c r="C41" s="94" t="s">
        <v>442</v>
      </c>
      <c r="D41" s="97"/>
      <c r="E41" s="97"/>
      <c r="F41" s="97">
        <v>0</v>
      </c>
      <c r="G41" s="96">
        <v>0</v>
      </c>
      <c r="L41" s="121"/>
      <c r="M41" s="121"/>
      <c r="N41" s="121"/>
      <c r="O41" s="121"/>
    </row>
    <row r="42" spans="1:15" ht="21" x14ac:dyDescent="0.25">
      <c r="A42" s="92"/>
      <c r="B42" s="93" t="s">
        <v>443</v>
      </c>
      <c r="C42" s="94" t="s">
        <v>444</v>
      </c>
      <c r="D42" s="97"/>
      <c r="E42" s="97"/>
      <c r="F42" s="97">
        <v>17263333319150</v>
      </c>
      <c r="G42" s="96">
        <v>0.99790000000000001</v>
      </c>
      <c r="L42" s="121"/>
      <c r="M42" s="121"/>
      <c r="N42" s="121"/>
      <c r="O42" s="121"/>
    </row>
    <row r="43" spans="1:15" ht="21" x14ac:dyDescent="0.25">
      <c r="A43" s="92" t="s">
        <v>340</v>
      </c>
      <c r="B43" s="93" t="s">
        <v>445</v>
      </c>
      <c r="C43" s="94" t="s">
        <v>446</v>
      </c>
      <c r="D43" s="97"/>
      <c r="E43" s="97"/>
      <c r="F43" s="97">
        <v>0</v>
      </c>
      <c r="G43" s="96">
        <v>0</v>
      </c>
      <c r="L43" s="121"/>
      <c r="M43" s="121"/>
      <c r="N43" s="121"/>
      <c r="O43" s="121"/>
    </row>
    <row r="44" spans="1:15" ht="21" x14ac:dyDescent="0.25">
      <c r="A44" s="92"/>
      <c r="B44" s="93" t="s">
        <v>441</v>
      </c>
      <c r="C44" s="94" t="s">
        <v>447</v>
      </c>
      <c r="D44" s="97"/>
      <c r="E44" s="97"/>
      <c r="F44" s="97">
        <v>0</v>
      </c>
      <c r="G44" s="96">
        <v>0</v>
      </c>
      <c r="L44" s="121"/>
      <c r="M44" s="121"/>
      <c r="N44" s="121"/>
      <c r="O44" s="121"/>
    </row>
    <row r="45" spans="1:15" ht="21" x14ac:dyDescent="0.25">
      <c r="A45" s="92" t="s">
        <v>353</v>
      </c>
      <c r="B45" s="93" t="s">
        <v>448</v>
      </c>
      <c r="C45" s="94" t="s">
        <v>449</v>
      </c>
      <c r="D45" s="97"/>
      <c r="E45" s="97"/>
      <c r="F45" s="97">
        <v>0</v>
      </c>
      <c r="G45" s="96">
        <v>0</v>
      </c>
      <c r="L45" s="121"/>
      <c r="M45" s="121"/>
      <c r="N45" s="121"/>
      <c r="O45" s="121"/>
    </row>
    <row r="46" spans="1:15" ht="21" x14ac:dyDescent="0.25">
      <c r="A46" s="92" t="s">
        <v>3</v>
      </c>
      <c r="B46" s="93" t="s">
        <v>450</v>
      </c>
      <c r="C46" s="94" t="s">
        <v>451</v>
      </c>
      <c r="D46" s="97"/>
      <c r="E46" s="97"/>
      <c r="F46" s="97">
        <v>0</v>
      </c>
      <c r="G46" s="96">
        <v>0</v>
      </c>
      <c r="L46" s="121"/>
      <c r="M46" s="121"/>
      <c r="N46" s="121"/>
      <c r="O46" s="121"/>
    </row>
    <row r="47" spans="1:15" ht="21" x14ac:dyDescent="0.25">
      <c r="A47" s="92" t="s">
        <v>8</v>
      </c>
      <c r="B47" s="93" t="s">
        <v>452</v>
      </c>
      <c r="C47" s="94" t="s">
        <v>453</v>
      </c>
      <c r="D47" s="97"/>
      <c r="E47" s="97"/>
      <c r="F47" s="97">
        <v>0</v>
      </c>
      <c r="G47" s="96">
        <v>0</v>
      </c>
      <c r="L47" s="121"/>
      <c r="M47" s="121"/>
      <c r="N47" s="121"/>
      <c r="O47" s="121"/>
    </row>
    <row r="48" spans="1:15" ht="21" x14ac:dyDescent="0.25">
      <c r="A48" s="92"/>
      <c r="B48" s="93" t="s">
        <v>441</v>
      </c>
      <c r="C48" s="94" t="s">
        <v>454</v>
      </c>
      <c r="D48" s="97"/>
      <c r="E48" s="97"/>
      <c r="F48" s="97">
        <v>0</v>
      </c>
      <c r="G48" s="96">
        <v>0</v>
      </c>
      <c r="L48" s="121"/>
      <c r="M48" s="121"/>
      <c r="N48" s="121"/>
      <c r="O48" s="121"/>
    </row>
    <row r="49" spans="1:15" ht="21" x14ac:dyDescent="0.25">
      <c r="A49" s="92"/>
      <c r="B49" s="93" t="s">
        <v>455</v>
      </c>
      <c r="C49" s="94" t="s">
        <v>456</v>
      </c>
      <c r="D49" s="97"/>
      <c r="E49" s="97"/>
      <c r="F49" s="97">
        <v>17263333319150</v>
      </c>
      <c r="G49" s="96">
        <v>0.99790000000000001</v>
      </c>
      <c r="L49" s="121"/>
      <c r="M49" s="121"/>
      <c r="N49" s="121"/>
      <c r="O49" s="121"/>
    </row>
    <row r="50" spans="1:15" ht="21" x14ac:dyDescent="0.25">
      <c r="A50" s="92" t="s">
        <v>356</v>
      </c>
      <c r="B50" s="93" t="s">
        <v>457</v>
      </c>
      <c r="C50" s="94" t="s">
        <v>458</v>
      </c>
      <c r="D50" s="97"/>
      <c r="E50" s="97"/>
      <c r="F50" s="97">
        <v>0</v>
      </c>
      <c r="G50" s="96">
        <v>0</v>
      </c>
      <c r="L50" s="121"/>
      <c r="M50" s="121"/>
      <c r="N50" s="121"/>
      <c r="O50" s="121"/>
    </row>
    <row r="51" spans="1:15" ht="21" x14ac:dyDescent="0.25">
      <c r="A51" s="92" t="s">
        <v>3</v>
      </c>
      <c r="B51" s="93" t="s">
        <v>459</v>
      </c>
      <c r="C51" s="94" t="s">
        <v>460</v>
      </c>
      <c r="D51" s="97"/>
      <c r="E51" s="97"/>
      <c r="F51" s="97">
        <v>0</v>
      </c>
      <c r="G51" s="96">
        <v>0</v>
      </c>
      <c r="L51" s="121"/>
      <c r="M51" s="121"/>
      <c r="N51" s="121"/>
      <c r="O51" s="121"/>
    </row>
    <row r="52" spans="1:15" ht="21" x14ac:dyDescent="0.25">
      <c r="A52" s="92" t="s">
        <v>8</v>
      </c>
      <c r="B52" s="93" t="s">
        <v>461</v>
      </c>
      <c r="C52" s="94" t="s">
        <v>462</v>
      </c>
      <c r="D52" s="97"/>
      <c r="E52" s="97"/>
      <c r="F52" s="97">
        <v>0</v>
      </c>
      <c r="G52" s="96">
        <v>0</v>
      </c>
      <c r="L52" s="121"/>
      <c r="M52" s="121"/>
      <c r="N52" s="121"/>
      <c r="O52" s="121"/>
    </row>
    <row r="53" spans="1:15" ht="21" x14ac:dyDescent="0.25">
      <c r="A53" s="92" t="s">
        <v>13</v>
      </c>
      <c r="B53" s="93" t="s">
        <v>463</v>
      </c>
      <c r="C53" s="94" t="s">
        <v>464</v>
      </c>
      <c r="D53" s="97"/>
      <c r="E53" s="97"/>
      <c r="F53" s="97">
        <v>0</v>
      </c>
      <c r="G53" s="96">
        <v>0</v>
      </c>
      <c r="L53" s="121"/>
      <c r="M53" s="121"/>
      <c r="N53" s="121"/>
      <c r="O53" s="121"/>
    </row>
    <row r="54" spans="1:15" ht="33" customHeight="1" x14ac:dyDescent="0.25">
      <c r="A54" s="92" t="s">
        <v>18</v>
      </c>
      <c r="B54" s="93" t="s">
        <v>465</v>
      </c>
      <c r="C54" s="94" t="s">
        <v>466</v>
      </c>
      <c r="D54" s="97"/>
      <c r="E54" s="97"/>
      <c r="F54" s="97">
        <v>13837903250</v>
      </c>
      <c r="G54" s="96">
        <v>8.0000000000000004E-4</v>
      </c>
      <c r="L54" s="121"/>
      <c r="M54" s="121"/>
      <c r="N54" s="121"/>
      <c r="O54" s="121"/>
    </row>
    <row r="55" spans="1:15" ht="21" x14ac:dyDescent="0.25">
      <c r="A55" s="92" t="s">
        <v>284</v>
      </c>
      <c r="B55" s="93" t="s">
        <v>467</v>
      </c>
      <c r="C55" s="94" t="s">
        <v>468</v>
      </c>
      <c r="D55" s="97"/>
      <c r="E55" s="97"/>
      <c r="F55" s="97">
        <v>0</v>
      </c>
      <c r="G55" s="96">
        <v>0</v>
      </c>
      <c r="L55" s="121"/>
      <c r="M55" s="121"/>
      <c r="N55" s="121"/>
      <c r="O55" s="121"/>
    </row>
    <row r="56" spans="1:15" ht="21" x14ac:dyDescent="0.25">
      <c r="A56" s="92" t="s">
        <v>286</v>
      </c>
      <c r="B56" s="93" t="s">
        <v>469</v>
      </c>
      <c r="C56" s="94" t="s">
        <v>470</v>
      </c>
      <c r="D56" s="97"/>
      <c r="E56" s="97"/>
      <c r="F56" s="97">
        <v>36799980</v>
      </c>
      <c r="G56" s="96">
        <v>2.1272360795893251E-6</v>
      </c>
      <c r="L56" s="121"/>
      <c r="M56" s="121"/>
      <c r="N56" s="121"/>
      <c r="O56" s="121"/>
    </row>
    <row r="57" spans="1:15" ht="21" x14ac:dyDescent="0.25">
      <c r="A57" s="92" t="s">
        <v>289</v>
      </c>
      <c r="B57" s="93" t="s">
        <v>471</v>
      </c>
      <c r="C57" s="94" t="s">
        <v>472</v>
      </c>
      <c r="D57" s="97"/>
      <c r="E57" s="97"/>
      <c r="F57" s="97">
        <v>0</v>
      </c>
      <c r="G57" s="96">
        <v>0</v>
      </c>
      <c r="L57" s="121"/>
      <c r="M57" s="121"/>
      <c r="N57" s="121"/>
      <c r="O57" s="121"/>
    </row>
    <row r="58" spans="1:15" ht="21" x14ac:dyDescent="0.25">
      <c r="A58" s="92" t="s">
        <v>298</v>
      </c>
      <c r="B58" s="93" t="s">
        <v>473</v>
      </c>
      <c r="C58" s="94" t="s">
        <v>474</v>
      </c>
      <c r="D58" s="97"/>
      <c r="E58" s="97"/>
      <c r="F58" s="97">
        <v>0</v>
      </c>
      <c r="G58" s="96">
        <v>0</v>
      </c>
      <c r="L58" s="121"/>
      <c r="M58" s="121"/>
      <c r="N58" s="121"/>
      <c r="O58" s="121"/>
    </row>
    <row r="59" spans="1:15" ht="21" x14ac:dyDescent="0.25">
      <c r="A59" s="92" t="s">
        <v>311</v>
      </c>
      <c r="B59" s="93" t="s">
        <v>475</v>
      </c>
      <c r="C59" s="94" t="s">
        <v>476</v>
      </c>
      <c r="D59" s="97"/>
      <c r="E59" s="97"/>
      <c r="F59" s="97">
        <v>0</v>
      </c>
      <c r="G59" s="96">
        <v>0</v>
      </c>
      <c r="L59" s="121"/>
      <c r="M59" s="121"/>
      <c r="N59" s="121"/>
      <c r="O59" s="121"/>
    </row>
    <row r="60" spans="1:15" ht="21" customHeight="1" x14ac:dyDescent="0.25">
      <c r="A60" s="92" t="s">
        <v>318</v>
      </c>
      <c r="B60" s="93" t="s">
        <v>477</v>
      </c>
      <c r="C60" s="94" t="s">
        <v>478</v>
      </c>
      <c r="D60" s="97"/>
      <c r="E60" s="97"/>
      <c r="F60" s="97">
        <v>0</v>
      </c>
      <c r="G60" s="96">
        <v>0</v>
      </c>
      <c r="L60" s="121"/>
      <c r="M60" s="121"/>
      <c r="N60" s="121"/>
      <c r="O60" s="121"/>
    </row>
    <row r="61" spans="1:15" ht="21" x14ac:dyDescent="0.25">
      <c r="A61" s="92"/>
      <c r="B61" s="93" t="s">
        <v>441</v>
      </c>
      <c r="C61" s="94" t="s">
        <v>479</v>
      </c>
      <c r="D61" s="97"/>
      <c r="E61" s="97"/>
      <c r="F61" s="97">
        <v>13874703230</v>
      </c>
      <c r="G61" s="96">
        <v>8.0000000000000004E-4</v>
      </c>
      <c r="L61" s="121"/>
      <c r="M61" s="121"/>
      <c r="N61" s="121"/>
      <c r="O61" s="121"/>
    </row>
    <row r="62" spans="1:15" ht="21" x14ac:dyDescent="0.25">
      <c r="A62" s="92" t="s">
        <v>359</v>
      </c>
      <c r="B62" s="93" t="s">
        <v>36</v>
      </c>
      <c r="C62" s="94" t="s">
        <v>480</v>
      </c>
      <c r="D62" s="97"/>
      <c r="E62" s="97"/>
      <c r="F62" s="97">
        <v>0</v>
      </c>
      <c r="G62" s="96">
        <v>0</v>
      </c>
      <c r="L62" s="121"/>
      <c r="M62" s="121"/>
      <c r="N62" s="121"/>
      <c r="O62" s="121"/>
    </row>
    <row r="63" spans="1:15" ht="21" x14ac:dyDescent="0.25">
      <c r="A63" s="92" t="s">
        <v>3</v>
      </c>
      <c r="B63" s="93" t="s">
        <v>481</v>
      </c>
      <c r="C63" s="94" t="s">
        <v>482</v>
      </c>
      <c r="D63" s="97"/>
      <c r="E63" s="97"/>
      <c r="F63" s="97">
        <v>22225901806</v>
      </c>
      <c r="G63" s="96">
        <v>1.2999999999999999E-3</v>
      </c>
      <c r="L63" s="121"/>
      <c r="M63" s="121"/>
      <c r="N63" s="121"/>
      <c r="O63" s="121"/>
    </row>
    <row r="64" spans="1:15" ht="21" x14ac:dyDescent="0.25">
      <c r="A64" s="92"/>
      <c r="B64" s="93" t="s">
        <v>483</v>
      </c>
      <c r="C64" s="94" t="s">
        <v>484</v>
      </c>
      <c r="D64" s="97"/>
      <c r="E64" s="97"/>
      <c r="F64" s="97">
        <v>0</v>
      </c>
      <c r="G64" s="96">
        <v>0</v>
      </c>
      <c r="L64" s="121"/>
      <c r="M64" s="121"/>
      <c r="N64" s="121"/>
      <c r="O64" s="121"/>
    </row>
    <row r="65" spans="1:15" ht="21" x14ac:dyDescent="0.25">
      <c r="A65" s="92"/>
      <c r="B65" s="93" t="s">
        <v>485</v>
      </c>
      <c r="C65" s="94" t="s">
        <v>486</v>
      </c>
      <c r="D65" s="97"/>
      <c r="E65" s="97"/>
      <c r="F65" s="97">
        <v>22225901806</v>
      </c>
      <c r="G65" s="96">
        <v>1.2999999999999999E-3</v>
      </c>
      <c r="L65" s="121"/>
      <c r="M65" s="121"/>
      <c r="N65" s="121"/>
      <c r="O65" s="121"/>
    </row>
    <row r="66" spans="1:15" ht="21" x14ac:dyDescent="0.25">
      <c r="A66" s="92"/>
      <c r="B66" s="93" t="s">
        <v>487</v>
      </c>
      <c r="C66" s="94" t="s">
        <v>488</v>
      </c>
      <c r="D66" s="97"/>
      <c r="E66" s="97"/>
      <c r="F66" s="97">
        <v>0</v>
      </c>
      <c r="G66" s="96">
        <v>0</v>
      </c>
      <c r="L66" s="121"/>
      <c r="M66" s="121"/>
      <c r="N66" s="121"/>
      <c r="O66" s="121"/>
    </row>
    <row r="67" spans="1:15" ht="21" x14ac:dyDescent="0.25">
      <c r="A67" s="92" t="s">
        <v>8</v>
      </c>
      <c r="B67" s="93" t="s">
        <v>489</v>
      </c>
      <c r="C67" s="94" t="s">
        <v>490</v>
      </c>
      <c r="D67" s="97"/>
      <c r="E67" s="97"/>
      <c r="F67" s="97">
        <v>0</v>
      </c>
      <c r="G67" s="96">
        <v>0</v>
      </c>
      <c r="L67" s="121"/>
      <c r="M67" s="121"/>
      <c r="N67" s="121"/>
      <c r="O67" s="121"/>
    </row>
    <row r="68" spans="1:15" ht="21" x14ac:dyDescent="0.25">
      <c r="A68" s="92" t="s">
        <v>13</v>
      </c>
      <c r="B68" s="93" t="s">
        <v>491</v>
      </c>
      <c r="C68" s="94" t="s">
        <v>492</v>
      </c>
      <c r="D68" s="97"/>
      <c r="E68" s="97"/>
      <c r="F68" s="97">
        <v>0</v>
      </c>
      <c r="G68" s="96">
        <v>0</v>
      </c>
      <c r="L68" s="121"/>
      <c r="M68" s="121"/>
      <c r="N68" s="121"/>
      <c r="O68" s="121"/>
    </row>
    <row r="69" spans="1:15" ht="21" x14ac:dyDescent="0.25">
      <c r="A69" s="92" t="s">
        <v>18</v>
      </c>
      <c r="B69" s="93" t="s">
        <v>493</v>
      </c>
      <c r="C69" s="94" t="s">
        <v>494</v>
      </c>
      <c r="D69" s="97"/>
      <c r="E69" s="97"/>
      <c r="F69" s="97">
        <v>0</v>
      </c>
      <c r="G69" s="96">
        <v>0</v>
      </c>
      <c r="L69" s="121"/>
      <c r="M69" s="121"/>
      <c r="N69" s="121"/>
      <c r="O69" s="121"/>
    </row>
    <row r="70" spans="1:15" ht="21" x14ac:dyDescent="0.25">
      <c r="A70" s="92"/>
      <c r="B70" s="93" t="s">
        <v>441</v>
      </c>
      <c r="C70" s="94" t="s">
        <v>495</v>
      </c>
      <c r="D70" s="97"/>
      <c r="E70" s="97"/>
      <c r="F70" s="97">
        <v>22225901806</v>
      </c>
      <c r="G70" s="96">
        <v>1.2999999999999999E-3</v>
      </c>
      <c r="L70" s="121"/>
      <c r="M70" s="121"/>
      <c r="N70" s="121"/>
      <c r="O70" s="121"/>
    </row>
    <row r="71" spans="1:15" ht="21" x14ac:dyDescent="0.25">
      <c r="A71" s="108" t="s">
        <v>373</v>
      </c>
      <c r="B71" s="109" t="s">
        <v>496</v>
      </c>
      <c r="C71" s="110" t="s">
        <v>497</v>
      </c>
      <c r="D71" s="133"/>
      <c r="E71" s="133"/>
      <c r="F71" s="133">
        <v>17299433924186</v>
      </c>
      <c r="G71" s="112">
        <v>1</v>
      </c>
      <c r="L71" s="121"/>
      <c r="M71" s="121"/>
      <c r="N71" s="121"/>
      <c r="O71" s="121"/>
    </row>
    <row r="72" spans="1:15" x14ac:dyDescent="0.25">
      <c r="A72" s="135"/>
      <c r="B72" s="135"/>
      <c r="C72" s="135"/>
      <c r="D72" s="135"/>
      <c r="E72" s="135"/>
      <c r="F72" s="135"/>
      <c r="G72" s="135"/>
      <c r="I72" s="142"/>
    </row>
    <row r="73" spans="1:15" x14ac:dyDescent="0.25">
      <c r="A73" s="326" t="s">
        <v>498</v>
      </c>
      <c r="B73" s="326"/>
      <c r="C73" s="135"/>
      <c r="D73" s="135"/>
      <c r="E73" s="135"/>
      <c r="F73" s="135"/>
      <c r="G73" s="135"/>
    </row>
    <row r="74" spans="1:15" ht="28.5" customHeight="1" x14ac:dyDescent="0.25">
      <c r="A74" s="327" t="s">
        <v>499</v>
      </c>
      <c r="B74" s="327"/>
      <c r="C74" s="327"/>
      <c r="D74" s="327"/>
      <c r="E74" s="327"/>
      <c r="F74" s="327"/>
      <c r="G74" s="327"/>
    </row>
    <row r="75" spans="1:15" ht="12.75" customHeight="1" x14ac:dyDescent="0.25">
      <c r="A75" s="138"/>
      <c r="B75" s="138"/>
      <c r="C75" s="138"/>
      <c r="D75" s="138"/>
      <c r="E75" s="138"/>
      <c r="F75" s="138"/>
      <c r="G75" s="138"/>
    </row>
    <row r="76" spans="1:15" ht="51" customHeight="1" x14ac:dyDescent="0.25">
      <c r="A76" s="143" t="s">
        <v>500</v>
      </c>
      <c r="B76" s="144" t="s">
        <v>501</v>
      </c>
      <c r="C76" s="144" t="s">
        <v>502</v>
      </c>
      <c r="D76" s="144" t="s">
        <v>503</v>
      </c>
      <c r="E76" s="144" t="s">
        <v>504</v>
      </c>
      <c r="F76" s="144" t="s">
        <v>505</v>
      </c>
      <c r="G76" s="145" t="s">
        <v>506</v>
      </c>
    </row>
    <row r="77" spans="1:15" x14ac:dyDescent="0.25">
      <c r="A77" s="135"/>
      <c r="B77" s="135"/>
      <c r="C77" s="135"/>
      <c r="D77" s="135"/>
      <c r="E77" s="135"/>
      <c r="F77" s="135"/>
      <c r="G77" s="135"/>
    </row>
    <row r="78" spans="1:15" ht="15" customHeight="1" x14ac:dyDescent="0.25">
      <c r="A78" s="323" t="s">
        <v>220</v>
      </c>
      <c r="B78" s="323"/>
      <c r="C78" s="323"/>
      <c r="D78" s="323" t="s">
        <v>221</v>
      </c>
      <c r="E78" s="323"/>
      <c r="F78" s="323"/>
      <c r="G78" s="323"/>
    </row>
    <row r="79" spans="1:15" ht="15" customHeight="1" x14ac:dyDescent="0.25">
      <c r="A79" s="320" t="s">
        <v>222</v>
      </c>
      <c r="B79" s="320"/>
      <c r="C79" s="320"/>
      <c r="D79" s="320" t="s">
        <v>223</v>
      </c>
      <c r="E79" s="320"/>
      <c r="F79" s="320"/>
      <c r="G79" s="320"/>
    </row>
    <row r="80" spans="1:15" ht="15" customHeight="1" x14ac:dyDescent="0.25">
      <c r="A80" s="135"/>
      <c r="B80" s="135"/>
      <c r="C80" s="135"/>
      <c r="D80" s="135"/>
      <c r="E80" s="135"/>
      <c r="F80" s="135"/>
      <c r="G80" s="135"/>
    </row>
    <row r="81" spans="1:7" ht="15" customHeight="1" x14ac:dyDescent="0.25">
      <c r="A81" s="135"/>
      <c r="B81" s="135"/>
      <c r="C81" s="135"/>
      <c r="D81" s="135"/>
      <c r="E81" s="135"/>
      <c r="F81" s="135"/>
      <c r="G81" s="135"/>
    </row>
    <row r="82" spans="1:7" ht="15" customHeight="1" x14ac:dyDescent="0.25">
      <c r="A82" s="135"/>
      <c r="B82" s="135"/>
      <c r="C82" s="135"/>
      <c r="D82" s="135"/>
      <c r="E82" s="135"/>
      <c r="F82" s="135"/>
      <c r="G82" s="135"/>
    </row>
    <row r="83" spans="1:7" ht="15.75" customHeight="1" x14ac:dyDescent="0.25">
      <c r="A83" s="135"/>
      <c r="B83" s="135"/>
      <c r="C83" s="135"/>
      <c r="D83" s="135"/>
      <c r="E83" s="135"/>
      <c r="F83" s="135"/>
      <c r="G83" s="135"/>
    </row>
    <row r="84" spans="1:7" ht="15.75" customHeight="1" x14ac:dyDescent="0.25">
      <c r="A84" s="135"/>
      <c r="B84" s="135"/>
      <c r="C84" s="135"/>
      <c r="D84" s="135"/>
      <c r="E84" s="135"/>
      <c r="F84" s="135"/>
      <c r="G84" s="135"/>
    </row>
    <row r="85" spans="1:7" ht="15.75" customHeight="1" x14ac:dyDescent="0.25">
      <c r="A85" s="323" t="s">
        <v>224</v>
      </c>
      <c r="B85" s="323"/>
      <c r="C85" s="323"/>
      <c r="D85" s="323" t="s">
        <v>225</v>
      </c>
      <c r="E85" s="323"/>
      <c r="F85" s="323"/>
      <c r="G85" s="323"/>
    </row>
    <row r="86" spans="1:7" ht="15" customHeight="1" x14ac:dyDescent="0.25">
      <c r="A86" s="323" t="s">
        <v>226</v>
      </c>
      <c r="B86" s="323"/>
      <c r="C86" s="323"/>
      <c r="D86" s="323" t="s">
        <v>227</v>
      </c>
      <c r="E86" s="323"/>
      <c r="F86" s="323"/>
      <c r="G86" s="323"/>
    </row>
    <row r="87" spans="1:7" ht="15" customHeight="1" x14ac:dyDescent="0.25">
      <c r="A87" s="323" t="s">
        <v>228</v>
      </c>
      <c r="B87" s="323"/>
      <c r="C87" s="323"/>
      <c r="D87" s="323" t="s">
        <v>229</v>
      </c>
      <c r="E87" s="323"/>
      <c r="F87" s="323"/>
      <c r="G87" s="323"/>
    </row>
    <row r="88" spans="1:7" ht="15.75" customHeight="1" x14ac:dyDescent="0.25">
      <c r="A88" s="269"/>
      <c r="B88" s="269"/>
      <c r="C88" s="269"/>
      <c r="D88" s="269"/>
      <c r="E88" s="269"/>
      <c r="F88" s="269"/>
      <c r="G88" s="269"/>
    </row>
  </sheetData>
  <mergeCells count="27">
    <mergeCell ref="A87:C87"/>
    <mergeCell ref="D87:G87"/>
    <mergeCell ref="A79:C79"/>
    <mergeCell ref="D79:G79"/>
    <mergeCell ref="A85:C85"/>
    <mergeCell ref="D85:G85"/>
    <mergeCell ref="A86:C86"/>
    <mergeCell ref="D86:G86"/>
    <mergeCell ref="A78:C78"/>
    <mergeCell ref="D78:G78"/>
    <mergeCell ref="C8:G8"/>
    <mergeCell ref="C9:G9"/>
    <mergeCell ref="C10:G10"/>
    <mergeCell ref="C11:G11"/>
    <mergeCell ref="C12:G12"/>
    <mergeCell ref="C13:G13"/>
    <mergeCell ref="A15:G15"/>
    <mergeCell ref="A16:G16"/>
    <mergeCell ref="F17:G17"/>
    <mergeCell ref="A73:B73"/>
    <mergeCell ref="A74:G74"/>
    <mergeCell ref="C7:G7"/>
    <mergeCell ref="D1:G1"/>
    <mergeCell ref="A2:G2"/>
    <mergeCell ref="A4:G4"/>
    <mergeCell ref="A5:G5"/>
    <mergeCell ref="C6:G6"/>
  </mergeCells>
  <printOptions horizontalCentered="1"/>
  <pageMargins left="0" right="0" top="0.44" bottom="0.23" header="0.33" footer="0.2"/>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3" sqref="C13:F13"/>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329" t="s">
        <v>507</v>
      </c>
      <c r="I1" s="329"/>
      <c r="J1" s="329"/>
      <c r="K1" s="329"/>
    </row>
    <row r="2" spans="1:11" ht="26.25" customHeight="1" x14ac:dyDescent="0.15">
      <c r="A2" s="330" t="s">
        <v>1098</v>
      </c>
      <c r="B2" s="330"/>
      <c r="C2" s="330"/>
      <c r="D2" s="330"/>
      <c r="E2" s="330"/>
      <c r="F2" s="330"/>
      <c r="G2" s="330"/>
      <c r="H2" s="330"/>
      <c r="I2" s="330"/>
      <c r="J2" s="330"/>
      <c r="K2" s="330"/>
    </row>
    <row r="3" spans="1:11" ht="28.5" customHeight="1" x14ac:dyDescent="0.15">
      <c r="A3" s="331" t="s">
        <v>1099</v>
      </c>
      <c r="B3" s="331"/>
      <c r="C3" s="331"/>
      <c r="D3" s="331"/>
      <c r="E3" s="331"/>
      <c r="F3" s="331"/>
      <c r="G3" s="331"/>
      <c r="H3" s="331"/>
      <c r="I3" s="331"/>
      <c r="J3" s="331"/>
      <c r="K3" s="331"/>
    </row>
    <row r="4" spans="1:11" ht="18" customHeight="1" x14ac:dyDescent="0.15">
      <c r="A4" s="332" t="s">
        <v>1134</v>
      </c>
      <c r="B4" s="333"/>
      <c r="C4" s="333"/>
      <c r="D4" s="333"/>
      <c r="E4" s="333"/>
      <c r="F4" s="333"/>
      <c r="G4" s="333"/>
      <c r="H4" s="333"/>
      <c r="I4" s="333"/>
      <c r="J4" s="333"/>
      <c r="K4" s="333"/>
    </row>
    <row r="5" spans="1:11" x14ac:dyDescent="0.15">
      <c r="A5" s="28"/>
      <c r="B5" s="29"/>
      <c r="C5" s="29"/>
      <c r="D5" s="30"/>
      <c r="E5" s="30"/>
      <c r="F5" s="29"/>
      <c r="G5" s="29"/>
      <c r="H5" s="29"/>
      <c r="I5" s="29"/>
      <c r="J5" s="29"/>
      <c r="K5" s="29"/>
    </row>
    <row r="6" spans="1:11" x14ac:dyDescent="0.15">
      <c r="A6" s="31">
        <v>1</v>
      </c>
      <c r="B6" s="32" t="s">
        <v>9</v>
      </c>
      <c r="C6" s="32" t="s">
        <v>1100</v>
      </c>
      <c r="D6" s="30"/>
      <c r="E6" s="30"/>
      <c r="F6" s="29"/>
      <c r="G6" s="29"/>
      <c r="H6" s="29"/>
      <c r="I6" s="29"/>
      <c r="J6" s="29"/>
      <c r="K6" s="29"/>
    </row>
    <row r="7" spans="1:11" x14ac:dyDescent="0.15">
      <c r="A7" s="31"/>
      <c r="B7" s="33" t="s">
        <v>11</v>
      </c>
      <c r="C7" s="33" t="s">
        <v>12</v>
      </c>
      <c r="D7" s="34"/>
      <c r="E7" s="34"/>
      <c r="F7" s="35"/>
      <c r="G7" s="35"/>
      <c r="H7" s="35"/>
      <c r="I7" s="35"/>
      <c r="J7" s="35"/>
      <c r="K7" s="35"/>
    </row>
    <row r="8" spans="1:11" ht="12.75" customHeight="1" x14ac:dyDescent="0.15">
      <c r="A8" s="36">
        <v>2</v>
      </c>
      <c r="B8" s="37" t="s">
        <v>382</v>
      </c>
      <c r="C8" s="38" t="s">
        <v>1053</v>
      </c>
      <c r="D8" s="38"/>
      <c r="E8" s="38"/>
      <c r="F8" s="38"/>
      <c r="G8" s="38"/>
      <c r="H8" s="38"/>
      <c r="I8" s="39"/>
      <c r="J8" s="39"/>
      <c r="K8" s="39"/>
    </row>
    <row r="9" spans="1:11" ht="12.75" customHeight="1" x14ac:dyDescent="0.15">
      <c r="A9" s="36"/>
      <c r="B9" s="40" t="s">
        <v>1054</v>
      </c>
      <c r="C9" s="41" t="s">
        <v>701</v>
      </c>
      <c r="D9" s="42"/>
      <c r="E9" s="42"/>
      <c r="F9" s="42"/>
      <c r="G9" s="42"/>
      <c r="H9" s="42"/>
      <c r="I9" s="43"/>
      <c r="J9" s="43"/>
      <c r="K9" s="43"/>
    </row>
    <row r="10" spans="1:11" ht="12.75" customHeight="1" x14ac:dyDescent="0.15">
      <c r="A10" s="36">
        <v>3</v>
      </c>
      <c r="B10" s="37" t="s">
        <v>4</v>
      </c>
      <c r="C10" s="38" t="s">
        <v>1055</v>
      </c>
      <c r="D10" s="38"/>
      <c r="E10" s="38"/>
      <c r="F10" s="38"/>
      <c r="G10" s="38"/>
      <c r="H10" s="38"/>
      <c r="I10" s="39"/>
      <c r="J10" s="39"/>
      <c r="K10" s="39"/>
    </row>
    <row r="11" spans="1:11" ht="12.75" customHeight="1" x14ac:dyDescent="0.15">
      <c r="A11" s="36"/>
      <c r="B11" s="40" t="s">
        <v>1056</v>
      </c>
      <c r="C11" s="42" t="s">
        <v>1057</v>
      </c>
      <c r="D11" s="42"/>
      <c r="E11" s="42"/>
      <c r="F11" s="42"/>
      <c r="G11" s="42"/>
      <c r="H11" s="42"/>
      <c r="I11" s="39"/>
      <c r="J11" s="39"/>
      <c r="K11" s="39"/>
    </row>
    <row r="12" spans="1:11" ht="13.5" customHeight="1" x14ac:dyDescent="0.15">
      <c r="A12" s="36">
        <v>4</v>
      </c>
      <c r="B12" s="37" t="s">
        <v>19</v>
      </c>
      <c r="C12" s="313">
        <v>45303</v>
      </c>
      <c r="D12" s="313"/>
      <c r="E12" s="313"/>
      <c r="F12" s="313"/>
      <c r="G12" s="38"/>
      <c r="H12" s="38"/>
      <c r="I12" s="44"/>
      <c r="J12" s="44"/>
      <c r="K12" s="44"/>
    </row>
    <row r="13" spans="1:11" ht="13.5" customHeight="1" x14ac:dyDescent="0.15">
      <c r="A13" s="42"/>
      <c r="B13" s="40" t="s">
        <v>20</v>
      </c>
      <c r="C13" s="314">
        <f>+C12</f>
        <v>45303</v>
      </c>
      <c r="D13" s="314"/>
      <c r="E13" s="314"/>
      <c r="F13" s="314"/>
      <c r="G13" s="328"/>
      <c r="H13" s="328"/>
      <c r="I13" s="45"/>
      <c r="J13" s="45"/>
      <c r="K13" s="45"/>
    </row>
    <row r="14" spans="1:11" x14ac:dyDescent="0.15">
      <c r="A14" s="46" t="s">
        <v>1065</v>
      </c>
      <c r="B14" s="46" t="s">
        <v>1101</v>
      </c>
      <c r="C14" s="47"/>
      <c r="D14" s="48"/>
      <c r="E14" s="48"/>
      <c r="F14" s="48"/>
      <c r="G14" s="49"/>
      <c r="H14" s="49"/>
      <c r="I14" s="45"/>
      <c r="J14" s="45"/>
      <c r="K14" s="45"/>
    </row>
    <row r="15" spans="1:11" x14ac:dyDescent="0.15">
      <c r="A15" s="32" t="s">
        <v>340</v>
      </c>
      <c r="B15" s="32" t="s">
        <v>1102</v>
      </c>
      <c r="C15" s="50"/>
      <c r="D15" s="51"/>
      <c r="E15" s="51"/>
      <c r="F15" s="52"/>
      <c r="G15" s="52"/>
      <c r="H15" s="52"/>
      <c r="I15" s="52"/>
      <c r="J15" s="52"/>
      <c r="K15" s="52"/>
    </row>
    <row r="16" spans="1:11" ht="24.75" customHeight="1" x14ac:dyDescent="0.15">
      <c r="A16" s="334" t="s">
        <v>385</v>
      </c>
      <c r="B16" s="334" t="s">
        <v>1103</v>
      </c>
      <c r="C16" s="349" t="s">
        <v>26</v>
      </c>
      <c r="D16" s="334" t="s">
        <v>1104</v>
      </c>
      <c r="E16" s="334" t="s">
        <v>1105</v>
      </c>
      <c r="F16" s="334" t="s">
        <v>1106</v>
      </c>
      <c r="G16" s="334" t="s">
        <v>1107</v>
      </c>
      <c r="H16" s="336" t="s">
        <v>1108</v>
      </c>
      <c r="I16" s="337"/>
      <c r="J16" s="336" t="s">
        <v>1109</v>
      </c>
      <c r="K16" s="337"/>
    </row>
    <row r="17" spans="1:11" ht="58.5" customHeight="1" x14ac:dyDescent="0.15">
      <c r="A17" s="335"/>
      <c r="B17" s="335"/>
      <c r="C17" s="350"/>
      <c r="D17" s="335"/>
      <c r="E17" s="335"/>
      <c r="F17" s="335"/>
      <c r="G17" s="335"/>
      <c r="H17" s="53" t="s">
        <v>1110</v>
      </c>
      <c r="I17" s="53" t="s">
        <v>1111</v>
      </c>
      <c r="J17" s="53" t="s">
        <v>1112</v>
      </c>
      <c r="K17" s="53" t="s">
        <v>1113</v>
      </c>
    </row>
    <row r="18" spans="1:11" ht="21" x14ac:dyDescent="0.15">
      <c r="A18" s="54">
        <v>1</v>
      </c>
      <c r="B18" s="55" t="s">
        <v>1114</v>
      </c>
      <c r="C18" s="56" t="s">
        <v>568</v>
      </c>
      <c r="D18" s="338"/>
      <c r="E18" s="339"/>
      <c r="F18" s="339"/>
      <c r="G18" s="339"/>
      <c r="H18" s="339"/>
      <c r="I18" s="339"/>
      <c r="J18" s="339"/>
      <c r="K18" s="340"/>
    </row>
    <row r="19" spans="1:11" ht="21" x14ac:dyDescent="0.15">
      <c r="A19" s="54" t="s">
        <v>30</v>
      </c>
      <c r="B19" s="55" t="s">
        <v>1115</v>
      </c>
      <c r="C19" s="56" t="s">
        <v>1116</v>
      </c>
      <c r="D19" s="341"/>
      <c r="E19" s="342"/>
      <c r="F19" s="342"/>
      <c r="G19" s="342"/>
      <c r="H19" s="342"/>
      <c r="I19" s="342"/>
      <c r="J19" s="342"/>
      <c r="K19" s="343"/>
    </row>
    <row r="20" spans="1:11" ht="21" x14ac:dyDescent="0.15">
      <c r="A20" s="54">
        <v>2</v>
      </c>
      <c r="B20" s="55" t="s">
        <v>1117</v>
      </c>
      <c r="C20" s="56" t="s">
        <v>1118</v>
      </c>
      <c r="D20" s="341"/>
      <c r="E20" s="342"/>
      <c r="F20" s="342"/>
      <c r="G20" s="342"/>
      <c r="H20" s="342"/>
      <c r="I20" s="342"/>
      <c r="J20" s="342"/>
      <c r="K20" s="343"/>
    </row>
    <row r="21" spans="1:11" ht="21" x14ac:dyDescent="0.15">
      <c r="A21" s="54" t="s">
        <v>120</v>
      </c>
      <c r="B21" s="55" t="s">
        <v>1119</v>
      </c>
      <c r="C21" s="56" t="s">
        <v>1120</v>
      </c>
      <c r="D21" s="341"/>
      <c r="E21" s="342"/>
      <c r="F21" s="342"/>
      <c r="G21" s="342"/>
      <c r="H21" s="342"/>
      <c r="I21" s="342"/>
      <c r="J21" s="342"/>
      <c r="K21" s="343"/>
    </row>
    <row r="22" spans="1:11" ht="21" x14ac:dyDescent="0.15">
      <c r="A22" s="54" t="s">
        <v>1065</v>
      </c>
      <c r="B22" s="57" t="s">
        <v>1121</v>
      </c>
      <c r="C22" s="56" t="s">
        <v>1122</v>
      </c>
      <c r="D22" s="341"/>
      <c r="E22" s="342"/>
      <c r="F22" s="342"/>
      <c r="G22" s="342"/>
      <c r="H22" s="342"/>
      <c r="I22" s="342"/>
      <c r="J22" s="342"/>
      <c r="K22" s="343"/>
    </row>
    <row r="23" spans="1:11" ht="21" x14ac:dyDescent="0.15">
      <c r="A23" s="58" t="s">
        <v>13</v>
      </c>
      <c r="B23" s="57" t="s">
        <v>1123</v>
      </c>
      <c r="C23" s="56" t="s">
        <v>1124</v>
      </c>
      <c r="D23" s="341"/>
      <c r="E23" s="342"/>
      <c r="F23" s="342"/>
      <c r="G23" s="342"/>
      <c r="H23" s="342"/>
      <c r="I23" s="342"/>
      <c r="J23" s="342"/>
      <c r="K23" s="343"/>
    </row>
    <row r="24" spans="1:11" ht="21" x14ac:dyDescent="0.15">
      <c r="A24" s="58" t="s">
        <v>337</v>
      </c>
      <c r="B24" s="55" t="s">
        <v>1125</v>
      </c>
      <c r="C24" s="56" t="s">
        <v>1126</v>
      </c>
      <c r="D24" s="341"/>
      <c r="E24" s="342"/>
      <c r="F24" s="342"/>
      <c r="G24" s="342"/>
      <c r="H24" s="342"/>
      <c r="I24" s="342"/>
      <c r="J24" s="342"/>
      <c r="K24" s="343"/>
    </row>
    <row r="25" spans="1:11" ht="21" x14ac:dyDescent="0.15">
      <c r="A25" s="58" t="s">
        <v>18</v>
      </c>
      <c r="B25" s="55" t="s">
        <v>1127</v>
      </c>
      <c r="C25" s="56" t="s">
        <v>1128</v>
      </c>
      <c r="D25" s="341"/>
      <c r="E25" s="342"/>
      <c r="F25" s="342"/>
      <c r="G25" s="342"/>
      <c r="H25" s="342"/>
      <c r="I25" s="342"/>
      <c r="J25" s="342"/>
      <c r="K25" s="343"/>
    </row>
    <row r="26" spans="1:11" ht="21" x14ac:dyDescent="0.15">
      <c r="A26" s="58" t="s">
        <v>340</v>
      </c>
      <c r="B26" s="55" t="s">
        <v>1125</v>
      </c>
      <c r="C26" s="56" t="s">
        <v>1129</v>
      </c>
      <c r="D26" s="341"/>
      <c r="E26" s="342"/>
      <c r="F26" s="342"/>
      <c r="G26" s="342"/>
      <c r="H26" s="342"/>
      <c r="I26" s="342"/>
      <c r="J26" s="342"/>
      <c r="K26" s="343"/>
    </row>
    <row r="27" spans="1:11" ht="25.5" customHeight="1" x14ac:dyDescent="0.15">
      <c r="A27" s="54" t="s">
        <v>1090</v>
      </c>
      <c r="B27" s="57" t="s">
        <v>1130</v>
      </c>
      <c r="C27" s="56" t="s">
        <v>1131</v>
      </c>
      <c r="D27" s="344"/>
      <c r="E27" s="345"/>
      <c r="F27" s="345"/>
      <c r="G27" s="345"/>
      <c r="H27" s="345"/>
      <c r="I27" s="345"/>
      <c r="J27" s="345"/>
      <c r="K27" s="346"/>
    </row>
    <row r="28" spans="1:11" ht="9" customHeight="1" x14ac:dyDescent="0.15">
      <c r="A28" s="52"/>
      <c r="B28" s="59"/>
      <c r="C28" s="59"/>
      <c r="D28" s="52"/>
      <c r="E28" s="52"/>
      <c r="F28" s="52"/>
      <c r="G28" s="52"/>
      <c r="H28" s="52"/>
      <c r="I28" s="52"/>
      <c r="J28" s="52"/>
      <c r="K28" s="52"/>
    </row>
    <row r="29" spans="1:11" x14ac:dyDescent="0.15">
      <c r="A29" s="347" t="s">
        <v>220</v>
      </c>
      <c r="B29" s="347"/>
      <c r="C29" s="347"/>
      <c r="E29" s="60"/>
      <c r="F29" s="61"/>
      <c r="G29" s="61"/>
      <c r="H29" s="348" t="s">
        <v>221</v>
      </c>
      <c r="I29" s="348"/>
      <c r="J29" s="348"/>
      <c r="K29" s="348"/>
    </row>
    <row r="30" spans="1:11" x14ac:dyDescent="0.15">
      <c r="A30" s="351" t="s">
        <v>222</v>
      </c>
      <c r="B30" s="351"/>
      <c r="C30" s="351"/>
      <c r="E30" s="62"/>
      <c r="F30" s="63"/>
      <c r="G30" s="63"/>
      <c r="H30" s="353" t="s">
        <v>223</v>
      </c>
      <c r="I30" s="353"/>
      <c r="J30" s="353"/>
      <c r="K30" s="353"/>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351" t="s">
        <v>1132</v>
      </c>
      <c r="B34" s="351"/>
      <c r="C34" s="351"/>
      <c r="E34" s="63"/>
      <c r="F34" s="63"/>
      <c r="G34" s="79"/>
      <c r="H34" s="354" t="s">
        <v>1052</v>
      </c>
      <c r="I34" s="354"/>
      <c r="J34" s="354"/>
      <c r="K34" s="354"/>
    </row>
    <row r="35" spans="1:11" s="78" customFormat="1" ht="12.75" customHeight="1" x14ac:dyDescent="0.25">
      <c r="A35" s="351" t="s">
        <v>226</v>
      </c>
      <c r="B35" s="351"/>
      <c r="C35" s="351"/>
      <c r="E35" s="80"/>
      <c r="F35" s="81"/>
      <c r="G35" s="79"/>
      <c r="H35" s="352" t="s">
        <v>227</v>
      </c>
      <c r="I35" s="352"/>
      <c r="J35" s="352"/>
      <c r="K35" s="352"/>
    </row>
    <row r="36" spans="1:11" s="78" customFormat="1" ht="12.75" customHeight="1" x14ac:dyDescent="0.25">
      <c r="A36" s="351" t="s">
        <v>228</v>
      </c>
      <c r="B36" s="351"/>
      <c r="C36" s="351"/>
      <c r="H36" s="352" t="s">
        <v>229</v>
      </c>
      <c r="I36" s="352"/>
      <c r="J36" s="352"/>
      <c r="K36" s="352"/>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2"/>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topLeftCell="A19" zoomScaleNormal="100" zoomScaleSheetLayoutView="100" workbookViewId="0">
      <selection activeCell="G23" sqref="G23"/>
    </sheetView>
  </sheetViews>
  <sheetFormatPr defaultColWidth="9.140625" defaultRowHeight="10.5" x14ac:dyDescent="0.25"/>
  <cols>
    <col min="1" max="1" width="4.28515625" style="116" customWidth="1"/>
    <col min="2" max="2" width="12.5703125" style="116" customWidth="1"/>
    <col min="3" max="3" width="16.28515625" style="116" customWidth="1"/>
    <col min="4" max="4" width="24.42578125" style="116" customWidth="1"/>
    <col min="5" max="5" width="9.140625" style="116"/>
    <col min="6" max="6" width="19.28515625" style="116" customWidth="1"/>
    <col min="7" max="7" width="20.5703125" style="116" customWidth="1"/>
    <col min="8" max="16384" width="9.140625" style="116"/>
  </cols>
  <sheetData>
    <row r="1" spans="1:7" ht="30.75" customHeight="1" x14ac:dyDescent="0.25">
      <c r="A1" s="321"/>
      <c r="B1" s="321"/>
      <c r="C1" s="135"/>
      <c r="D1" s="135"/>
      <c r="E1" s="309" t="s">
        <v>507</v>
      </c>
      <c r="F1" s="309"/>
      <c r="G1" s="309"/>
    </row>
    <row r="2" spans="1:7" ht="27" customHeight="1" x14ac:dyDescent="0.25">
      <c r="A2" s="310" t="s">
        <v>1</v>
      </c>
      <c r="B2" s="310"/>
      <c r="C2" s="310"/>
      <c r="D2" s="310"/>
      <c r="E2" s="310"/>
      <c r="F2" s="310"/>
      <c r="G2" s="310"/>
    </row>
    <row r="3" spans="1:7" ht="6.75" customHeight="1" x14ac:dyDescent="0.25">
      <c r="A3" s="135"/>
      <c r="B3" s="135"/>
      <c r="C3" s="135"/>
      <c r="D3" s="135"/>
      <c r="E3" s="135"/>
      <c r="F3" s="135"/>
      <c r="G3" s="135"/>
    </row>
    <row r="4" spans="1:7" ht="24.75" customHeight="1" x14ac:dyDescent="0.25">
      <c r="A4" s="311" t="s">
        <v>230</v>
      </c>
      <c r="B4" s="311"/>
      <c r="C4" s="311"/>
      <c r="D4" s="311"/>
      <c r="E4" s="311"/>
      <c r="F4" s="311"/>
      <c r="G4" s="311"/>
    </row>
    <row r="5" spans="1:7" ht="18.75" customHeight="1" x14ac:dyDescent="0.25">
      <c r="A5" s="320" t="s">
        <v>1134</v>
      </c>
      <c r="B5" s="320"/>
      <c r="C5" s="320"/>
      <c r="D5" s="320"/>
      <c r="E5" s="320"/>
      <c r="F5" s="320"/>
      <c r="G5" s="320"/>
    </row>
    <row r="6" spans="1:7" ht="12.75" customHeight="1" x14ac:dyDescent="0.25">
      <c r="A6" s="115" t="s">
        <v>3</v>
      </c>
      <c r="B6" s="322" t="s">
        <v>231</v>
      </c>
      <c r="C6" s="322"/>
      <c r="D6" s="322" t="s">
        <v>5</v>
      </c>
      <c r="E6" s="322"/>
      <c r="F6" s="322"/>
      <c r="G6" s="322"/>
    </row>
    <row r="7" spans="1:7" ht="12.75" customHeight="1" x14ac:dyDescent="0.25">
      <c r="A7" s="135"/>
      <c r="B7" s="321" t="s">
        <v>6</v>
      </c>
      <c r="C7" s="321"/>
      <c r="D7" s="321" t="s">
        <v>7</v>
      </c>
      <c r="E7" s="321"/>
      <c r="F7" s="321"/>
      <c r="G7" s="321"/>
    </row>
    <row r="8" spans="1:7" ht="12.75" customHeight="1" x14ac:dyDescent="0.25">
      <c r="A8" s="115" t="s">
        <v>8</v>
      </c>
      <c r="B8" s="322" t="s">
        <v>9</v>
      </c>
      <c r="C8" s="322"/>
      <c r="D8" s="322" t="s">
        <v>10</v>
      </c>
      <c r="E8" s="322"/>
      <c r="F8" s="322"/>
      <c r="G8" s="322"/>
    </row>
    <row r="9" spans="1:7" ht="12.75" customHeight="1" x14ac:dyDescent="0.25">
      <c r="A9" s="135"/>
      <c r="B9" s="321" t="s">
        <v>11</v>
      </c>
      <c r="C9" s="321"/>
      <c r="D9" s="321" t="s">
        <v>12</v>
      </c>
      <c r="E9" s="321"/>
      <c r="F9" s="321"/>
      <c r="G9" s="321"/>
    </row>
    <row r="10" spans="1:7" ht="12.75" customHeight="1" x14ac:dyDescent="0.25">
      <c r="A10" s="115" t="s">
        <v>13</v>
      </c>
      <c r="B10" s="322" t="s">
        <v>14</v>
      </c>
      <c r="C10" s="322"/>
      <c r="D10" s="322" t="s">
        <v>15</v>
      </c>
      <c r="E10" s="322"/>
      <c r="F10" s="322"/>
      <c r="G10" s="322"/>
    </row>
    <row r="11" spans="1:7" ht="12.75" customHeight="1" x14ac:dyDescent="0.25">
      <c r="A11" s="135"/>
      <c r="B11" s="321" t="s">
        <v>16</v>
      </c>
      <c r="C11" s="321"/>
      <c r="D11" s="321" t="s">
        <v>17</v>
      </c>
      <c r="E11" s="321"/>
      <c r="F11" s="321"/>
      <c r="G11" s="321"/>
    </row>
    <row r="12" spans="1:7" ht="12.75" customHeight="1" x14ac:dyDescent="0.25">
      <c r="A12" s="115" t="s">
        <v>18</v>
      </c>
      <c r="B12" s="322" t="s">
        <v>19</v>
      </c>
      <c r="C12" s="322"/>
      <c r="D12" s="313">
        <v>45303</v>
      </c>
      <c r="E12" s="313"/>
      <c r="F12" s="313"/>
      <c r="G12" s="313"/>
    </row>
    <row r="13" spans="1:7" ht="12.75" customHeight="1" x14ac:dyDescent="0.25">
      <c r="A13" s="135"/>
      <c r="B13" s="321" t="s">
        <v>20</v>
      </c>
      <c r="C13" s="321"/>
      <c r="D13" s="314">
        <v>45303</v>
      </c>
      <c r="E13" s="314"/>
      <c r="F13" s="314"/>
      <c r="G13" s="314"/>
    </row>
    <row r="14" spans="1:7" ht="9" customHeight="1" x14ac:dyDescent="0.25">
      <c r="A14" s="135"/>
      <c r="B14" s="135"/>
      <c r="C14" s="135"/>
      <c r="D14" s="135"/>
      <c r="E14" s="355"/>
      <c r="F14" s="355"/>
      <c r="G14" s="355"/>
    </row>
    <row r="15" spans="1:7" ht="15.75" customHeight="1" x14ac:dyDescent="0.25">
      <c r="A15" s="324" t="s">
        <v>21</v>
      </c>
      <c r="B15" s="324"/>
      <c r="C15" s="324"/>
      <c r="D15" s="324"/>
      <c r="E15" s="324"/>
      <c r="F15" s="324"/>
      <c r="G15" s="324"/>
    </row>
    <row r="16" spans="1:7" ht="15.75" customHeight="1" x14ac:dyDescent="0.25">
      <c r="A16" s="322" t="s">
        <v>508</v>
      </c>
      <c r="B16" s="322"/>
      <c r="C16" s="322"/>
      <c r="D16" s="322"/>
      <c r="E16" s="322"/>
      <c r="F16" s="322"/>
      <c r="G16" s="322"/>
    </row>
    <row r="17" spans="1:9" ht="11.25" customHeight="1" x14ac:dyDescent="0.25">
      <c r="A17" s="138"/>
      <c r="B17" s="146"/>
      <c r="C17" s="138"/>
      <c r="D17" s="325" t="s">
        <v>23</v>
      </c>
      <c r="E17" s="325"/>
      <c r="F17" s="325"/>
      <c r="G17" s="325"/>
    </row>
    <row r="18" spans="1:9" ht="32.25" customHeight="1" x14ac:dyDescent="0.25">
      <c r="A18" s="89" t="s">
        <v>509</v>
      </c>
      <c r="B18" s="356" t="s">
        <v>25</v>
      </c>
      <c r="C18" s="356"/>
      <c r="D18" s="356"/>
      <c r="E18" s="90" t="s">
        <v>26</v>
      </c>
      <c r="F18" s="90" t="s">
        <v>1137</v>
      </c>
      <c r="G18" s="91" t="s">
        <v>1138</v>
      </c>
    </row>
    <row r="19" spans="1:9" ht="21.95" customHeight="1" x14ac:dyDescent="0.25">
      <c r="A19" s="92" t="s">
        <v>30</v>
      </c>
      <c r="B19" s="357" t="s">
        <v>510</v>
      </c>
      <c r="C19" s="357"/>
      <c r="D19" s="357"/>
      <c r="E19" s="94" t="s">
        <v>511</v>
      </c>
      <c r="F19" s="147">
        <v>0</v>
      </c>
      <c r="G19" s="148">
        <v>0</v>
      </c>
    </row>
    <row r="20" spans="1:9" ht="33" customHeight="1" x14ac:dyDescent="0.25">
      <c r="A20" s="92" t="s">
        <v>3</v>
      </c>
      <c r="B20" s="357" t="s">
        <v>512</v>
      </c>
      <c r="C20" s="357"/>
      <c r="D20" s="357"/>
      <c r="E20" s="94" t="s">
        <v>513</v>
      </c>
      <c r="F20" s="149">
        <v>8.0660000000000003E-3</v>
      </c>
      <c r="G20" s="96">
        <v>8.0660000000000003E-3</v>
      </c>
      <c r="H20" s="150"/>
      <c r="I20" s="150"/>
    </row>
    <row r="21" spans="1:9" ht="33" customHeight="1" x14ac:dyDescent="0.25">
      <c r="A21" s="92" t="s">
        <v>8</v>
      </c>
      <c r="B21" s="357" t="s">
        <v>514</v>
      </c>
      <c r="C21" s="357"/>
      <c r="D21" s="357"/>
      <c r="E21" s="94" t="s">
        <v>515</v>
      </c>
      <c r="F21" s="149">
        <v>7.4799999999999997E-4</v>
      </c>
      <c r="G21" s="96">
        <v>7.3700000000000002E-4</v>
      </c>
      <c r="H21" s="150"/>
      <c r="I21" s="150"/>
    </row>
    <row r="22" spans="1:9" ht="41.25" customHeight="1" x14ac:dyDescent="0.25">
      <c r="A22" s="92" t="s">
        <v>13</v>
      </c>
      <c r="B22" s="357" t="s">
        <v>516</v>
      </c>
      <c r="C22" s="357"/>
      <c r="D22" s="357"/>
      <c r="E22" s="94" t="s">
        <v>517</v>
      </c>
      <c r="F22" s="149">
        <v>1.647E-3</v>
      </c>
      <c r="G22" s="96">
        <v>1.637E-3</v>
      </c>
      <c r="H22" s="150"/>
      <c r="I22" s="150"/>
    </row>
    <row r="23" spans="1:9" ht="33" customHeight="1" x14ac:dyDescent="0.25">
      <c r="A23" s="92" t="s">
        <v>18</v>
      </c>
      <c r="B23" s="357" t="s">
        <v>518</v>
      </c>
      <c r="C23" s="357"/>
      <c r="D23" s="357"/>
      <c r="E23" s="94" t="s">
        <v>519</v>
      </c>
      <c r="F23" s="149">
        <v>1.9000000000000001E-5</v>
      </c>
      <c r="G23" s="96">
        <v>1.7E-5</v>
      </c>
      <c r="H23" s="150"/>
      <c r="I23" s="150"/>
    </row>
    <row r="24" spans="1:9" ht="41.25" customHeight="1" x14ac:dyDescent="0.25">
      <c r="A24" s="92" t="s">
        <v>284</v>
      </c>
      <c r="B24" s="357" t="s">
        <v>520</v>
      </c>
      <c r="C24" s="357"/>
      <c r="D24" s="357"/>
      <c r="E24" s="94"/>
      <c r="F24" s="149">
        <v>0</v>
      </c>
      <c r="G24" s="96">
        <v>0</v>
      </c>
      <c r="H24" s="150"/>
      <c r="I24" s="150"/>
    </row>
    <row r="25" spans="1:9" ht="42.75" customHeight="1" x14ac:dyDescent="0.25">
      <c r="A25" s="92" t="s">
        <v>286</v>
      </c>
      <c r="B25" s="357" t="s">
        <v>521</v>
      </c>
      <c r="C25" s="357"/>
      <c r="D25" s="357"/>
      <c r="E25" s="94"/>
      <c r="F25" s="149">
        <v>0</v>
      </c>
      <c r="G25" s="96">
        <v>0</v>
      </c>
      <c r="H25" s="150"/>
      <c r="I25" s="150"/>
    </row>
    <row r="26" spans="1:9" ht="42.75" customHeight="1" x14ac:dyDescent="0.25">
      <c r="A26" s="92" t="s">
        <v>289</v>
      </c>
      <c r="B26" s="357" t="s">
        <v>522</v>
      </c>
      <c r="C26" s="357"/>
      <c r="D26" s="357"/>
      <c r="E26" s="94" t="s">
        <v>523</v>
      </c>
      <c r="F26" s="149">
        <v>6.9999999999999999E-6</v>
      </c>
      <c r="G26" s="96">
        <v>6.0000000000000002E-6</v>
      </c>
      <c r="H26" s="150"/>
      <c r="I26" s="150"/>
    </row>
    <row r="27" spans="1:9" ht="21.95" customHeight="1" x14ac:dyDescent="0.25">
      <c r="A27" s="92" t="s">
        <v>298</v>
      </c>
      <c r="B27" s="357" t="s">
        <v>524</v>
      </c>
      <c r="C27" s="357"/>
      <c r="D27" s="357"/>
      <c r="E27" s="94" t="s">
        <v>525</v>
      </c>
      <c r="F27" s="149">
        <v>1.0397999999999999E-2</v>
      </c>
      <c r="G27" s="96">
        <v>1.0395E-2</v>
      </c>
      <c r="H27" s="150"/>
      <c r="I27" s="150"/>
    </row>
    <row r="28" spans="1:9" ht="42.75" customHeight="1" x14ac:dyDescent="0.25">
      <c r="A28" s="92" t="s">
        <v>311</v>
      </c>
      <c r="B28" s="357" t="s">
        <v>526</v>
      </c>
      <c r="C28" s="357"/>
      <c r="D28" s="357"/>
      <c r="E28" s="94" t="s">
        <v>527</v>
      </c>
      <c r="F28" s="149">
        <v>0.27555499999999999</v>
      </c>
      <c r="G28" s="96">
        <v>0.237427</v>
      </c>
      <c r="H28" s="150"/>
      <c r="I28" s="150"/>
    </row>
    <row r="29" spans="1:9" ht="42.75" customHeight="1" x14ac:dyDescent="0.25">
      <c r="A29" s="92" t="s">
        <v>318</v>
      </c>
      <c r="B29" s="357" t="s">
        <v>528</v>
      </c>
      <c r="C29" s="357"/>
      <c r="D29" s="357"/>
      <c r="E29" s="94"/>
      <c r="F29" s="149">
        <v>0</v>
      </c>
      <c r="G29" s="96">
        <v>0</v>
      </c>
      <c r="H29" s="150"/>
      <c r="I29" s="150"/>
    </row>
    <row r="30" spans="1:9" ht="21.95" customHeight="1" x14ac:dyDescent="0.25">
      <c r="A30" s="92" t="s">
        <v>120</v>
      </c>
      <c r="B30" s="357" t="s">
        <v>529</v>
      </c>
      <c r="C30" s="357"/>
      <c r="D30" s="357"/>
      <c r="E30" s="94" t="s">
        <v>530</v>
      </c>
      <c r="F30" s="147">
        <v>0</v>
      </c>
      <c r="G30" s="148">
        <v>0</v>
      </c>
      <c r="H30" s="150"/>
      <c r="I30" s="150"/>
    </row>
    <row r="31" spans="1:9" ht="21.95" customHeight="1" x14ac:dyDescent="0.25">
      <c r="A31" s="92" t="s">
        <v>3</v>
      </c>
      <c r="B31" s="357" t="s">
        <v>531</v>
      </c>
      <c r="C31" s="357"/>
      <c r="D31" s="357"/>
      <c r="E31" s="94" t="s">
        <v>532</v>
      </c>
      <c r="F31" s="151">
        <v>7337000000000</v>
      </c>
      <c r="G31" s="152">
        <v>7988000000000</v>
      </c>
      <c r="H31" s="150"/>
      <c r="I31" s="150"/>
    </row>
    <row r="32" spans="1:9" ht="21.95" customHeight="1" x14ac:dyDescent="0.25">
      <c r="A32" s="92"/>
      <c r="B32" s="357" t="s">
        <v>533</v>
      </c>
      <c r="C32" s="357"/>
      <c r="D32" s="357"/>
      <c r="E32" s="94" t="s">
        <v>534</v>
      </c>
      <c r="F32" s="151">
        <v>7337000000000</v>
      </c>
      <c r="G32" s="152">
        <v>7988000000000</v>
      </c>
      <c r="H32" s="150"/>
      <c r="I32" s="150"/>
    </row>
    <row r="33" spans="1:9" ht="21.95" customHeight="1" x14ac:dyDescent="0.25">
      <c r="A33" s="92"/>
      <c r="B33" s="357" t="s">
        <v>535</v>
      </c>
      <c r="C33" s="357"/>
      <c r="D33" s="357"/>
      <c r="E33" s="94" t="s">
        <v>536</v>
      </c>
      <c r="F33" s="151">
        <v>733700000</v>
      </c>
      <c r="G33" s="152">
        <v>798800000</v>
      </c>
      <c r="H33" s="150"/>
      <c r="I33" s="150"/>
    </row>
    <row r="34" spans="1:9" ht="21.95" customHeight="1" x14ac:dyDescent="0.25">
      <c r="A34" s="92" t="s">
        <v>8</v>
      </c>
      <c r="B34" s="357" t="s">
        <v>537</v>
      </c>
      <c r="C34" s="357"/>
      <c r="D34" s="357"/>
      <c r="E34" s="94" t="s">
        <v>538</v>
      </c>
      <c r="F34" s="151">
        <v>-686000000000</v>
      </c>
      <c r="G34" s="152">
        <v>-651000000000</v>
      </c>
      <c r="H34" s="150"/>
      <c r="I34" s="150"/>
    </row>
    <row r="35" spans="1:9" ht="21.95" customHeight="1" x14ac:dyDescent="0.25">
      <c r="A35" s="92"/>
      <c r="B35" s="357" t="s">
        <v>539</v>
      </c>
      <c r="C35" s="357"/>
      <c r="D35" s="357"/>
      <c r="E35" s="94" t="s">
        <v>540</v>
      </c>
      <c r="F35" s="151">
        <v>-68600000</v>
      </c>
      <c r="G35" s="152">
        <v>-65100000</v>
      </c>
      <c r="H35" s="150"/>
      <c r="I35" s="150"/>
    </row>
    <row r="36" spans="1:9" ht="21.95" customHeight="1" x14ac:dyDescent="0.25">
      <c r="A36" s="92"/>
      <c r="B36" s="357" t="s">
        <v>541</v>
      </c>
      <c r="C36" s="357"/>
      <c r="D36" s="357"/>
      <c r="E36" s="94" t="s">
        <v>542</v>
      </c>
      <c r="F36" s="151">
        <v>-686000000000</v>
      </c>
      <c r="G36" s="152">
        <v>-651000000000</v>
      </c>
      <c r="H36" s="150"/>
      <c r="I36" s="150"/>
    </row>
    <row r="37" spans="1:9" ht="21.95" customHeight="1" x14ac:dyDescent="0.25">
      <c r="A37" s="92"/>
      <c r="B37" s="357" t="s">
        <v>543</v>
      </c>
      <c r="C37" s="357"/>
      <c r="D37" s="357"/>
      <c r="E37" s="94" t="s">
        <v>544</v>
      </c>
      <c r="F37" s="151">
        <v>17400000</v>
      </c>
      <c r="G37" s="152">
        <v>11800000</v>
      </c>
      <c r="H37" s="150"/>
      <c r="I37" s="150"/>
    </row>
    <row r="38" spans="1:9" ht="21.95" customHeight="1" x14ac:dyDescent="0.25">
      <c r="A38" s="92"/>
      <c r="B38" s="357" t="s">
        <v>545</v>
      </c>
      <c r="C38" s="357"/>
      <c r="D38" s="357"/>
      <c r="E38" s="94" t="s">
        <v>546</v>
      </c>
      <c r="F38" s="151">
        <v>174000000000</v>
      </c>
      <c r="G38" s="152">
        <v>118000000000</v>
      </c>
      <c r="H38" s="150"/>
      <c r="I38" s="150"/>
    </row>
    <row r="39" spans="1:9" ht="21.95" customHeight="1" x14ac:dyDescent="0.25">
      <c r="A39" s="92"/>
      <c r="B39" s="357" t="s">
        <v>547</v>
      </c>
      <c r="C39" s="357"/>
      <c r="D39" s="357"/>
      <c r="E39" s="94" t="s">
        <v>548</v>
      </c>
      <c r="F39" s="151">
        <v>-86000000</v>
      </c>
      <c r="G39" s="152">
        <v>-76900000</v>
      </c>
      <c r="H39" s="150"/>
      <c r="I39" s="150"/>
    </row>
    <row r="40" spans="1:9" ht="21.95" customHeight="1" x14ac:dyDescent="0.25">
      <c r="A40" s="92"/>
      <c r="B40" s="357" t="s">
        <v>549</v>
      </c>
      <c r="C40" s="357"/>
      <c r="D40" s="357"/>
      <c r="E40" s="94" t="s">
        <v>550</v>
      </c>
      <c r="F40" s="151">
        <v>-860000000000</v>
      </c>
      <c r="G40" s="152">
        <v>-769000000000</v>
      </c>
      <c r="H40" s="150"/>
      <c r="I40" s="150"/>
    </row>
    <row r="41" spans="1:9" ht="21.95" customHeight="1" x14ac:dyDescent="0.25">
      <c r="A41" s="92" t="s">
        <v>13</v>
      </c>
      <c r="B41" s="357" t="s">
        <v>551</v>
      </c>
      <c r="C41" s="357"/>
      <c r="D41" s="357"/>
      <c r="E41" s="94" t="s">
        <v>552</v>
      </c>
      <c r="F41" s="151">
        <v>6651000000000</v>
      </c>
      <c r="G41" s="152">
        <v>7337000000000</v>
      </c>
      <c r="H41" s="150"/>
      <c r="I41" s="150"/>
    </row>
    <row r="42" spans="1:9" ht="21.95" customHeight="1" x14ac:dyDescent="0.25">
      <c r="A42" s="92"/>
      <c r="B42" s="357" t="s">
        <v>553</v>
      </c>
      <c r="C42" s="357"/>
      <c r="D42" s="357"/>
      <c r="E42" s="94" t="s">
        <v>554</v>
      </c>
      <c r="F42" s="151">
        <v>6651000000000</v>
      </c>
      <c r="G42" s="152">
        <v>7337000000000</v>
      </c>
      <c r="H42" s="150"/>
      <c r="I42" s="150"/>
    </row>
    <row r="43" spans="1:9" ht="21.95" customHeight="1" x14ac:dyDescent="0.25">
      <c r="A43" s="92"/>
      <c r="B43" s="357" t="s">
        <v>555</v>
      </c>
      <c r="C43" s="357"/>
      <c r="D43" s="357"/>
      <c r="E43" s="94" t="s">
        <v>556</v>
      </c>
      <c r="F43" s="151">
        <v>665100000</v>
      </c>
      <c r="G43" s="152">
        <v>733700000</v>
      </c>
      <c r="H43" s="150"/>
      <c r="I43" s="150"/>
    </row>
    <row r="44" spans="1:9" ht="31.5" customHeight="1" x14ac:dyDescent="0.25">
      <c r="A44" s="92" t="s">
        <v>18</v>
      </c>
      <c r="B44" s="357" t="s">
        <v>557</v>
      </c>
      <c r="C44" s="357"/>
      <c r="D44" s="357"/>
      <c r="E44" s="94" t="s">
        <v>558</v>
      </c>
      <c r="F44" s="270">
        <v>1.02E-4</v>
      </c>
      <c r="G44" s="106">
        <v>3.3799999999999998E-4</v>
      </c>
      <c r="H44" s="150"/>
      <c r="I44" s="150"/>
    </row>
    <row r="45" spans="1:9" ht="23.25" customHeight="1" x14ac:dyDescent="0.25">
      <c r="A45" s="92" t="s">
        <v>284</v>
      </c>
      <c r="B45" s="358" t="s">
        <v>559</v>
      </c>
      <c r="C45" s="359"/>
      <c r="D45" s="360"/>
      <c r="E45" s="94" t="s">
        <v>560</v>
      </c>
      <c r="F45" s="270">
        <v>0.78249999999999997</v>
      </c>
      <c r="G45" s="106">
        <v>0.74219999999999997</v>
      </c>
      <c r="H45" s="150"/>
      <c r="I45" s="150"/>
    </row>
    <row r="46" spans="1:9" ht="23.25" customHeight="1" x14ac:dyDescent="0.25">
      <c r="A46" s="92" t="s">
        <v>286</v>
      </c>
      <c r="B46" s="358" t="s">
        <v>561</v>
      </c>
      <c r="C46" s="359"/>
      <c r="D46" s="360"/>
      <c r="E46" s="94" t="s">
        <v>562</v>
      </c>
      <c r="F46" s="270">
        <v>0.95169999999999999</v>
      </c>
      <c r="G46" s="106">
        <v>0.96860000000000002</v>
      </c>
      <c r="H46" s="150"/>
      <c r="I46" s="150"/>
    </row>
    <row r="47" spans="1:9" ht="21.95" customHeight="1" x14ac:dyDescent="0.25">
      <c r="A47" s="92" t="s">
        <v>289</v>
      </c>
      <c r="B47" s="357" t="s">
        <v>563</v>
      </c>
      <c r="C47" s="357"/>
      <c r="D47" s="357"/>
      <c r="E47" s="94" t="s">
        <v>564</v>
      </c>
      <c r="F47" s="153">
        <v>25953.08</v>
      </c>
      <c r="G47" s="154">
        <v>26530.560000000001</v>
      </c>
      <c r="H47" s="150"/>
      <c r="I47" s="150"/>
    </row>
    <row r="48" spans="1:9" ht="21.95" customHeight="1" x14ac:dyDescent="0.25">
      <c r="A48" s="92" t="s">
        <v>298</v>
      </c>
      <c r="B48" s="357" t="s">
        <v>565</v>
      </c>
      <c r="C48" s="357"/>
      <c r="D48" s="357"/>
      <c r="E48" s="94" t="s">
        <v>566</v>
      </c>
      <c r="F48" s="155">
        <v>26440</v>
      </c>
      <c r="G48" s="156">
        <v>26590</v>
      </c>
      <c r="H48" s="150"/>
      <c r="I48" s="150"/>
    </row>
    <row r="49" spans="1:9" ht="21.95" customHeight="1" x14ac:dyDescent="0.25">
      <c r="A49" s="108" t="s">
        <v>311</v>
      </c>
      <c r="B49" s="361" t="s">
        <v>567</v>
      </c>
      <c r="C49" s="361"/>
      <c r="D49" s="361"/>
      <c r="E49" s="110" t="s">
        <v>568</v>
      </c>
      <c r="F49" s="271">
        <v>5246</v>
      </c>
      <c r="G49" s="157">
        <v>4981</v>
      </c>
      <c r="H49" s="150"/>
      <c r="I49" s="150"/>
    </row>
    <row r="50" spans="1:9" ht="7.5" customHeight="1" x14ac:dyDescent="0.25">
      <c r="A50" s="135"/>
      <c r="B50" s="135"/>
      <c r="C50" s="135"/>
      <c r="D50" s="135"/>
      <c r="E50" s="135"/>
      <c r="F50" s="158"/>
      <c r="G50" s="158"/>
    </row>
    <row r="51" spans="1:9" ht="14.25" customHeight="1" x14ac:dyDescent="0.25">
      <c r="A51" s="321" t="s">
        <v>569</v>
      </c>
      <c r="B51" s="321"/>
      <c r="C51" s="321"/>
      <c r="D51" s="321"/>
      <c r="E51" s="321"/>
      <c r="F51" s="321"/>
      <c r="G51" s="321"/>
    </row>
    <row r="52" spans="1:9" ht="282" customHeight="1" x14ac:dyDescent="0.25">
      <c r="A52" s="317" t="s">
        <v>1135</v>
      </c>
      <c r="B52" s="317"/>
      <c r="C52" s="317"/>
      <c r="D52" s="317"/>
      <c r="E52" s="317"/>
      <c r="F52" s="317"/>
      <c r="G52" s="317"/>
    </row>
    <row r="53" spans="1:9" ht="48.75" customHeight="1" x14ac:dyDescent="0.25">
      <c r="A53" s="317" t="s">
        <v>1136</v>
      </c>
      <c r="B53" s="317"/>
      <c r="C53" s="317"/>
      <c r="D53" s="317"/>
      <c r="E53" s="317"/>
      <c r="F53" s="317"/>
      <c r="G53" s="317"/>
    </row>
    <row r="54" spans="1:9" ht="7.5" customHeight="1" x14ac:dyDescent="0.25">
      <c r="A54" s="135"/>
      <c r="B54" s="159"/>
      <c r="C54" s="135"/>
      <c r="D54" s="135"/>
      <c r="E54" s="135"/>
      <c r="F54" s="135"/>
      <c r="G54" s="135"/>
    </row>
    <row r="55" spans="1:9" ht="14.25" customHeight="1" x14ac:dyDescent="0.25">
      <c r="A55" s="323" t="s">
        <v>570</v>
      </c>
      <c r="B55" s="323"/>
      <c r="C55" s="323"/>
      <c r="D55" s="323"/>
      <c r="E55" s="323" t="s">
        <v>221</v>
      </c>
      <c r="F55" s="323"/>
      <c r="G55" s="323"/>
    </row>
    <row r="56" spans="1:9" ht="12" customHeight="1" x14ac:dyDescent="0.25">
      <c r="A56" s="320" t="s">
        <v>222</v>
      </c>
      <c r="B56" s="320"/>
      <c r="C56" s="320"/>
      <c r="D56" s="320"/>
      <c r="E56" s="320" t="s">
        <v>223</v>
      </c>
      <c r="F56" s="320"/>
      <c r="G56" s="320"/>
    </row>
    <row r="57" spans="1:9" ht="15" customHeight="1" x14ac:dyDescent="0.25">
      <c r="A57" s="135"/>
      <c r="B57" s="135"/>
      <c r="C57" s="135"/>
      <c r="D57" s="135"/>
      <c r="E57" s="135"/>
      <c r="F57" s="135"/>
      <c r="G57" s="135"/>
    </row>
    <row r="58" spans="1:9" ht="15" customHeight="1" x14ac:dyDescent="0.25">
      <c r="A58" s="135"/>
      <c r="B58" s="135"/>
      <c r="C58" s="135"/>
      <c r="D58" s="135"/>
      <c r="E58" s="135"/>
      <c r="F58" s="135"/>
      <c r="G58" s="135"/>
    </row>
    <row r="59" spans="1:9" ht="15.75" customHeight="1" x14ac:dyDescent="0.25">
      <c r="A59" s="135"/>
      <c r="B59" s="135"/>
      <c r="C59" s="135"/>
      <c r="D59" s="135"/>
      <c r="E59" s="135"/>
      <c r="F59" s="135"/>
      <c r="G59" s="135"/>
    </row>
    <row r="60" spans="1:9" ht="15" customHeight="1" x14ac:dyDescent="0.25">
      <c r="A60" s="135"/>
      <c r="B60" s="135"/>
      <c r="C60" s="135"/>
      <c r="D60" s="135"/>
      <c r="E60" s="135"/>
      <c r="F60" s="135"/>
      <c r="G60" s="135"/>
    </row>
    <row r="61" spans="1:9" ht="15.75" customHeight="1" x14ac:dyDescent="0.25">
      <c r="A61" s="135"/>
      <c r="B61" s="135"/>
      <c r="C61" s="135"/>
      <c r="D61" s="135"/>
      <c r="E61" s="135"/>
      <c r="F61" s="135"/>
      <c r="G61" s="135"/>
    </row>
    <row r="62" spans="1:9" ht="15.75" customHeight="1" x14ac:dyDescent="0.25">
      <c r="A62" s="135"/>
      <c r="B62" s="135"/>
      <c r="C62" s="135"/>
      <c r="D62" s="135"/>
      <c r="E62" s="135"/>
      <c r="F62" s="135"/>
      <c r="G62" s="135"/>
    </row>
    <row r="63" spans="1:9" ht="15.75" customHeight="1" x14ac:dyDescent="0.25">
      <c r="A63" s="323" t="s">
        <v>224</v>
      </c>
      <c r="B63" s="323"/>
      <c r="C63" s="323"/>
      <c r="D63" s="323"/>
      <c r="E63" s="323" t="s">
        <v>225</v>
      </c>
      <c r="F63" s="323"/>
      <c r="G63" s="323"/>
    </row>
    <row r="64" spans="1:9" ht="15.75" customHeight="1" x14ac:dyDescent="0.25">
      <c r="A64" s="323" t="s">
        <v>226</v>
      </c>
      <c r="B64" s="323"/>
      <c r="C64" s="323"/>
      <c r="D64" s="323"/>
      <c r="E64" s="323" t="s">
        <v>227</v>
      </c>
      <c r="F64" s="323"/>
      <c r="G64" s="323"/>
    </row>
    <row r="65" spans="1:7" ht="15.75" customHeight="1" x14ac:dyDescent="0.25">
      <c r="A65" s="323" t="s">
        <v>228</v>
      </c>
      <c r="B65" s="323"/>
      <c r="C65" s="323"/>
      <c r="D65" s="323"/>
      <c r="E65" s="323" t="s">
        <v>229</v>
      </c>
      <c r="F65" s="323"/>
      <c r="G65" s="323"/>
    </row>
  </sheetData>
  <mergeCells count="70">
    <mergeCell ref="A65:D65"/>
    <mergeCell ref="E65:G65"/>
    <mergeCell ref="A56:D56"/>
    <mergeCell ref="E56:G56"/>
    <mergeCell ref="A63:D63"/>
    <mergeCell ref="E63:G63"/>
    <mergeCell ref="A64:D64"/>
    <mergeCell ref="E64:G64"/>
    <mergeCell ref="A55:D55"/>
    <mergeCell ref="E55:G55"/>
    <mergeCell ref="B45:D45"/>
    <mergeCell ref="B46:D46"/>
    <mergeCell ref="B47:D47"/>
    <mergeCell ref="B48:D48"/>
    <mergeCell ref="B49:D49"/>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29:D29"/>
    <mergeCell ref="B30:D30"/>
    <mergeCell ref="B31:D31"/>
    <mergeCell ref="B32:D32"/>
    <mergeCell ref="B23:D23"/>
    <mergeCell ref="B24:D24"/>
    <mergeCell ref="B25:D25"/>
    <mergeCell ref="B26:D26"/>
    <mergeCell ref="B27:D27"/>
    <mergeCell ref="B28:D28"/>
    <mergeCell ref="B18:D18"/>
    <mergeCell ref="B19:D19"/>
    <mergeCell ref="B20:D20"/>
    <mergeCell ref="B21:D21"/>
    <mergeCell ref="B22:D22"/>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597" bottom="0.38" header="0.5" footer="0.28999999999999998"/>
  <pageSetup paperSize="9" scale="94"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79" zoomScaleNormal="100" zoomScaleSheetLayoutView="100" workbookViewId="0">
      <selection activeCell="B16" sqref="B16:C16"/>
    </sheetView>
  </sheetViews>
  <sheetFormatPr defaultColWidth="9.140625" defaultRowHeight="10.5" x14ac:dyDescent="0.15"/>
  <cols>
    <col min="1" max="1" width="30.85546875" style="83" customWidth="1"/>
    <col min="2" max="2" width="5.5703125" style="181" customWidth="1"/>
    <col min="3" max="3" width="6.42578125" style="83" customWidth="1"/>
    <col min="4" max="7" width="18.7109375" style="83" customWidth="1"/>
    <col min="8" max="8" width="15.7109375" style="160" bestFit="1" customWidth="1"/>
    <col min="9" max="9" width="16.5703125" style="160" bestFit="1" customWidth="1"/>
    <col min="10" max="16384" width="9.140625" style="83"/>
  </cols>
  <sheetData>
    <row r="1" spans="1:9" ht="27" customHeight="1" x14ac:dyDescent="0.15">
      <c r="A1" s="84"/>
      <c r="B1" s="308"/>
      <c r="C1" s="308"/>
      <c r="D1" s="309" t="s">
        <v>698</v>
      </c>
      <c r="E1" s="309"/>
      <c r="F1" s="309"/>
      <c r="G1" s="309"/>
    </row>
    <row r="2" spans="1:9" ht="23.25" customHeight="1" x14ac:dyDescent="0.15">
      <c r="A2" s="362" t="s">
        <v>572</v>
      </c>
      <c r="B2" s="362"/>
      <c r="C2" s="362"/>
      <c r="D2" s="362"/>
      <c r="E2" s="362"/>
      <c r="F2" s="362"/>
      <c r="G2" s="362"/>
    </row>
    <row r="3" spans="1:9" ht="6" customHeight="1" x14ac:dyDescent="0.15">
      <c r="A3" s="84"/>
      <c r="B3" s="308"/>
      <c r="C3" s="308"/>
      <c r="D3" s="308"/>
      <c r="E3" s="308"/>
      <c r="F3" s="308"/>
      <c r="G3" s="308"/>
    </row>
    <row r="4" spans="1:9" s="162" customFormat="1" ht="12.75" customHeight="1" x14ac:dyDescent="0.2">
      <c r="A4" s="363" t="s">
        <v>699</v>
      </c>
      <c r="B4" s="363"/>
      <c r="C4" s="363"/>
      <c r="D4" s="363"/>
      <c r="E4" s="363"/>
      <c r="F4" s="363"/>
      <c r="G4" s="363"/>
      <c r="H4" s="161"/>
      <c r="I4" s="161"/>
    </row>
    <row r="5" spans="1:9" s="162" customFormat="1" ht="12.75" customHeight="1" x14ac:dyDescent="0.2">
      <c r="A5" s="364" t="s">
        <v>700</v>
      </c>
      <c r="B5" s="364"/>
      <c r="C5" s="364"/>
      <c r="D5" s="364"/>
      <c r="E5" s="364"/>
      <c r="F5" s="364"/>
      <c r="G5" s="364"/>
      <c r="H5" s="161"/>
      <c r="I5" s="161"/>
    </row>
    <row r="6" spans="1:9" ht="12.75" customHeight="1" x14ac:dyDescent="0.15">
      <c r="A6" s="320" t="s">
        <v>1134</v>
      </c>
      <c r="B6" s="320"/>
      <c r="C6" s="320"/>
      <c r="D6" s="320"/>
      <c r="E6" s="320"/>
      <c r="F6" s="320"/>
      <c r="G6" s="320"/>
    </row>
    <row r="7" spans="1:9" ht="12.75" customHeight="1" x14ac:dyDescent="0.15">
      <c r="A7" s="84"/>
      <c r="B7" s="308"/>
      <c r="C7" s="308"/>
      <c r="D7" s="308"/>
      <c r="E7" s="308"/>
      <c r="F7" s="308"/>
      <c r="G7" s="308"/>
    </row>
    <row r="8" spans="1:9" ht="12.75" customHeight="1" x14ac:dyDescent="0.15">
      <c r="A8" s="136" t="s">
        <v>9</v>
      </c>
      <c r="B8" s="307" t="s">
        <v>10</v>
      </c>
      <c r="C8" s="307"/>
      <c r="D8" s="307"/>
      <c r="E8" s="307"/>
      <c r="F8" s="307"/>
      <c r="G8" s="307"/>
    </row>
    <row r="9" spans="1:9" ht="12.75" customHeight="1" x14ac:dyDescent="0.15">
      <c r="A9" s="135" t="s">
        <v>11</v>
      </c>
      <c r="B9" s="308" t="s">
        <v>12</v>
      </c>
      <c r="C9" s="308"/>
      <c r="D9" s="308"/>
      <c r="E9" s="308"/>
      <c r="F9" s="308"/>
      <c r="G9" s="308"/>
    </row>
    <row r="10" spans="1:9" ht="12.75" customHeight="1" x14ac:dyDescent="0.15">
      <c r="A10" s="136" t="s">
        <v>382</v>
      </c>
      <c r="B10" s="307" t="s">
        <v>15</v>
      </c>
      <c r="C10" s="307"/>
      <c r="D10" s="307"/>
      <c r="E10" s="307"/>
      <c r="F10" s="307"/>
      <c r="G10" s="307"/>
    </row>
    <row r="11" spans="1:9" ht="12.75" customHeight="1" x14ac:dyDescent="0.15">
      <c r="A11" s="135" t="s">
        <v>16</v>
      </c>
      <c r="B11" s="308" t="s">
        <v>701</v>
      </c>
      <c r="C11" s="308"/>
      <c r="D11" s="308"/>
      <c r="E11" s="308"/>
      <c r="F11" s="308"/>
      <c r="G11" s="308"/>
    </row>
    <row r="12" spans="1:9" ht="12.75" customHeight="1" x14ac:dyDescent="0.15">
      <c r="A12" s="136" t="s">
        <v>4</v>
      </c>
      <c r="B12" s="315" t="s">
        <v>5</v>
      </c>
      <c r="C12" s="315"/>
      <c r="D12" s="315"/>
      <c r="E12" s="315"/>
      <c r="F12" s="315"/>
      <c r="G12" s="315"/>
    </row>
    <row r="13" spans="1:9" ht="12.75" customHeight="1" x14ac:dyDescent="0.15">
      <c r="A13" s="135" t="s">
        <v>6</v>
      </c>
      <c r="B13" s="308" t="s">
        <v>7</v>
      </c>
      <c r="C13" s="308"/>
      <c r="D13" s="308"/>
      <c r="E13" s="308"/>
      <c r="F13" s="308"/>
      <c r="G13" s="308"/>
    </row>
    <row r="14" spans="1:9" ht="12.75" customHeight="1" x14ac:dyDescent="0.15">
      <c r="A14" s="136" t="s">
        <v>19</v>
      </c>
      <c r="B14" s="313">
        <v>45303</v>
      </c>
      <c r="C14" s="313"/>
      <c r="D14" s="313"/>
      <c r="E14" s="313"/>
      <c r="F14" s="313"/>
      <c r="G14" s="313"/>
    </row>
    <row r="15" spans="1:9" ht="12.75" customHeight="1" x14ac:dyDescent="0.15">
      <c r="A15" s="135" t="s">
        <v>20</v>
      </c>
      <c r="B15" s="314">
        <v>45303</v>
      </c>
      <c r="C15" s="314"/>
      <c r="D15" s="314"/>
      <c r="E15" s="314"/>
      <c r="F15" s="314"/>
      <c r="G15" s="314"/>
    </row>
    <row r="16" spans="1:9" ht="12.75" customHeight="1" x14ac:dyDescent="0.15">
      <c r="A16" s="87"/>
      <c r="B16" s="372"/>
      <c r="C16" s="372"/>
      <c r="D16" s="372"/>
      <c r="E16" s="372"/>
      <c r="F16" s="316" t="s">
        <v>23</v>
      </c>
      <c r="G16" s="316"/>
    </row>
    <row r="17" spans="1:9" s="164" customFormat="1" ht="27.75" customHeight="1" x14ac:dyDescent="0.25">
      <c r="A17" s="365" t="s">
        <v>25</v>
      </c>
      <c r="B17" s="356" t="s">
        <v>609</v>
      </c>
      <c r="C17" s="356" t="s">
        <v>610</v>
      </c>
      <c r="D17" s="368" t="s">
        <v>702</v>
      </c>
      <c r="E17" s="368"/>
      <c r="F17" s="368" t="s">
        <v>703</v>
      </c>
      <c r="G17" s="369"/>
      <c r="H17" s="163"/>
      <c r="I17" s="163"/>
    </row>
    <row r="18" spans="1:9" s="164" customFormat="1" ht="33.75" customHeight="1" x14ac:dyDescent="0.25">
      <c r="A18" s="366"/>
      <c r="B18" s="367"/>
      <c r="C18" s="367"/>
      <c r="D18" s="165" t="s">
        <v>1137</v>
      </c>
      <c r="E18" s="165" t="s">
        <v>704</v>
      </c>
      <c r="F18" s="165" t="s">
        <v>1139</v>
      </c>
      <c r="G18" s="166" t="s">
        <v>704</v>
      </c>
      <c r="H18" s="163"/>
      <c r="I18" s="163"/>
    </row>
    <row r="19" spans="1:9" s="116" customFormat="1" ht="31.5" x14ac:dyDescent="0.25">
      <c r="A19" s="167" t="s">
        <v>705</v>
      </c>
      <c r="B19" s="168" t="s">
        <v>613</v>
      </c>
      <c r="C19" s="102"/>
      <c r="D19" s="95">
        <f>D20+D23+D26+D30+D31+D32+D33+D34</f>
        <v>-404125399845</v>
      </c>
      <c r="E19" s="95">
        <f>E20+E23+E26+E30+E31+E32+E33+E34</f>
        <v>3050433372683</v>
      </c>
      <c r="F19" s="95">
        <f>F20+F23+F26+F30+F31+F32+F33+F34</f>
        <v>-1202289416397</v>
      </c>
      <c r="G19" s="120">
        <f>G20+G23+G26+G30+G31+G32+G33+G34</f>
        <v>-3404591493714</v>
      </c>
      <c r="H19" s="169"/>
      <c r="I19" s="169"/>
    </row>
    <row r="20" spans="1:9" s="116" customFormat="1" ht="21" x14ac:dyDescent="0.25">
      <c r="A20" s="170" t="s">
        <v>706</v>
      </c>
      <c r="B20" s="171" t="s">
        <v>619</v>
      </c>
      <c r="C20" s="94"/>
      <c r="D20" s="97">
        <f>D21+D22</f>
        <v>72899699200</v>
      </c>
      <c r="E20" s="97">
        <f>E21+E22</f>
        <v>447349855000</v>
      </c>
      <c r="F20" s="97">
        <f>F21+F22</f>
        <v>30032798800</v>
      </c>
      <c r="G20" s="125">
        <f>G21+G22</f>
        <v>154228431956</v>
      </c>
      <c r="H20" s="169"/>
      <c r="I20" s="169"/>
    </row>
    <row r="21" spans="1:9" s="116" customFormat="1" ht="21" x14ac:dyDescent="0.25">
      <c r="A21" s="172" t="s">
        <v>707</v>
      </c>
      <c r="B21" s="173" t="s">
        <v>708</v>
      </c>
      <c r="C21" s="174"/>
      <c r="D21" s="99">
        <v>72899699200</v>
      </c>
      <c r="E21" s="99">
        <v>447349855000</v>
      </c>
      <c r="F21" s="99">
        <v>30032798800</v>
      </c>
      <c r="G21" s="129">
        <v>154228431956</v>
      </c>
      <c r="H21" s="169"/>
      <c r="I21" s="169"/>
    </row>
    <row r="22" spans="1:9" s="116" customFormat="1" ht="21" x14ac:dyDescent="0.25">
      <c r="A22" s="172" t="s">
        <v>709</v>
      </c>
      <c r="B22" s="173" t="s">
        <v>710</v>
      </c>
      <c r="C22" s="174"/>
      <c r="D22" s="99">
        <v>0</v>
      </c>
      <c r="E22" s="99">
        <v>0</v>
      </c>
      <c r="F22" s="99">
        <v>0</v>
      </c>
      <c r="G22" s="129">
        <v>0</v>
      </c>
      <c r="H22" s="169"/>
      <c r="I22" s="169"/>
    </row>
    <row r="23" spans="1:9" s="116" customFormat="1" ht="21" x14ac:dyDescent="0.25">
      <c r="A23" s="170" t="s">
        <v>711</v>
      </c>
      <c r="B23" s="171" t="s">
        <v>621</v>
      </c>
      <c r="C23" s="94"/>
      <c r="D23" s="97">
        <f>D24+D25</f>
        <v>98683529</v>
      </c>
      <c r="E23" s="97">
        <f>E24+E25</f>
        <v>355897157</v>
      </c>
      <c r="F23" s="97">
        <f>F24+F25</f>
        <v>56547203</v>
      </c>
      <c r="G23" s="125">
        <f>G24+G25</f>
        <v>303449692</v>
      </c>
      <c r="H23" s="169"/>
      <c r="I23" s="169"/>
    </row>
    <row r="24" spans="1:9" s="116" customFormat="1" ht="21" x14ac:dyDescent="0.25">
      <c r="A24" s="172" t="s">
        <v>712</v>
      </c>
      <c r="B24" s="173" t="s">
        <v>623</v>
      </c>
      <c r="C24" s="174"/>
      <c r="D24" s="99">
        <v>98683529</v>
      </c>
      <c r="E24" s="99">
        <v>355897157</v>
      </c>
      <c r="F24" s="99">
        <v>56547203</v>
      </c>
      <c r="G24" s="129">
        <v>303449692</v>
      </c>
      <c r="H24" s="169"/>
      <c r="I24" s="169"/>
    </row>
    <row r="25" spans="1:9" s="116" customFormat="1" ht="31.5" x14ac:dyDescent="0.25">
      <c r="A25" s="172" t="s">
        <v>713</v>
      </c>
      <c r="B25" s="173" t="s">
        <v>625</v>
      </c>
      <c r="C25" s="174"/>
      <c r="D25" s="99">
        <v>0</v>
      </c>
      <c r="E25" s="99">
        <v>0</v>
      </c>
      <c r="F25" s="99">
        <v>0</v>
      </c>
      <c r="G25" s="129">
        <v>0</v>
      </c>
      <c r="H25" s="169"/>
      <c r="I25" s="169"/>
    </row>
    <row r="26" spans="1:9" s="116" customFormat="1" ht="42" x14ac:dyDescent="0.25">
      <c r="A26" s="170" t="s">
        <v>714</v>
      </c>
      <c r="B26" s="171" t="s">
        <v>627</v>
      </c>
      <c r="C26" s="94"/>
      <c r="D26" s="97">
        <f>D27+D28+D29</f>
        <v>321706105469</v>
      </c>
      <c r="E26" s="97">
        <f>E27+E28+E29</f>
        <v>593948317281</v>
      </c>
      <c r="F26" s="97">
        <f>F27+F28+F29</f>
        <v>-19531988642</v>
      </c>
      <c r="G26" s="125">
        <f>G27+G28+G29</f>
        <v>898223454690</v>
      </c>
      <c r="H26" s="169"/>
      <c r="I26" s="169"/>
    </row>
    <row r="27" spans="1:9" s="116" customFormat="1" ht="31.5" x14ac:dyDescent="0.25">
      <c r="A27" s="172" t="s">
        <v>715</v>
      </c>
      <c r="B27" s="173" t="s">
        <v>716</v>
      </c>
      <c r="C27" s="174"/>
      <c r="D27" s="99">
        <v>157919744295</v>
      </c>
      <c r="E27" s="99">
        <v>214939749139</v>
      </c>
      <c r="F27" s="99">
        <v>-4608483863</v>
      </c>
      <c r="G27" s="129">
        <v>296541804723</v>
      </c>
      <c r="H27" s="169"/>
      <c r="I27" s="169"/>
    </row>
    <row r="28" spans="1:9" s="116" customFormat="1" ht="42" x14ac:dyDescent="0.25">
      <c r="A28" s="172" t="s">
        <v>717</v>
      </c>
      <c r="B28" s="173" t="s">
        <v>718</v>
      </c>
      <c r="C28" s="174"/>
      <c r="D28" s="99">
        <v>163812286174</v>
      </c>
      <c r="E28" s="99">
        <v>375561248542</v>
      </c>
      <c r="F28" s="99">
        <v>-9578861779</v>
      </c>
      <c r="G28" s="129">
        <v>594215398422</v>
      </c>
      <c r="H28" s="169"/>
      <c r="I28" s="169"/>
    </row>
    <row r="29" spans="1:9" s="116" customFormat="1" ht="52.5" x14ac:dyDescent="0.25">
      <c r="A29" s="172" t="s">
        <v>719</v>
      </c>
      <c r="B29" s="173" t="s">
        <v>720</v>
      </c>
      <c r="C29" s="174"/>
      <c r="D29" s="99">
        <v>-25925000</v>
      </c>
      <c r="E29" s="99">
        <v>3447319600</v>
      </c>
      <c r="F29" s="99">
        <v>-5344643000</v>
      </c>
      <c r="G29" s="129">
        <v>7466251545</v>
      </c>
      <c r="H29" s="169"/>
      <c r="I29" s="169"/>
    </row>
    <row r="30" spans="1:9" s="116" customFormat="1" ht="42" x14ac:dyDescent="0.25">
      <c r="A30" s="170" t="s">
        <v>721</v>
      </c>
      <c r="B30" s="171" t="s">
        <v>629</v>
      </c>
      <c r="C30" s="94"/>
      <c r="D30" s="97">
        <v>-798829888043</v>
      </c>
      <c r="E30" s="97">
        <v>2008779303245</v>
      </c>
      <c r="F30" s="97">
        <v>-1212846773758</v>
      </c>
      <c r="G30" s="125">
        <v>-4457346830052</v>
      </c>
      <c r="H30" s="169"/>
      <c r="I30" s="169"/>
    </row>
    <row r="31" spans="1:9" s="116" customFormat="1" ht="21" x14ac:dyDescent="0.25">
      <c r="A31" s="170" t="s">
        <v>722</v>
      </c>
      <c r="B31" s="171" t="s">
        <v>633</v>
      </c>
      <c r="C31" s="94"/>
      <c r="D31" s="97">
        <v>0</v>
      </c>
      <c r="E31" s="97">
        <v>0</v>
      </c>
      <c r="F31" s="97">
        <v>0</v>
      </c>
      <c r="G31" s="125">
        <v>0</v>
      </c>
      <c r="H31" s="169"/>
      <c r="I31" s="169"/>
    </row>
    <row r="32" spans="1:9" s="116" customFormat="1" ht="42" x14ac:dyDescent="0.25">
      <c r="A32" s="170" t="s">
        <v>723</v>
      </c>
      <c r="B32" s="171" t="s">
        <v>635</v>
      </c>
      <c r="C32" s="94"/>
      <c r="D32" s="97">
        <v>0</v>
      </c>
      <c r="E32" s="97">
        <v>0</v>
      </c>
      <c r="F32" s="97">
        <v>0</v>
      </c>
      <c r="G32" s="125">
        <v>0</v>
      </c>
      <c r="H32" s="169"/>
      <c r="I32" s="169"/>
    </row>
    <row r="33" spans="1:9" s="116" customFormat="1" ht="21" x14ac:dyDescent="0.25">
      <c r="A33" s="170" t="s">
        <v>724</v>
      </c>
      <c r="B33" s="171" t="s">
        <v>637</v>
      </c>
      <c r="C33" s="94"/>
      <c r="D33" s="97">
        <v>0</v>
      </c>
      <c r="E33" s="97">
        <v>0</v>
      </c>
      <c r="F33" s="97">
        <v>0</v>
      </c>
      <c r="G33" s="125">
        <v>0</v>
      </c>
      <c r="H33" s="169"/>
      <c r="I33" s="169"/>
    </row>
    <row r="34" spans="1:9" s="116" customFormat="1" ht="63" x14ac:dyDescent="0.25">
      <c r="A34" s="170" t="s">
        <v>725</v>
      </c>
      <c r="B34" s="171" t="s">
        <v>639</v>
      </c>
      <c r="C34" s="94"/>
      <c r="D34" s="97">
        <v>0</v>
      </c>
      <c r="E34" s="97">
        <v>0</v>
      </c>
      <c r="F34" s="97">
        <v>0</v>
      </c>
      <c r="G34" s="125">
        <v>0</v>
      </c>
      <c r="H34" s="169"/>
      <c r="I34" s="169"/>
    </row>
    <row r="35" spans="1:9" s="116" customFormat="1" ht="21" x14ac:dyDescent="0.25">
      <c r="A35" s="167" t="s">
        <v>726</v>
      </c>
      <c r="B35" s="168" t="s">
        <v>318</v>
      </c>
      <c r="C35" s="102"/>
      <c r="D35" s="95">
        <v>5146522000</v>
      </c>
      <c r="E35" s="95">
        <v>14620374419</v>
      </c>
      <c r="F35" s="95">
        <f>F36+F39+F40+F41+F42</f>
        <v>3038623304</v>
      </c>
      <c r="G35" s="120">
        <f>G36+G39+G40+G41+G42</f>
        <v>8391814240</v>
      </c>
      <c r="H35" s="169"/>
      <c r="I35" s="169"/>
    </row>
    <row r="36" spans="1:9" s="116" customFormat="1" ht="42" x14ac:dyDescent="0.25">
      <c r="A36" s="170" t="s">
        <v>727</v>
      </c>
      <c r="B36" s="171" t="s">
        <v>414</v>
      </c>
      <c r="C36" s="94"/>
      <c r="D36" s="97">
        <v>5146522000</v>
      </c>
      <c r="E36" s="97">
        <v>14620374419</v>
      </c>
      <c r="F36" s="97">
        <f>F37+F38</f>
        <v>3038623304</v>
      </c>
      <c r="G36" s="125">
        <f>G37+G38</f>
        <v>8391814240</v>
      </c>
      <c r="H36" s="169"/>
      <c r="I36" s="169"/>
    </row>
    <row r="37" spans="1:9" s="116" customFormat="1" ht="21" x14ac:dyDescent="0.25">
      <c r="A37" s="172" t="s">
        <v>728</v>
      </c>
      <c r="B37" s="173" t="s">
        <v>729</v>
      </c>
      <c r="C37" s="174"/>
      <c r="D37" s="99">
        <v>5137154196</v>
      </c>
      <c r="E37" s="99">
        <v>14584539661</v>
      </c>
      <c r="F37" s="99">
        <v>3038623304</v>
      </c>
      <c r="G37" s="129">
        <v>8391814240</v>
      </c>
      <c r="H37" s="169"/>
      <c r="I37" s="169"/>
    </row>
    <row r="38" spans="1:9" s="116" customFormat="1" ht="21" x14ac:dyDescent="0.25">
      <c r="A38" s="172" t="s">
        <v>730</v>
      </c>
      <c r="B38" s="173" t="s">
        <v>731</v>
      </c>
      <c r="C38" s="174"/>
      <c r="D38" s="99">
        <v>9367804</v>
      </c>
      <c r="E38" s="99">
        <v>35834758</v>
      </c>
      <c r="F38" s="99">
        <v>0</v>
      </c>
      <c r="G38" s="129">
        <v>0</v>
      </c>
      <c r="H38" s="169"/>
      <c r="I38" s="169"/>
    </row>
    <row r="39" spans="1:9" s="116" customFormat="1" ht="31.5" x14ac:dyDescent="0.25">
      <c r="A39" s="170" t="s">
        <v>732</v>
      </c>
      <c r="B39" s="171" t="s">
        <v>417</v>
      </c>
      <c r="C39" s="94"/>
      <c r="D39" s="97">
        <v>0</v>
      </c>
      <c r="E39" s="97">
        <v>0</v>
      </c>
      <c r="F39" s="97">
        <v>0</v>
      </c>
      <c r="G39" s="125">
        <v>0</v>
      </c>
      <c r="H39" s="169"/>
      <c r="I39" s="169"/>
    </row>
    <row r="40" spans="1:9" s="116" customFormat="1" ht="21" x14ac:dyDescent="0.25">
      <c r="A40" s="170" t="s">
        <v>733</v>
      </c>
      <c r="B40" s="171" t="s">
        <v>420</v>
      </c>
      <c r="C40" s="94"/>
      <c r="D40" s="97">
        <v>0</v>
      </c>
      <c r="E40" s="97">
        <v>0</v>
      </c>
      <c r="F40" s="97">
        <v>0</v>
      </c>
      <c r="G40" s="125">
        <v>0</v>
      </c>
      <c r="H40" s="169"/>
      <c r="I40" s="169"/>
    </row>
    <row r="41" spans="1:9" s="116" customFormat="1" ht="63" x14ac:dyDescent="0.25">
      <c r="A41" s="170" t="s">
        <v>734</v>
      </c>
      <c r="B41" s="171" t="s">
        <v>423</v>
      </c>
      <c r="C41" s="94"/>
      <c r="D41" s="97">
        <v>0</v>
      </c>
      <c r="E41" s="97">
        <v>0</v>
      </c>
      <c r="F41" s="97">
        <v>0</v>
      </c>
      <c r="G41" s="125">
        <v>0</v>
      </c>
      <c r="H41" s="169"/>
      <c r="I41" s="169"/>
    </row>
    <row r="42" spans="1:9" s="116" customFormat="1" ht="21" x14ac:dyDescent="0.25">
      <c r="A42" s="170" t="s">
        <v>735</v>
      </c>
      <c r="B42" s="171" t="s">
        <v>426</v>
      </c>
      <c r="C42" s="94"/>
      <c r="D42" s="97">
        <v>0</v>
      </c>
      <c r="E42" s="97">
        <v>0</v>
      </c>
      <c r="F42" s="97">
        <v>0</v>
      </c>
      <c r="G42" s="125">
        <v>0</v>
      </c>
      <c r="H42" s="169"/>
      <c r="I42" s="169"/>
    </row>
    <row r="43" spans="1:9" s="116" customFormat="1" ht="21" x14ac:dyDescent="0.25">
      <c r="A43" s="167" t="s">
        <v>736</v>
      </c>
      <c r="B43" s="168" t="s">
        <v>631</v>
      </c>
      <c r="C43" s="102"/>
      <c r="D43" s="95">
        <v>46557799899</v>
      </c>
      <c r="E43" s="95">
        <v>195702961665</v>
      </c>
      <c r="F43" s="95">
        <f>F44+F45+F50+F51+F52+F53+F57+F58+F59+F60</f>
        <v>41281976216</v>
      </c>
      <c r="G43" s="120">
        <f>G44+G45+G50+G51+G52+G53+G57+G58+G59+G60</f>
        <v>166391004558</v>
      </c>
      <c r="H43" s="169"/>
      <c r="I43" s="169"/>
    </row>
    <row r="44" spans="1:9" s="116" customFormat="1" ht="21" x14ac:dyDescent="0.25">
      <c r="A44" s="170" t="s">
        <v>737</v>
      </c>
      <c r="B44" s="171" t="s">
        <v>738</v>
      </c>
      <c r="C44" s="94"/>
      <c r="D44" s="97">
        <v>35794380337</v>
      </c>
      <c r="E44" s="97">
        <v>150577829773</v>
      </c>
      <c r="F44" s="97">
        <v>31763619920</v>
      </c>
      <c r="G44" s="125">
        <v>128024481216</v>
      </c>
      <c r="H44" s="169"/>
      <c r="I44" s="169"/>
    </row>
    <row r="45" spans="1:9" s="116" customFormat="1" ht="21" x14ac:dyDescent="0.25">
      <c r="A45" s="170" t="s">
        <v>739</v>
      </c>
      <c r="B45" s="171" t="s">
        <v>740</v>
      </c>
      <c r="C45" s="94"/>
      <c r="D45" s="97">
        <v>1350721184</v>
      </c>
      <c r="E45" s="97">
        <v>5593170768</v>
      </c>
      <c r="F45" s="97">
        <f>F46+F47+F48+F49</f>
        <v>1146975022</v>
      </c>
      <c r="G45" s="125">
        <f>G46+G47+G48+G49</f>
        <v>4316632864</v>
      </c>
      <c r="H45" s="169"/>
      <c r="I45" s="169"/>
    </row>
    <row r="46" spans="1:9" s="116" customFormat="1" ht="21" x14ac:dyDescent="0.25">
      <c r="A46" s="172" t="s">
        <v>741</v>
      </c>
      <c r="B46" s="173" t="s">
        <v>742</v>
      </c>
      <c r="C46" s="174"/>
      <c r="D46" s="99">
        <v>894859509</v>
      </c>
      <c r="E46" s="99">
        <v>3764445747</v>
      </c>
      <c r="F46" s="99">
        <v>794090500</v>
      </c>
      <c r="G46" s="129">
        <v>3200612035</v>
      </c>
      <c r="H46" s="169"/>
      <c r="I46" s="169"/>
    </row>
    <row r="47" spans="1:9" s="116" customFormat="1" ht="31.5" x14ac:dyDescent="0.25">
      <c r="A47" s="172" t="s">
        <v>743</v>
      </c>
      <c r="B47" s="173" t="s">
        <v>744</v>
      </c>
      <c r="C47" s="174"/>
      <c r="D47" s="99">
        <v>23200000</v>
      </c>
      <c r="E47" s="99">
        <v>60400000</v>
      </c>
      <c r="F47" s="99">
        <v>14100000</v>
      </c>
      <c r="G47" s="129">
        <v>42000000</v>
      </c>
      <c r="H47" s="169"/>
      <c r="I47" s="169"/>
    </row>
    <row r="48" spans="1:9" s="116" customFormat="1" ht="21" x14ac:dyDescent="0.25">
      <c r="A48" s="172" t="s">
        <v>745</v>
      </c>
      <c r="B48" s="173" t="s">
        <v>746</v>
      </c>
      <c r="C48" s="174"/>
      <c r="D48" s="99">
        <v>432661675</v>
      </c>
      <c r="E48" s="99">
        <v>1768325021</v>
      </c>
      <c r="F48" s="99">
        <v>338784522</v>
      </c>
      <c r="G48" s="129">
        <v>1074020829</v>
      </c>
      <c r="H48" s="169"/>
      <c r="I48" s="169"/>
    </row>
    <row r="49" spans="1:9" s="116" customFormat="1" ht="63" x14ac:dyDescent="0.25">
      <c r="A49" s="172" t="s">
        <v>747</v>
      </c>
      <c r="B49" s="173" t="s">
        <v>748</v>
      </c>
      <c r="C49" s="174"/>
      <c r="D49" s="99">
        <v>0</v>
      </c>
      <c r="E49" s="99">
        <v>0</v>
      </c>
      <c r="F49" s="99">
        <v>0</v>
      </c>
      <c r="G49" s="129">
        <v>0</v>
      </c>
      <c r="H49" s="169"/>
      <c r="I49" s="169"/>
    </row>
    <row r="50" spans="1:9" s="116" customFormat="1" ht="21" x14ac:dyDescent="0.25">
      <c r="A50" s="170" t="s">
        <v>749</v>
      </c>
      <c r="B50" s="171" t="s">
        <v>750</v>
      </c>
      <c r="C50" s="94"/>
      <c r="D50" s="97">
        <v>1968690919</v>
      </c>
      <c r="E50" s="97">
        <v>8281780632</v>
      </c>
      <c r="F50" s="97">
        <v>1746999093</v>
      </c>
      <c r="G50" s="125">
        <v>7041346461</v>
      </c>
      <c r="H50" s="169"/>
      <c r="I50" s="169"/>
    </row>
    <row r="51" spans="1:9" s="116" customFormat="1" ht="21" x14ac:dyDescent="0.25">
      <c r="A51" s="170" t="s">
        <v>751</v>
      </c>
      <c r="B51" s="171" t="s">
        <v>752</v>
      </c>
      <c r="C51" s="94"/>
      <c r="D51" s="97">
        <v>984345460</v>
      </c>
      <c r="E51" s="97">
        <v>4140890323</v>
      </c>
      <c r="F51" s="97">
        <v>873499550</v>
      </c>
      <c r="G51" s="125">
        <v>3520673237</v>
      </c>
      <c r="H51" s="169"/>
      <c r="I51" s="169"/>
    </row>
    <row r="52" spans="1:9" s="116" customFormat="1" ht="21" x14ac:dyDescent="0.25">
      <c r="A52" s="170" t="s">
        <v>753</v>
      </c>
      <c r="B52" s="171" t="s">
        <v>754</v>
      </c>
      <c r="C52" s="94"/>
      <c r="D52" s="97">
        <v>16500000</v>
      </c>
      <c r="E52" s="97">
        <v>66000000</v>
      </c>
      <c r="F52" s="97">
        <v>16500000</v>
      </c>
      <c r="G52" s="125">
        <v>66000000</v>
      </c>
      <c r="H52" s="169"/>
      <c r="I52" s="169"/>
    </row>
    <row r="53" spans="1:9" s="116" customFormat="1" ht="31.5" x14ac:dyDescent="0.25">
      <c r="A53" s="170" t="s">
        <v>755</v>
      </c>
      <c r="B53" s="171" t="s">
        <v>756</v>
      </c>
      <c r="C53" s="94"/>
      <c r="D53" s="97">
        <f>D54+D55+D56</f>
        <v>6308468134</v>
      </c>
      <c r="E53" s="97">
        <f>E54+E55+E56</f>
        <v>26376164716</v>
      </c>
      <c r="F53" s="97">
        <f>F54+F55+F56</f>
        <v>5584156776</v>
      </c>
      <c r="G53" s="125">
        <f>G54+G55+G56</f>
        <v>22798342619</v>
      </c>
      <c r="H53" s="169"/>
      <c r="I53" s="169"/>
    </row>
    <row r="54" spans="1:9" s="116" customFormat="1" ht="42" x14ac:dyDescent="0.25">
      <c r="A54" s="172" t="s">
        <v>757</v>
      </c>
      <c r="B54" s="173" t="s">
        <v>758</v>
      </c>
      <c r="C54" s="174"/>
      <c r="D54" s="99">
        <v>2237148771</v>
      </c>
      <c r="E54" s="99">
        <v>9411114358</v>
      </c>
      <c r="F54" s="99">
        <v>1985226247</v>
      </c>
      <c r="G54" s="129">
        <v>8001530073</v>
      </c>
      <c r="H54" s="169"/>
      <c r="I54" s="169"/>
    </row>
    <row r="55" spans="1:9" s="116" customFormat="1" ht="42" x14ac:dyDescent="0.25">
      <c r="A55" s="172" t="s">
        <v>759</v>
      </c>
      <c r="B55" s="173" t="s">
        <v>760</v>
      </c>
      <c r="C55" s="174"/>
      <c r="D55" s="99">
        <v>1789719017</v>
      </c>
      <c r="E55" s="99">
        <v>7528891482</v>
      </c>
      <c r="F55" s="99">
        <v>1588180994</v>
      </c>
      <c r="G55" s="129">
        <v>6401224055</v>
      </c>
      <c r="H55" s="169"/>
      <c r="I55" s="169"/>
    </row>
    <row r="56" spans="1:9" s="116" customFormat="1" ht="21" x14ac:dyDescent="0.25">
      <c r="A56" s="172" t="s">
        <v>761</v>
      </c>
      <c r="B56" s="173" t="s">
        <v>762</v>
      </c>
      <c r="C56" s="174"/>
      <c r="D56" s="99">
        <v>2281600346</v>
      </c>
      <c r="E56" s="99">
        <v>9436158876</v>
      </c>
      <c r="F56" s="99">
        <v>2010749535</v>
      </c>
      <c r="G56" s="129">
        <v>8395588491</v>
      </c>
      <c r="H56" s="169"/>
      <c r="I56" s="169"/>
    </row>
    <row r="57" spans="1:9" s="116" customFormat="1" ht="31.5" x14ac:dyDescent="0.25">
      <c r="A57" s="170" t="s">
        <v>763</v>
      </c>
      <c r="B57" s="171" t="s">
        <v>764</v>
      </c>
      <c r="C57" s="94"/>
      <c r="D57" s="97">
        <v>0</v>
      </c>
      <c r="E57" s="97">
        <v>42258500</v>
      </c>
      <c r="F57" s="97">
        <v>0</v>
      </c>
      <c r="G57" s="125">
        <v>26000000</v>
      </c>
      <c r="H57" s="169"/>
      <c r="I57" s="169"/>
    </row>
    <row r="58" spans="1:9" s="116" customFormat="1" ht="21" x14ac:dyDescent="0.25">
      <c r="A58" s="170" t="s">
        <v>765</v>
      </c>
      <c r="B58" s="171" t="s">
        <v>766</v>
      </c>
      <c r="C58" s="94"/>
      <c r="D58" s="97">
        <v>83272547</v>
      </c>
      <c r="E58" s="97">
        <v>306540960</v>
      </c>
      <c r="F58" s="97">
        <v>89732711</v>
      </c>
      <c r="G58" s="125">
        <v>272800000</v>
      </c>
      <c r="H58" s="169"/>
      <c r="I58" s="169"/>
    </row>
    <row r="59" spans="1:9" s="116" customFormat="1" ht="21" x14ac:dyDescent="0.25">
      <c r="A59" s="170" t="s">
        <v>767</v>
      </c>
      <c r="B59" s="171" t="s">
        <v>768</v>
      </c>
      <c r="C59" s="94"/>
      <c r="D59" s="97">
        <v>0</v>
      </c>
      <c r="E59" s="97">
        <v>0</v>
      </c>
      <c r="F59" s="97">
        <v>0</v>
      </c>
      <c r="G59" s="125">
        <v>0</v>
      </c>
      <c r="H59" s="169"/>
      <c r="I59" s="169"/>
    </row>
    <row r="60" spans="1:9" s="116" customFormat="1" ht="21" x14ac:dyDescent="0.25">
      <c r="A60" s="170" t="s">
        <v>769</v>
      </c>
      <c r="B60" s="171" t="s">
        <v>770</v>
      </c>
      <c r="C60" s="94"/>
      <c r="D60" s="97">
        <f>D61+D62+D63+D64+D65+D66+D67+D68+D69+D70+D71+D72+D73+D74</f>
        <v>51421318</v>
      </c>
      <c r="E60" s="97">
        <f>E61+E62+E63+E64+E65+E66+E67+E68+E69+E70+E71+E72+E73+E74</f>
        <v>318325993</v>
      </c>
      <c r="F60" s="97">
        <f>F61+F62+F63+F64+F65+F66+F67+F68+F69+F70+F71+F72+F73+F74</f>
        <v>60493144</v>
      </c>
      <c r="G60" s="125">
        <f>G61+G62+G63+G64+G65+G66+G67+G68+G69+G70+G71+G72+G73+G74</f>
        <v>324728161</v>
      </c>
      <c r="H60" s="169"/>
      <c r="I60" s="169"/>
    </row>
    <row r="61" spans="1:9" s="116" customFormat="1" ht="31.5" x14ac:dyDescent="0.25">
      <c r="A61" s="172" t="s">
        <v>771</v>
      </c>
      <c r="B61" s="173" t="s">
        <v>772</v>
      </c>
      <c r="C61" s="174"/>
      <c r="D61" s="99">
        <v>29268559</v>
      </c>
      <c r="E61" s="99">
        <v>117000000</v>
      </c>
      <c r="F61" s="99">
        <v>28893009</v>
      </c>
      <c r="G61" s="129">
        <v>116000000</v>
      </c>
      <c r="H61" s="169"/>
      <c r="I61" s="169"/>
    </row>
    <row r="62" spans="1:9" s="116" customFormat="1" ht="31.5" x14ac:dyDescent="0.25">
      <c r="A62" s="172" t="s">
        <v>773</v>
      </c>
      <c r="B62" s="173" t="s">
        <v>774</v>
      </c>
      <c r="C62" s="174"/>
      <c r="D62" s="99">
        <v>0</v>
      </c>
      <c r="E62" s="99">
        <v>0</v>
      </c>
      <c r="F62" s="99">
        <v>0</v>
      </c>
      <c r="G62" s="129">
        <v>0</v>
      </c>
      <c r="H62" s="169"/>
      <c r="I62" s="169"/>
    </row>
    <row r="63" spans="1:9" s="116" customFormat="1" ht="21" x14ac:dyDescent="0.25">
      <c r="A63" s="172" t="s">
        <v>775</v>
      </c>
      <c r="B63" s="173" t="s">
        <v>776</v>
      </c>
      <c r="C63" s="174"/>
      <c r="D63" s="99">
        <v>0</v>
      </c>
      <c r="E63" s="99">
        <v>0</v>
      </c>
      <c r="F63" s="99">
        <v>0</v>
      </c>
      <c r="G63" s="129">
        <v>0</v>
      </c>
      <c r="H63" s="169"/>
      <c r="I63" s="169"/>
    </row>
    <row r="64" spans="1:9" s="116" customFormat="1" ht="21" x14ac:dyDescent="0.25">
      <c r="A64" s="172" t="s">
        <v>777</v>
      </c>
      <c r="B64" s="173" t="s">
        <v>778</v>
      </c>
      <c r="C64" s="174"/>
      <c r="D64" s="99">
        <v>0</v>
      </c>
      <c r="E64" s="99">
        <v>0</v>
      </c>
      <c r="F64" s="99">
        <v>0</v>
      </c>
      <c r="G64" s="129">
        <v>0</v>
      </c>
      <c r="H64" s="169"/>
      <c r="I64" s="169"/>
    </row>
    <row r="65" spans="1:9" s="116" customFormat="1" ht="21" x14ac:dyDescent="0.25">
      <c r="A65" s="172" t="s">
        <v>779</v>
      </c>
      <c r="B65" s="173" t="s">
        <v>780</v>
      </c>
      <c r="C65" s="174"/>
      <c r="D65" s="99">
        <v>0</v>
      </c>
      <c r="E65" s="99">
        <v>0</v>
      </c>
      <c r="F65" s="99">
        <v>0</v>
      </c>
      <c r="G65" s="129">
        <v>0</v>
      </c>
      <c r="H65" s="169"/>
      <c r="I65" s="169"/>
    </row>
    <row r="66" spans="1:9" s="116" customFormat="1" ht="21" x14ac:dyDescent="0.25">
      <c r="A66" s="172" t="s">
        <v>781</v>
      </c>
      <c r="B66" s="173" t="s">
        <v>782</v>
      </c>
      <c r="C66" s="174"/>
      <c r="D66" s="99">
        <v>0</v>
      </c>
      <c r="E66" s="99">
        <v>0</v>
      </c>
      <c r="F66" s="99">
        <v>0</v>
      </c>
      <c r="G66" s="129">
        <v>0</v>
      </c>
      <c r="H66" s="169"/>
      <c r="I66" s="169"/>
    </row>
    <row r="67" spans="1:9" s="116" customFormat="1" ht="21" x14ac:dyDescent="0.25">
      <c r="A67" s="172" t="s">
        <v>783</v>
      </c>
      <c r="B67" s="173" t="s">
        <v>784</v>
      </c>
      <c r="C67" s="174"/>
      <c r="D67" s="99">
        <v>0</v>
      </c>
      <c r="E67" s="99">
        <v>17125995</v>
      </c>
      <c r="F67" s="99">
        <v>0</v>
      </c>
      <c r="G67" s="129">
        <v>0</v>
      </c>
      <c r="H67" s="169"/>
      <c r="I67" s="169"/>
    </row>
    <row r="68" spans="1:9" s="116" customFormat="1" ht="21" x14ac:dyDescent="0.25">
      <c r="A68" s="172" t="s">
        <v>785</v>
      </c>
      <c r="B68" s="173" t="s">
        <v>786</v>
      </c>
      <c r="C68" s="174"/>
      <c r="D68" s="99">
        <v>2152759</v>
      </c>
      <c r="E68" s="99">
        <v>10668782</v>
      </c>
      <c r="F68" s="99">
        <v>4600135</v>
      </c>
      <c r="G68" s="129">
        <v>38984171</v>
      </c>
      <c r="H68" s="169"/>
      <c r="I68" s="169"/>
    </row>
    <row r="69" spans="1:9" s="116" customFormat="1" ht="31.5" x14ac:dyDescent="0.25">
      <c r="A69" s="172" t="s">
        <v>787</v>
      </c>
      <c r="B69" s="173" t="s">
        <v>788</v>
      </c>
      <c r="C69" s="174"/>
      <c r="D69" s="99">
        <v>0</v>
      </c>
      <c r="E69" s="99">
        <v>0</v>
      </c>
      <c r="F69" s="99">
        <v>0</v>
      </c>
      <c r="G69" s="129">
        <v>0</v>
      </c>
      <c r="H69" s="169"/>
      <c r="I69" s="169"/>
    </row>
    <row r="70" spans="1:9" s="116" customFormat="1" ht="21" x14ac:dyDescent="0.25">
      <c r="A70" s="172" t="s">
        <v>789</v>
      </c>
      <c r="B70" s="173" t="s">
        <v>790</v>
      </c>
      <c r="C70" s="174"/>
      <c r="D70" s="99">
        <v>0</v>
      </c>
      <c r="E70" s="99">
        <v>45531216</v>
      </c>
      <c r="F70" s="99">
        <v>0</v>
      </c>
      <c r="G70" s="129">
        <v>34743990</v>
      </c>
      <c r="H70" s="169"/>
      <c r="I70" s="169"/>
    </row>
    <row r="71" spans="1:9" s="116" customFormat="1" ht="31.5" x14ac:dyDescent="0.25">
      <c r="A71" s="172" t="s">
        <v>791</v>
      </c>
      <c r="B71" s="173" t="s">
        <v>792</v>
      </c>
      <c r="C71" s="174"/>
      <c r="D71" s="99">
        <v>0</v>
      </c>
      <c r="E71" s="99">
        <v>14000000</v>
      </c>
      <c r="F71" s="99">
        <v>0</v>
      </c>
      <c r="G71" s="129">
        <v>10500000</v>
      </c>
      <c r="H71" s="169"/>
      <c r="I71" s="169"/>
    </row>
    <row r="72" spans="1:9" s="116" customFormat="1" ht="21" x14ac:dyDescent="0.25">
      <c r="A72" s="172" t="s">
        <v>793</v>
      </c>
      <c r="B72" s="173" t="s">
        <v>794</v>
      </c>
      <c r="C72" s="174"/>
      <c r="D72" s="99">
        <v>20000000</v>
      </c>
      <c r="E72" s="99">
        <v>84000000</v>
      </c>
      <c r="F72" s="99">
        <v>27000000</v>
      </c>
      <c r="G72" s="129">
        <v>94500000</v>
      </c>
      <c r="H72" s="169"/>
      <c r="I72" s="169"/>
    </row>
    <row r="73" spans="1:9" s="116" customFormat="1" ht="21" x14ac:dyDescent="0.25">
      <c r="A73" s="172" t="s">
        <v>795</v>
      </c>
      <c r="B73" s="173" t="s">
        <v>796</v>
      </c>
      <c r="C73" s="174"/>
      <c r="D73" s="99">
        <v>0</v>
      </c>
      <c r="E73" s="99">
        <v>30000000</v>
      </c>
      <c r="F73" s="99">
        <v>0</v>
      </c>
      <c r="G73" s="129">
        <v>30000000</v>
      </c>
      <c r="H73" s="169"/>
      <c r="I73" s="169"/>
    </row>
    <row r="74" spans="1:9" s="116" customFormat="1" ht="21" x14ac:dyDescent="0.25">
      <c r="A74" s="172" t="s">
        <v>797</v>
      </c>
      <c r="B74" s="173" t="s">
        <v>798</v>
      </c>
      <c r="C74" s="174"/>
      <c r="D74" s="99">
        <v>0</v>
      </c>
      <c r="E74" s="99">
        <v>0</v>
      </c>
      <c r="F74" s="99">
        <v>0</v>
      </c>
      <c r="G74" s="129">
        <v>0</v>
      </c>
      <c r="H74" s="169"/>
      <c r="I74" s="169"/>
    </row>
    <row r="75" spans="1:9" s="116" customFormat="1" ht="31.5" x14ac:dyDescent="0.25">
      <c r="A75" s="167" t="s">
        <v>799</v>
      </c>
      <c r="B75" s="168" t="s">
        <v>800</v>
      </c>
      <c r="C75" s="102"/>
      <c r="D75" s="95">
        <f>D19-D35-D43</f>
        <v>-455829721744</v>
      </c>
      <c r="E75" s="95">
        <f>E19-E35-E43</f>
        <v>2840110036599</v>
      </c>
      <c r="F75" s="95">
        <f>F19-F35-F43</f>
        <v>-1246610015917</v>
      </c>
      <c r="G75" s="120">
        <f>G19-G35-G43</f>
        <v>-3579374312512</v>
      </c>
      <c r="H75" s="169"/>
      <c r="I75" s="169"/>
    </row>
    <row r="76" spans="1:9" s="116" customFormat="1" ht="31.5" x14ac:dyDescent="0.25">
      <c r="A76" s="167" t="s">
        <v>801</v>
      </c>
      <c r="B76" s="168" t="s">
        <v>802</v>
      </c>
      <c r="C76" s="102"/>
      <c r="D76" s="95">
        <f>D77-D78</f>
        <v>0</v>
      </c>
      <c r="E76" s="95">
        <f>E77-E78</f>
        <v>0</v>
      </c>
      <c r="F76" s="95">
        <f>F77-F78</f>
        <v>0</v>
      </c>
      <c r="G76" s="120">
        <f>G77-G78</f>
        <v>0</v>
      </c>
      <c r="H76" s="169"/>
      <c r="I76" s="169"/>
    </row>
    <row r="77" spans="1:9" s="116" customFormat="1" ht="21" x14ac:dyDescent="0.25">
      <c r="A77" s="170" t="s">
        <v>803</v>
      </c>
      <c r="B77" s="171" t="s">
        <v>804</v>
      </c>
      <c r="C77" s="94"/>
      <c r="D77" s="97">
        <v>0</v>
      </c>
      <c r="E77" s="97">
        <v>0</v>
      </c>
      <c r="F77" s="97">
        <v>0</v>
      </c>
      <c r="G77" s="125">
        <v>0</v>
      </c>
      <c r="H77" s="169"/>
      <c r="I77" s="169"/>
    </row>
    <row r="78" spans="1:9" s="116" customFormat="1" ht="21" x14ac:dyDescent="0.25">
      <c r="A78" s="170" t="s">
        <v>805</v>
      </c>
      <c r="B78" s="171" t="s">
        <v>806</v>
      </c>
      <c r="C78" s="94"/>
      <c r="D78" s="97">
        <v>0</v>
      </c>
      <c r="E78" s="97">
        <v>0</v>
      </c>
      <c r="F78" s="97">
        <v>0</v>
      </c>
      <c r="G78" s="125">
        <v>0</v>
      </c>
      <c r="H78" s="169"/>
      <c r="I78" s="169"/>
    </row>
    <row r="79" spans="1:9" s="116" customFormat="1" ht="42" x14ac:dyDescent="0.25">
      <c r="A79" s="167" t="s">
        <v>807</v>
      </c>
      <c r="B79" s="168" t="s">
        <v>665</v>
      </c>
      <c r="C79" s="102"/>
      <c r="D79" s="95">
        <f>D75+D76</f>
        <v>-455829721744</v>
      </c>
      <c r="E79" s="95">
        <f>E75+E76</f>
        <v>2840110036599</v>
      </c>
      <c r="F79" s="95">
        <f>F75+F76</f>
        <v>-1246610015917</v>
      </c>
      <c r="G79" s="120">
        <f>G75+G76</f>
        <v>-3579374312512</v>
      </c>
      <c r="H79" s="169"/>
      <c r="I79" s="169"/>
    </row>
    <row r="80" spans="1:9" s="116" customFormat="1" ht="21" x14ac:dyDescent="0.25">
      <c r="A80" s="170" t="s">
        <v>808</v>
      </c>
      <c r="B80" s="171" t="s">
        <v>655</v>
      </c>
      <c r="C80" s="94"/>
      <c r="D80" s="97">
        <v>343000166299</v>
      </c>
      <c r="E80" s="97">
        <v>831330733354</v>
      </c>
      <c r="F80" s="97">
        <v>-33763242159</v>
      </c>
      <c r="G80" s="125">
        <v>877972517540</v>
      </c>
      <c r="H80" s="169"/>
      <c r="I80" s="169"/>
    </row>
    <row r="81" spans="1:9" s="116" customFormat="1" ht="21" x14ac:dyDescent="0.25">
      <c r="A81" s="170" t="s">
        <v>809</v>
      </c>
      <c r="B81" s="171" t="s">
        <v>657</v>
      </c>
      <c r="C81" s="94"/>
      <c r="D81" s="97">
        <v>-798829888043</v>
      </c>
      <c r="E81" s="97">
        <v>2008779303245</v>
      </c>
      <c r="F81" s="97">
        <v>-1212846773758</v>
      </c>
      <c r="G81" s="125">
        <v>-4457346830052</v>
      </c>
      <c r="H81" s="169"/>
      <c r="I81" s="169"/>
    </row>
    <row r="82" spans="1:9" s="116" customFormat="1" ht="21" x14ac:dyDescent="0.25">
      <c r="A82" s="167" t="s">
        <v>810</v>
      </c>
      <c r="B82" s="168" t="s">
        <v>667</v>
      </c>
      <c r="C82" s="102"/>
      <c r="D82" s="95">
        <v>0</v>
      </c>
      <c r="E82" s="95">
        <v>0</v>
      </c>
      <c r="F82" s="95">
        <v>0</v>
      </c>
      <c r="G82" s="120">
        <v>0</v>
      </c>
      <c r="H82" s="169"/>
      <c r="I82" s="169"/>
    </row>
    <row r="83" spans="1:9" s="116" customFormat="1" ht="42" x14ac:dyDescent="0.25">
      <c r="A83" s="175" t="s">
        <v>811</v>
      </c>
      <c r="B83" s="176" t="s">
        <v>812</v>
      </c>
      <c r="C83" s="177"/>
      <c r="D83" s="178">
        <f>D79</f>
        <v>-455829721744</v>
      </c>
      <c r="E83" s="178">
        <f>E79</f>
        <v>2840110036599</v>
      </c>
      <c r="F83" s="178">
        <f>F79</f>
        <v>-1246610015917</v>
      </c>
      <c r="G83" s="179">
        <f>G79</f>
        <v>-3579374312512</v>
      </c>
      <c r="H83" s="169"/>
      <c r="I83" s="169"/>
    </row>
    <row r="84" spans="1:9" ht="10.5" customHeight="1" x14ac:dyDescent="0.15">
      <c r="A84" s="84"/>
      <c r="B84" s="308"/>
      <c r="C84" s="308"/>
      <c r="D84" s="308"/>
      <c r="E84" s="308"/>
      <c r="F84" s="308"/>
      <c r="G84" s="308"/>
    </row>
    <row r="85" spans="1:9" x14ac:dyDescent="0.15">
      <c r="A85" s="85" t="s">
        <v>601</v>
      </c>
      <c r="B85" s="309" t="s">
        <v>1140</v>
      </c>
      <c r="C85" s="309"/>
      <c r="D85" s="309"/>
      <c r="E85" s="309"/>
      <c r="F85" s="373" t="s">
        <v>227</v>
      </c>
      <c r="G85" s="373"/>
    </row>
    <row r="86" spans="1:9" ht="15" customHeight="1" x14ac:dyDescent="0.15">
      <c r="A86" s="180" t="s">
        <v>602</v>
      </c>
      <c r="B86" s="370" t="s">
        <v>602</v>
      </c>
      <c r="C86" s="370"/>
      <c r="D86" s="370"/>
      <c r="E86" s="370"/>
      <c r="F86" s="371" t="s">
        <v>603</v>
      </c>
      <c r="G86" s="371"/>
    </row>
    <row r="87" spans="1:9" ht="120.75" customHeight="1" x14ac:dyDescent="0.15">
      <c r="A87" s="84"/>
      <c r="B87" s="308"/>
      <c r="C87" s="308"/>
      <c r="D87" s="308"/>
      <c r="E87" s="308"/>
      <c r="F87" s="308"/>
      <c r="G87" s="308"/>
    </row>
    <row r="88" spans="1:9" ht="15.75" customHeight="1" x14ac:dyDescent="0.15">
      <c r="A88" s="85" t="s">
        <v>604</v>
      </c>
      <c r="B88" s="318" t="s">
        <v>1141</v>
      </c>
      <c r="C88" s="318"/>
      <c r="D88" s="318"/>
      <c r="E88" s="318"/>
      <c r="F88" s="318" t="s">
        <v>229</v>
      </c>
      <c r="G88" s="318"/>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899999737739563" bottom="0.5899999737739563" header="0.5" footer="0.5"/>
  <pageSetup paperSize="9" scale="8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9"/>
  <sheetViews>
    <sheetView showGridLines="0" showZeros="0" showOutlineSymbols="0" view="pageBreakPreview" topLeftCell="A130" zoomScaleNormal="100" zoomScaleSheetLayoutView="100" workbookViewId="0">
      <selection activeCell="C10" sqref="C10:F10"/>
    </sheetView>
  </sheetViews>
  <sheetFormatPr defaultColWidth="9.140625" defaultRowHeight="10.5" x14ac:dyDescent="0.15"/>
  <cols>
    <col min="1" max="1" width="6" style="83" customWidth="1"/>
    <col min="2" max="2" width="41.28515625" style="83" customWidth="1"/>
    <col min="3" max="4" width="10.140625" style="83" customWidth="1"/>
    <col min="5" max="6" width="20.85546875" style="83" bestFit="1" customWidth="1"/>
    <col min="7" max="16384" width="9.140625" style="83"/>
  </cols>
  <sheetData>
    <row r="1" spans="1:6" ht="24.75" customHeight="1" x14ac:dyDescent="0.15">
      <c r="A1" s="308"/>
      <c r="B1" s="308"/>
      <c r="C1" s="309" t="s">
        <v>813</v>
      </c>
      <c r="D1" s="309"/>
      <c r="E1" s="309"/>
      <c r="F1" s="309"/>
    </row>
    <row r="2" spans="1:6" ht="27" customHeight="1" x14ac:dyDescent="0.15">
      <c r="A2" s="310" t="s">
        <v>572</v>
      </c>
      <c r="B2" s="310"/>
      <c r="C2" s="310"/>
      <c r="D2" s="310"/>
      <c r="E2" s="310"/>
      <c r="F2" s="310"/>
    </row>
    <row r="3" spans="1:6" ht="3.75" customHeight="1" x14ac:dyDescent="0.15">
      <c r="A3" s="84"/>
      <c r="B3" s="84"/>
      <c r="C3" s="84"/>
      <c r="D3" s="84"/>
      <c r="E3" s="84"/>
      <c r="F3" s="84"/>
    </row>
    <row r="4" spans="1:6" ht="30.75" customHeight="1" x14ac:dyDescent="0.15">
      <c r="A4" s="311" t="s">
        <v>814</v>
      </c>
      <c r="B4" s="311"/>
      <c r="C4" s="311"/>
      <c r="D4" s="311"/>
      <c r="E4" s="311"/>
      <c r="F4" s="311"/>
    </row>
    <row r="5" spans="1:6" ht="11.25" customHeight="1" x14ac:dyDescent="0.15">
      <c r="A5" s="320" t="s">
        <v>815</v>
      </c>
      <c r="B5" s="320"/>
      <c r="C5" s="320"/>
      <c r="D5" s="320"/>
      <c r="E5" s="320"/>
      <c r="F5" s="320"/>
    </row>
    <row r="6" spans="1:6" ht="5.25" customHeight="1" x14ac:dyDescent="0.15">
      <c r="A6" s="84"/>
      <c r="B6" s="84"/>
      <c r="C6" s="182"/>
      <c r="D6" s="84"/>
      <c r="E6" s="84"/>
      <c r="F6" s="84"/>
    </row>
    <row r="7" spans="1:6" ht="4.5" customHeight="1" x14ac:dyDescent="0.15">
      <c r="A7" s="84"/>
      <c r="B7" s="84"/>
      <c r="C7" s="84"/>
      <c r="D7" s="84"/>
      <c r="E7" s="84"/>
      <c r="F7" s="84"/>
    </row>
    <row r="8" spans="1:6" ht="12.75" customHeight="1" x14ac:dyDescent="0.15">
      <c r="A8" s="307" t="s">
        <v>9</v>
      </c>
      <c r="B8" s="307"/>
      <c r="C8" s="307" t="s">
        <v>10</v>
      </c>
      <c r="D8" s="307"/>
      <c r="E8" s="307"/>
      <c r="F8" s="307"/>
    </row>
    <row r="9" spans="1:6" ht="12.75" customHeight="1" x14ac:dyDescent="0.15">
      <c r="A9" s="308" t="s">
        <v>11</v>
      </c>
      <c r="B9" s="308"/>
      <c r="C9" s="308" t="s">
        <v>12</v>
      </c>
      <c r="D9" s="308"/>
      <c r="E9" s="308"/>
      <c r="F9" s="308"/>
    </row>
    <row r="10" spans="1:6" ht="12.75" customHeight="1" x14ac:dyDescent="0.15">
      <c r="A10" s="307" t="s">
        <v>382</v>
      </c>
      <c r="B10" s="307"/>
      <c r="C10" s="307" t="s">
        <v>15</v>
      </c>
      <c r="D10" s="307"/>
      <c r="E10" s="307"/>
      <c r="F10" s="307"/>
    </row>
    <row r="11" spans="1:6" ht="12.75" customHeight="1" x14ac:dyDescent="0.15">
      <c r="A11" s="308" t="s">
        <v>16</v>
      </c>
      <c r="B11" s="308"/>
      <c r="C11" s="308" t="s">
        <v>17</v>
      </c>
      <c r="D11" s="308"/>
      <c r="E11" s="308"/>
      <c r="F11" s="308"/>
    </row>
    <row r="12" spans="1:6" ht="12.75" customHeight="1" x14ac:dyDescent="0.15">
      <c r="A12" s="307" t="s">
        <v>4</v>
      </c>
      <c r="B12" s="307"/>
      <c r="C12" s="307" t="s">
        <v>5</v>
      </c>
      <c r="D12" s="307"/>
      <c r="E12" s="307"/>
      <c r="F12" s="307"/>
    </row>
    <row r="13" spans="1:6" ht="12.75" customHeight="1" x14ac:dyDescent="0.15">
      <c r="A13" s="308" t="s">
        <v>6</v>
      </c>
      <c r="B13" s="308"/>
      <c r="C13" s="308" t="s">
        <v>7</v>
      </c>
      <c r="D13" s="308"/>
      <c r="E13" s="308"/>
      <c r="F13" s="308"/>
    </row>
    <row r="14" spans="1:6" ht="12.75" customHeight="1" x14ac:dyDescent="0.15">
      <c r="A14" s="307" t="s">
        <v>19</v>
      </c>
      <c r="B14" s="307"/>
      <c r="C14" s="313">
        <v>45303</v>
      </c>
      <c r="D14" s="313"/>
      <c r="E14" s="313"/>
      <c r="F14" s="313"/>
    </row>
    <row r="15" spans="1:6" ht="12.75" customHeight="1" x14ac:dyDescent="0.15">
      <c r="A15" s="308" t="s">
        <v>20</v>
      </c>
      <c r="B15" s="308"/>
      <c r="C15" s="314">
        <v>45303</v>
      </c>
      <c r="D15" s="314"/>
      <c r="E15" s="314"/>
      <c r="F15" s="314"/>
    </row>
    <row r="16" spans="1:6" ht="12.75" customHeight="1" x14ac:dyDescent="0.15">
      <c r="A16" s="87"/>
      <c r="B16" s="87"/>
      <c r="C16" s="87"/>
      <c r="D16" s="87"/>
      <c r="E16" s="87"/>
      <c r="F16" s="88" t="s">
        <v>23</v>
      </c>
    </row>
    <row r="17" spans="1:8" ht="39.75" customHeight="1" x14ac:dyDescent="0.15">
      <c r="A17" s="89" t="s">
        <v>385</v>
      </c>
      <c r="B17" s="90" t="s">
        <v>816</v>
      </c>
      <c r="C17" s="90" t="s">
        <v>609</v>
      </c>
      <c r="D17" s="90" t="s">
        <v>817</v>
      </c>
      <c r="E17" s="183" t="s">
        <v>818</v>
      </c>
      <c r="F17" s="91" t="s">
        <v>819</v>
      </c>
    </row>
    <row r="18" spans="1:8" ht="21" x14ac:dyDescent="0.15">
      <c r="A18" s="184" t="s">
        <v>30</v>
      </c>
      <c r="B18" s="185" t="s">
        <v>820</v>
      </c>
      <c r="C18" s="186" t="s">
        <v>30</v>
      </c>
      <c r="D18" s="186"/>
      <c r="E18" s="187">
        <v>0</v>
      </c>
      <c r="F18" s="188">
        <v>0</v>
      </c>
    </row>
    <row r="19" spans="1:8" ht="21" x14ac:dyDescent="0.15">
      <c r="A19" s="184" t="s">
        <v>3</v>
      </c>
      <c r="B19" s="185" t="s">
        <v>821</v>
      </c>
      <c r="C19" s="186" t="s">
        <v>822</v>
      </c>
      <c r="D19" s="186"/>
      <c r="E19" s="189">
        <f>E20+E25+E26</f>
        <v>22225901806</v>
      </c>
      <c r="F19" s="190">
        <f>F20+F25+F26</f>
        <v>274448294478</v>
      </c>
      <c r="H19" s="98"/>
    </row>
    <row r="20" spans="1:8" ht="21" x14ac:dyDescent="0.15">
      <c r="A20" s="191" t="s">
        <v>823</v>
      </c>
      <c r="B20" s="192" t="s">
        <v>824</v>
      </c>
      <c r="C20" s="193" t="s">
        <v>825</v>
      </c>
      <c r="D20" s="193"/>
      <c r="E20" s="194">
        <f>E21+E22+E23+E24</f>
        <v>22225901806</v>
      </c>
      <c r="F20" s="195">
        <f>F21+F22+F23+F24</f>
        <v>274448294478</v>
      </c>
      <c r="H20" s="98"/>
    </row>
    <row r="21" spans="1:8" ht="24" customHeight="1" x14ac:dyDescent="0.15">
      <c r="A21" s="196"/>
      <c r="B21" s="197" t="s">
        <v>826</v>
      </c>
      <c r="C21" s="198" t="s">
        <v>827</v>
      </c>
      <c r="D21" s="198"/>
      <c r="E21" s="199">
        <v>0</v>
      </c>
      <c r="F21" s="200">
        <v>0</v>
      </c>
      <c r="H21" s="98"/>
    </row>
    <row r="22" spans="1:8" ht="24" customHeight="1" x14ac:dyDescent="0.15">
      <c r="A22" s="196"/>
      <c r="B22" s="197" t="s">
        <v>828</v>
      </c>
      <c r="C22" s="198" t="s">
        <v>829</v>
      </c>
      <c r="D22" s="198"/>
      <c r="E22" s="199">
        <v>0</v>
      </c>
      <c r="F22" s="200">
        <v>0</v>
      </c>
      <c r="H22" s="98"/>
    </row>
    <row r="23" spans="1:8" ht="21" x14ac:dyDescent="0.15">
      <c r="A23" s="196"/>
      <c r="B23" s="197" t="s">
        <v>485</v>
      </c>
      <c r="C23" s="198" t="s">
        <v>830</v>
      </c>
      <c r="D23" s="198"/>
      <c r="E23" s="199">
        <v>22225901806</v>
      </c>
      <c r="F23" s="200">
        <v>274448294478</v>
      </c>
      <c r="H23" s="98"/>
    </row>
    <row r="24" spans="1:8" ht="31.5" x14ac:dyDescent="0.15">
      <c r="A24" s="196"/>
      <c r="B24" s="197" t="s">
        <v>831</v>
      </c>
      <c r="C24" s="198" t="s">
        <v>832</v>
      </c>
      <c r="D24" s="198"/>
      <c r="E24" s="199">
        <v>0</v>
      </c>
      <c r="F24" s="200">
        <v>0</v>
      </c>
      <c r="H24" s="98"/>
    </row>
    <row r="25" spans="1:8" ht="21" x14ac:dyDescent="0.15">
      <c r="A25" s="191" t="s">
        <v>833</v>
      </c>
      <c r="B25" s="192" t="s">
        <v>834</v>
      </c>
      <c r="C25" s="193" t="s">
        <v>835</v>
      </c>
      <c r="D25" s="193"/>
      <c r="E25" s="194">
        <v>0</v>
      </c>
      <c r="F25" s="195">
        <v>0</v>
      </c>
      <c r="H25" s="98"/>
    </row>
    <row r="26" spans="1:8" ht="21" x14ac:dyDescent="0.15">
      <c r="A26" s="191" t="s">
        <v>836</v>
      </c>
      <c r="B26" s="192" t="s">
        <v>837</v>
      </c>
      <c r="C26" s="193" t="s">
        <v>838</v>
      </c>
      <c r="D26" s="193"/>
      <c r="E26" s="194">
        <v>0</v>
      </c>
      <c r="F26" s="195">
        <v>0</v>
      </c>
      <c r="H26" s="98"/>
    </row>
    <row r="27" spans="1:8" ht="21" x14ac:dyDescent="0.15">
      <c r="A27" s="184" t="s">
        <v>8</v>
      </c>
      <c r="B27" s="185" t="s">
        <v>839</v>
      </c>
      <c r="C27" s="186" t="s">
        <v>840</v>
      </c>
      <c r="D27" s="186"/>
      <c r="E27" s="189">
        <f>E28-E38</f>
        <v>17263333319150</v>
      </c>
      <c r="F27" s="190">
        <f>F28-F38</f>
        <v>19323066106700</v>
      </c>
      <c r="H27" s="98"/>
    </row>
    <row r="28" spans="1:8" ht="21" x14ac:dyDescent="0.15">
      <c r="A28" s="191" t="s">
        <v>841</v>
      </c>
      <c r="B28" s="192" t="s">
        <v>842</v>
      </c>
      <c r="C28" s="193" t="s">
        <v>843</v>
      </c>
      <c r="D28" s="193"/>
      <c r="E28" s="194">
        <f>E29+E30+E31+E32+E33+E34+E35+E36+E37</f>
        <v>17263333319150</v>
      </c>
      <c r="F28" s="195">
        <f>F29+F30+F31+F32+F33+F34+F35+F36+F37</f>
        <v>19323066106700</v>
      </c>
      <c r="H28" s="98"/>
    </row>
    <row r="29" spans="1:8" ht="21" x14ac:dyDescent="0.15">
      <c r="A29" s="196"/>
      <c r="B29" s="197" t="s">
        <v>844</v>
      </c>
      <c r="C29" s="198" t="s">
        <v>845</v>
      </c>
      <c r="D29" s="198"/>
      <c r="E29" s="199">
        <v>17263333319150</v>
      </c>
      <c r="F29" s="200">
        <v>19323066106700</v>
      </c>
      <c r="H29" s="98"/>
    </row>
    <row r="30" spans="1:8" ht="21" x14ac:dyDescent="0.15">
      <c r="A30" s="196"/>
      <c r="B30" s="197" t="s">
        <v>846</v>
      </c>
      <c r="C30" s="198" t="s">
        <v>847</v>
      </c>
      <c r="D30" s="198"/>
      <c r="E30" s="199">
        <v>0</v>
      </c>
      <c r="F30" s="200">
        <v>0</v>
      </c>
      <c r="H30" s="98"/>
    </row>
    <row r="31" spans="1:8" ht="21" x14ac:dyDescent="0.15">
      <c r="A31" s="196"/>
      <c r="B31" s="197" t="s">
        <v>848</v>
      </c>
      <c r="C31" s="198" t="s">
        <v>849</v>
      </c>
      <c r="D31" s="198"/>
      <c r="E31" s="199">
        <v>0</v>
      </c>
      <c r="F31" s="200">
        <v>0</v>
      </c>
      <c r="H31" s="98"/>
    </row>
    <row r="32" spans="1:8" ht="21" x14ac:dyDescent="0.15">
      <c r="A32" s="196"/>
      <c r="B32" s="197" t="s">
        <v>850</v>
      </c>
      <c r="C32" s="198" t="s">
        <v>851</v>
      </c>
      <c r="D32" s="198"/>
      <c r="E32" s="199">
        <v>0</v>
      </c>
      <c r="F32" s="200">
        <v>0</v>
      </c>
      <c r="H32" s="98"/>
    </row>
    <row r="33" spans="1:8" ht="21" x14ac:dyDescent="0.15">
      <c r="A33" s="196"/>
      <c r="B33" s="197" t="s">
        <v>852</v>
      </c>
      <c r="C33" s="198" t="s">
        <v>853</v>
      </c>
      <c r="D33" s="198"/>
      <c r="E33" s="199">
        <v>0</v>
      </c>
      <c r="F33" s="200">
        <v>0</v>
      </c>
      <c r="H33" s="98"/>
    </row>
    <row r="34" spans="1:8" ht="21" x14ac:dyDescent="0.15">
      <c r="A34" s="196"/>
      <c r="B34" s="197" t="s">
        <v>854</v>
      </c>
      <c r="C34" s="198" t="s">
        <v>855</v>
      </c>
      <c r="D34" s="198"/>
      <c r="E34" s="199">
        <v>0</v>
      </c>
      <c r="F34" s="200">
        <v>0</v>
      </c>
      <c r="H34" s="98"/>
    </row>
    <row r="35" spans="1:8" ht="21" x14ac:dyDescent="0.15">
      <c r="A35" s="196"/>
      <c r="B35" s="197" t="s">
        <v>450</v>
      </c>
      <c r="C35" s="198" t="s">
        <v>856</v>
      </c>
      <c r="D35" s="198"/>
      <c r="E35" s="199">
        <v>0</v>
      </c>
      <c r="F35" s="200">
        <v>0</v>
      </c>
      <c r="H35" s="98"/>
    </row>
    <row r="36" spans="1:8" ht="21" x14ac:dyDescent="0.15">
      <c r="A36" s="196"/>
      <c r="B36" s="197" t="s">
        <v>857</v>
      </c>
      <c r="C36" s="198" t="s">
        <v>858</v>
      </c>
      <c r="D36" s="198"/>
      <c r="E36" s="199">
        <v>0</v>
      </c>
      <c r="F36" s="200">
        <v>0</v>
      </c>
      <c r="H36" s="98"/>
    </row>
    <row r="37" spans="1:8" ht="21" x14ac:dyDescent="0.15">
      <c r="A37" s="196"/>
      <c r="B37" s="197" t="s">
        <v>69</v>
      </c>
      <c r="C37" s="198" t="s">
        <v>859</v>
      </c>
      <c r="D37" s="198"/>
      <c r="E37" s="199">
        <v>0</v>
      </c>
      <c r="F37" s="200">
        <v>0</v>
      </c>
      <c r="H37" s="98"/>
    </row>
    <row r="38" spans="1:8" ht="21" x14ac:dyDescent="0.15">
      <c r="A38" s="191" t="s">
        <v>860</v>
      </c>
      <c r="B38" s="192" t="s">
        <v>861</v>
      </c>
      <c r="C38" s="193" t="s">
        <v>862</v>
      </c>
      <c r="D38" s="193"/>
      <c r="E38" s="194">
        <v>0</v>
      </c>
      <c r="F38" s="195">
        <v>0</v>
      </c>
      <c r="H38" s="98"/>
    </row>
    <row r="39" spans="1:8" ht="21" x14ac:dyDescent="0.15">
      <c r="A39" s="184" t="s">
        <v>13</v>
      </c>
      <c r="B39" s="185" t="s">
        <v>863</v>
      </c>
      <c r="C39" s="186" t="s">
        <v>864</v>
      </c>
      <c r="D39" s="186"/>
      <c r="E39" s="189">
        <f>E40+E42+E56-E65</f>
        <v>13874703230</v>
      </c>
      <c r="F39" s="190">
        <f>F40+F42+F56-F65</f>
        <v>10577500000</v>
      </c>
      <c r="H39" s="98"/>
    </row>
    <row r="40" spans="1:8" ht="22.5" customHeight="1" x14ac:dyDescent="0.15">
      <c r="A40" s="191" t="s">
        <v>865</v>
      </c>
      <c r="B40" s="192" t="s">
        <v>866</v>
      </c>
      <c r="C40" s="193" t="s">
        <v>867</v>
      </c>
      <c r="D40" s="193"/>
      <c r="E40" s="194">
        <v>13837903250</v>
      </c>
      <c r="F40" s="195">
        <v>10577500000</v>
      </c>
      <c r="H40" s="98"/>
    </row>
    <row r="41" spans="1:8" ht="22.5" customHeight="1" x14ac:dyDescent="0.15">
      <c r="A41" s="191"/>
      <c r="B41" s="192" t="s">
        <v>868</v>
      </c>
      <c r="C41" s="193" t="s">
        <v>869</v>
      </c>
      <c r="D41" s="193"/>
      <c r="E41" s="194">
        <v>0</v>
      </c>
      <c r="F41" s="195">
        <v>0</v>
      </c>
      <c r="H41" s="98"/>
    </row>
    <row r="42" spans="1:8" ht="22.5" customHeight="1" x14ac:dyDescent="0.15">
      <c r="A42" s="191" t="s">
        <v>870</v>
      </c>
      <c r="B42" s="192" t="s">
        <v>871</v>
      </c>
      <c r="C42" s="193" t="s">
        <v>872</v>
      </c>
      <c r="D42" s="193"/>
      <c r="E42" s="194">
        <f>E43+E49+E50</f>
        <v>0</v>
      </c>
      <c r="F42" s="195">
        <f>F43+F49+F50</f>
        <v>0</v>
      </c>
      <c r="H42" s="98"/>
    </row>
    <row r="43" spans="1:8" ht="22.5" customHeight="1" x14ac:dyDescent="0.15">
      <c r="A43" s="191" t="s">
        <v>873</v>
      </c>
      <c r="B43" s="192" t="s">
        <v>874</v>
      </c>
      <c r="C43" s="193" t="s">
        <v>875</v>
      </c>
      <c r="D43" s="193"/>
      <c r="E43" s="194">
        <f>E44+E45+E46+E47+E48</f>
        <v>0</v>
      </c>
      <c r="F43" s="195">
        <f>F44+F45+F46+F47+F48</f>
        <v>0</v>
      </c>
      <c r="H43" s="98"/>
    </row>
    <row r="44" spans="1:8" ht="21" x14ac:dyDescent="0.15">
      <c r="A44" s="196"/>
      <c r="B44" s="197" t="s">
        <v>876</v>
      </c>
      <c r="C44" s="198" t="s">
        <v>877</v>
      </c>
      <c r="D44" s="198"/>
      <c r="E44" s="199">
        <v>0</v>
      </c>
      <c r="F44" s="200">
        <v>0</v>
      </c>
      <c r="H44" s="98"/>
    </row>
    <row r="45" spans="1:8" ht="21" x14ac:dyDescent="0.15">
      <c r="A45" s="196"/>
      <c r="B45" s="197" t="s">
        <v>878</v>
      </c>
      <c r="C45" s="198" t="s">
        <v>879</v>
      </c>
      <c r="D45" s="198"/>
      <c r="E45" s="199">
        <v>0</v>
      </c>
      <c r="F45" s="200">
        <v>0</v>
      </c>
      <c r="H45" s="98"/>
    </row>
    <row r="46" spans="1:8" ht="31.5" x14ac:dyDescent="0.15">
      <c r="A46" s="196"/>
      <c r="B46" s="197" t="s">
        <v>880</v>
      </c>
      <c r="C46" s="198" t="s">
        <v>881</v>
      </c>
      <c r="D46" s="198"/>
      <c r="E46" s="199">
        <v>0</v>
      </c>
      <c r="F46" s="200">
        <v>0</v>
      </c>
      <c r="H46" s="98"/>
    </row>
    <row r="47" spans="1:8" ht="31.5" x14ac:dyDescent="0.15">
      <c r="A47" s="196"/>
      <c r="B47" s="197" t="s">
        <v>882</v>
      </c>
      <c r="C47" s="198" t="s">
        <v>883</v>
      </c>
      <c r="D47" s="198"/>
      <c r="E47" s="199">
        <v>0</v>
      </c>
      <c r="F47" s="200">
        <v>0</v>
      </c>
      <c r="H47" s="98"/>
    </row>
    <row r="48" spans="1:8" ht="21" x14ac:dyDescent="0.15">
      <c r="A48" s="196"/>
      <c r="B48" s="197" t="s">
        <v>884</v>
      </c>
      <c r="C48" s="198" t="s">
        <v>885</v>
      </c>
      <c r="D48" s="198"/>
      <c r="E48" s="199">
        <v>0</v>
      </c>
      <c r="F48" s="200">
        <v>0</v>
      </c>
      <c r="H48" s="98"/>
    </row>
    <row r="49" spans="1:8" ht="42" x14ac:dyDescent="0.15">
      <c r="A49" s="191"/>
      <c r="B49" s="192" t="s">
        <v>886</v>
      </c>
      <c r="C49" s="193" t="s">
        <v>887</v>
      </c>
      <c r="D49" s="193"/>
      <c r="E49" s="194">
        <v>0</v>
      </c>
      <c r="F49" s="195">
        <v>0</v>
      </c>
      <c r="H49" s="98"/>
    </row>
    <row r="50" spans="1:8" ht="24" customHeight="1" x14ac:dyDescent="0.15">
      <c r="A50" s="191" t="s">
        <v>888</v>
      </c>
      <c r="B50" s="192" t="s">
        <v>889</v>
      </c>
      <c r="C50" s="193" t="s">
        <v>890</v>
      </c>
      <c r="D50" s="193"/>
      <c r="E50" s="194">
        <f>E51+E52+E53+E54+E55</f>
        <v>0</v>
      </c>
      <c r="F50" s="195">
        <f>F51+F52+F53+F54+F55</f>
        <v>0</v>
      </c>
      <c r="H50" s="98"/>
    </row>
    <row r="51" spans="1:8" ht="21" x14ac:dyDescent="0.15">
      <c r="A51" s="196"/>
      <c r="B51" s="197" t="s">
        <v>891</v>
      </c>
      <c r="C51" s="198" t="s">
        <v>892</v>
      </c>
      <c r="D51" s="198"/>
      <c r="E51" s="199">
        <v>0</v>
      </c>
      <c r="F51" s="200">
        <v>0</v>
      </c>
      <c r="H51" s="98"/>
    </row>
    <row r="52" spans="1:8" ht="21" x14ac:dyDescent="0.15">
      <c r="A52" s="196"/>
      <c r="B52" s="197" t="s">
        <v>893</v>
      </c>
      <c r="C52" s="198" t="s">
        <v>894</v>
      </c>
      <c r="D52" s="198"/>
      <c r="E52" s="199">
        <v>0</v>
      </c>
      <c r="F52" s="200">
        <v>0</v>
      </c>
      <c r="H52" s="98"/>
    </row>
    <row r="53" spans="1:8" ht="31.5" x14ac:dyDescent="0.15">
      <c r="A53" s="196"/>
      <c r="B53" s="197" t="s">
        <v>895</v>
      </c>
      <c r="C53" s="198" t="s">
        <v>896</v>
      </c>
      <c r="D53" s="198"/>
      <c r="E53" s="199">
        <v>0</v>
      </c>
      <c r="F53" s="200">
        <v>0</v>
      </c>
      <c r="H53" s="98"/>
    </row>
    <row r="54" spans="1:8" ht="31.5" x14ac:dyDescent="0.15">
      <c r="A54" s="196"/>
      <c r="B54" s="197" t="s">
        <v>897</v>
      </c>
      <c r="C54" s="198" t="s">
        <v>898</v>
      </c>
      <c r="D54" s="198"/>
      <c r="E54" s="199">
        <v>0</v>
      </c>
      <c r="F54" s="200">
        <v>0</v>
      </c>
      <c r="H54" s="98"/>
    </row>
    <row r="55" spans="1:8" ht="21" x14ac:dyDescent="0.15">
      <c r="A55" s="196"/>
      <c r="B55" s="197" t="s">
        <v>899</v>
      </c>
      <c r="C55" s="198" t="s">
        <v>900</v>
      </c>
      <c r="D55" s="198"/>
      <c r="E55" s="199">
        <v>0</v>
      </c>
      <c r="F55" s="200">
        <v>0</v>
      </c>
      <c r="H55" s="98"/>
    </row>
    <row r="56" spans="1:8" ht="21" x14ac:dyDescent="0.15">
      <c r="A56" s="191" t="s">
        <v>901</v>
      </c>
      <c r="B56" s="192" t="s">
        <v>902</v>
      </c>
      <c r="C56" s="193" t="s">
        <v>903</v>
      </c>
      <c r="D56" s="193"/>
      <c r="E56" s="194">
        <f>E57+E58+E64</f>
        <v>36799980</v>
      </c>
      <c r="F56" s="195">
        <f>F57+F58+F64</f>
        <v>0</v>
      </c>
      <c r="H56" s="98"/>
    </row>
    <row r="57" spans="1:8" ht="42" x14ac:dyDescent="0.15">
      <c r="A57" s="196"/>
      <c r="B57" s="197" t="s">
        <v>904</v>
      </c>
      <c r="C57" s="198" t="s">
        <v>905</v>
      </c>
      <c r="D57" s="198"/>
      <c r="E57" s="199">
        <v>0</v>
      </c>
      <c r="F57" s="200">
        <v>0</v>
      </c>
      <c r="H57" s="98"/>
    </row>
    <row r="58" spans="1:8" ht="21" x14ac:dyDescent="0.15">
      <c r="A58" s="196"/>
      <c r="B58" s="197" t="s">
        <v>457</v>
      </c>
      <c r="C58" s="198" t="s">
        <v>906</v>
      </c>
      <c r="D58" s="198"/>
      <c r="E58" s="199">
        <f>E59+E60+E61+E62+E63</f>
        <v>0</v>
      </c>
      <c r="F58" s="200">
        <f>F59+F60+F61+F62+F63</f>
        <v>0</v>
      </c>
      <c r="H58" s="98"/>
    </row>
    <row r="59" spans="1:8" ht="21" x14ac:dyDescent="0.15">
      <c r="A59" s="196"/>
      <c r="B59" s="197" t="s">
        <v>471</v>
      </c>
      <c r="C59" s="198" t="s">
        <v>907</v>
      </c>
      <c r="D59" s="198"/>
      <c r="E59" s="199">
        <v>0</v>
      </c>
      <c r="F59" s="200">
        <v>0</v>
      </c>
      <c r="H59" s="98"/>
    </row>
    <row r="60" spans="1:8" ht="21" x14ac:dyDescent="0.15">
      <c r="A60" s="196"/>
      <c r="B60" s="197" t="s">
        <v>908</v>
      </c>
      <c r="C60" s="198" t="s">
        <v>909</v>
      </c>
      <c r="D60" s="198"/>
      <c r="E60" s="199">
        <v>0</v>
      </c>
      <c r="F60" s="200">
        <v>0</v>
      </c>
      <c r="H60" s="98"/>
    </row>
    <row r="61" spans="1:8" ht="21" x14ac:dyDescent="0.15">
      <c r="A61" s="196"/>
      <c r="B61" s="197" t="s">
        <v>910</v>
      </c>
      <c r="C61" s="198" t="s">
        <v>911</v>
      </c>
      <c r="D61" s="198"/>
      <c r="E61" s="199">
        <v>0</v>
      </c>
      <c r="F61" s="200">
        <v>0</v>
      </c>
      <c r="H61" s="98"/>
    </row>
    <row r="62" spans="1:8" ht="31.5" x14ac:dyDescent="0.15">
      <c r="A62" s="196"/>
      <c r="B62" s="197" t="s">
        <v>477</v>
      </c>
      <c r="C62" s="198" t="s">
        <v>912</v>
      </c>
      <c r="D62" s="198"/>
      <c r="E62" s="199">
        <v>0</v>
      </c>
      <c r="F62" s="200">
        <v>0</v>
      </c>
      <c r="H62" s="98"/>
    </row>
    <row r="63" spans="1:8" ht="21" x14ac:dyDescent="0.15">
      <c r="A63" s="191"/>
      <c r="B63" s="192" t="s">
        <v>913</v>
      </c>
      <c r="C63" s="193" t="s">
        <v>914</v>
      </c>
      <c r="D63" s="193"/>
      <c r="E63" s="194">
        <v>0</v>
      </c>
      <c r="F63" s="195">
        <v>0</v>
      </c>
      <c r="H63" s="98"/>
    </row>
    <row r="64" spans="1:8" ht="21" x14ac:dyDescent="0.15">
      <c r="A64" s="191"/>
      <c r="B64" s="192" t="s">
        <v>915</v>
      </c>
      <c r="C64" s="193" t="s">
        <v>916</v>
      </c>
      <c r="D64" s="193"/>
      <c r="E64" s="194">
        <v>36799980</v>
      </c>
      <c r="F64" s="195">
        <v>0</v>
      </c>
      <c r="H64" s="98"/>
    </row>
    <row r="65" spans="1:8" ht="21" x14ac:dyDescent="0.15">
      <c r="A65" s="191" t="s">
        <v>917</v>
      </c>
      <c r="B65" s="192" t="s">
        <v>918</v>
      </c>
      <c r="C65" s="193" t="s">
        <v>919</v>
      </c>
      <c r="D65" s="193"/>
      <c r="E65" s="194">
        <v>0</v>
      </c>
      <c r="F65" s="195">
        <v>0</v>
      </c>
      <c r="H65" s="98"/>
    </row>
    <row r="66" spans="1:8" ht="21" x14ac:dyDescent="0.15">
      <c r="A66" s="184"/>
      <c r="B66" s="185" t="s">
        <v>920</v>
      </c>
      <c r="C66" s="186" t="s">
        <v>921</v>
      </c>
      <c r="D66" s="186"/>
      <c r="E66" s="189">
        <f>E19+E27+E39</f>
        <v>17299433924186</v>
      </c>
      <c r="F66" s="190">
        <f>F19+F27+F39</f>
        <v>19608091901178</v>
      </c>
      <c r="H66" s="98"/>
    </row>
    <row r="67" spans="1:8" ht="21" x14ac:dyDescent="0.15">
      <c r="A67" s="184" t="s">
        <v>120</v>
      </c>
      <c r="B67" s="185" t="s">
        <v>922</v>
      </c>
      <c r="C67" s="186" t="s">
        <v>120</v>
      </c>
      <c r="D67" s="186"/>
      <c r="E67" s="189">
        <v>0</v>
      </c>
      <c r="F67" s="190">
        <v>0</v>
      </c>
      <c r="H67" s="98"/>
    </row>
    <row r="68" spans="1:8" ht="21" x14ac:dyDescent="0.15">
      <c r="A68" s="191" t="s">
        <v>3</v>
      </c>
      <c r="B68" s="192" t="s">
        <v>923</v>
      </c>
      <c r="C68" s="193" t="s">
        <v>924</v>
      </c>
      <c r="D68" s="193"/>
      <c r="E68" s="194">
        <v>0</v>
      </c>
      <c r="F68" s="195">
        <v>0</v>
      </c>
      <c r="H68" s="98"/>
    </row>
    <row r="69" spans="1:8" ht="21" x14ac:dyDescent="0.15">
      <c r="A69" s="191"/>
      <c r="B69" s="192" t="s">
        <v>925</v>
      </c>
      <c r="C69" s="193" t="s">
        <v>926</v>
      </c>
      <c r="D69" s="193"/>
      <c r="E69" s="194">
        <v>0</v>
      </c>
      <c r="F69" s="195">
        <v>0</v>
      </c>
      <c r="H69" s="98"/>
    </row>
    <row r="70" spans="1:8" ht="21" x14ac:dyDescent="0.15">
      <c r="A70" s="191"/>
      <c r="B70" s="192" t="s">
        <v>927</v>
      </c>
      <c r="C70" s="193" t="s">
        <v>928</v>
      </c>
      <c r="D70" s="193"/>
      <c r="E70" s="194">
        <v>0</v>
      </c>
      <c r="F70" s="195">
        <v>0</v>
      </c>
      <c r="H70" s="98"/>
    </row>
    <row r="71" spans="1:8" ht="21" x14ac:dyDescent="0.15">
      <c r="A71" s="191" t="s">
        <v>8</v>
      </c>
      <c r="B71" s="192" t="s">
        <v>929</v>
      </c>
      <c r="C71" s="193" t="s">
        <v>930</v>
      </c>
      <c r="D71" s="193"/>
      <c r="E71" s="194">
        <v>0</v>
      </c>
      <c r="F71" s="195">
        <v>118767895000</v>
      </c>
      <c r="H71" s="98"/>
    </row>
    <row r="72" spans="1:8" ht="42" x14ac:dyDescent="0.15">
      <c r="A72" s="191" t="s">
        <v>13</v>
      </c>
      <c r="B72" s="192" t="s">
        <v>931</v>
      </c>
      <c r="C72" s="193" t="s">
        <v>932</v>
      </c>
      <c r="D72" s="193"/>
      <c r="E72" s="194">
        <f>E73+E74</f>
        <v>0</v>
      </c>
      <c r="F72" s="195">
        <f>F73+F74</f>
        <v>0</v>
      </c>
      <c r="H72" s="98"/>
    </row>
    <row r="73" spans="1:8" ht="21" x14ac:dyDescent="0.15">
      <c r="A73" s="196"/>
      <c r="B73" s="197" t="s">
        <v>933</v>
      </c>
      <c r="C73" s="198" t="s">
        <v>934</v>
      </c>
      <c r="D73" s="198"/>
      <c r="E73" s="199">
        <v>0</v>
      </c>
      <c r="F73" s="200">
        <v>0</v>
      </c>
      <c r="H73" s="98"/>
    </row>
    <row r="74" spans="1:8" ht="33.75" customHeight="1" x14ac:dyDescent="0.15">
      <c r="A74" s="196"/>
      <c r="B74" s="197" t="s">
        <v>935</v>
      </c>
      <c r="C74" s="198" t="s">
        <v>936</v>
      </c>
      <c r="D74" s="198"/>
      <c r="E74" s="199">
        <v>0</v>
      </c>
      <c r="F74" s="200">
        <v>0</v>
      </c>
      <c r="H74" s="98"/>
    </row>
    <row r="75" spans="1:8" ht="21" x14ac:dyDescent="0.15">
      <c r="A75" s="191" t="s">
        <v>18</v>
      </c>
      <c r="B75" s="192" t="s">
        <v>937</v>
      </c>
      <c r="C75" s="193" t="s">
        <v>938</v>
      </c>
      <c r="D75" s="193"/>
      <c r="E75" s="194">
        <v>0</v>
      </c>
      <c r="F75" s="195">
        <v>0</v>
      </c>
      <c r="H75" s="98"/>
    </row>
    <row r="76" spans="1:8" ht="21" x14ac:dyDescent="0.15">
      <c r="A76" s="191" t="s">
        <v>284</v>
      </c>
      <c r="B76" s="192" t="s">
        <v>939</v>
      </c>
      <c r="C76" s="193" t="s">
        <v>940</v>
      </c>
      <c r="D76" s="193"/>
      <c r="E76" s="194">
        <v>0</v>
      </c>
      <c r="F76" s="195">
        <v>0</v>
      </c>
      <c r="H76" s="98"/>
    </row>
    <row r="77" spans="1:8" ht="21" x14ac:dyDescent="0.15">
      <c r="A77" s="191" t="s">
        <v>286</v>
      </c>
      <c r="B77" s="192" t="s">
        <v>941</v>
      </c>
      <c r="C77" s="193" t="s">
        <v>942</v>
      </c>
      <c r="D77" s="193"/>
      <c r="E77" s="194">
        <f>E78+E79+E80+E81+E82+E83+E84</f>
        <v>199500000</v>
      </c>
      <c r="F77" s="195">
        <f>F78+F79+F80+F81+F82+F83+F84</f>
        <v>307976988</v>
      </c>
      <c r="H77" s="98"/>
    </row>
    <row r="78" spans="1:8" ht="21" x14ac:dyDescent="0.15">
      <c r="A78" s="196"/>
      <c r="B78" s="197" t="s">
        <v>943</v>
      </c>
      <c r="C78" s="198" t="s">
        <v>944</v>
      </c>
      <c r="D78" s="198"/>
      <c r="E78" s="199">
        <v>0</v>
      </c>
      <c r="F78" s="200">
        <v>194018094</v>
      </c>
      <c r="H78" s="98"/>
    </row>
    <row r="79" spans="1:8" ht="21" x14ac:dyDescent="0.15">
      <c r="A79" s="196"/>
      <c r="B79" s="197" t="s">
        <v>945</v>
      </c>
      <c r="C79" s="198" t="s">
        <v>946</v>
      </c>
      <c r="D79" s="198"/>
      <c r="E79" s="199">
        <v>181500000</v>
      </c>
      <c r="F79" s="200">
        <v>98227453</v>
      </c>
      <c r="H79" s="98"/>
    </row>
    <row r="80" spans="1:8" ht="21" x14ac:dyDescent="0.15">
      <c r="A80" s="196"/>
      <c r="B80" s="197" t="s">
        <v>947</v>
      </c>
      <c r="C80" s="198" t="s">
        <v>948</v>
      </c>
      <c r="D80" s="198"/>
      <c r="E80" s="199">
        <v>0</v>
      </c>
      <c r="F80" s="200">
        <v>0</v>
      </c>
      <c r="H80" s="98"/>
    </row>
    <row r="81" spans="1:8" ht="21" x14ac:dyDescent="0.15">
      <c r="A81" s="196"/>
      <c r="B81" s="197" t="s">
        <v>949</v>
      </c>
      <c r="C81" s="198" t="s">
        <v>950</v>
      </c>
      <c r="D81" s="198"/>
      <c r="E81" s="199">
        <v>0</v>
      </c>
      <c r="F81" s="200">
        <v>0</v>
      </c>
      <c r="H81" s="98"/>
    </row>
    <row r="82" spans="1:8" ht="31.5" x14ac:dyDescent="0.15">
      <c r="A82" s="196"/>
      <c r="B82" s="197" t="s">
        <v>951</v>
      </c>
      <c r="C82" s="198" t="s">
        <v>952</v>
      </c>
      <c r="D82" s="198"/>
      <c r="E82" s="199">
        <v>18000000</v>
      </c>
      <c r="F82" s="200">
        <v>15731441</v>
      </c>
      <c r="H82" s="98"/>
    </row>
    <row r="83" spans="1:8" ht="21" x14ac:dyDescent="0.15">
      <c r="A83" s="196"/>
      <c r="B83" s="197" t="s">
        <v>953</v>
      </c>
      <c r="C83" s="198" t="s">
        <v>954</v>
      </c>
      <c r="D83" s="198"/>
      <c r="E83" s="199">
        <v>0</v>
      </c>
      <c r="F83" s="200">
        <v>0</v>
      </c>
      <c r="H83" s="98"/>
    </row>
    <row r="84" spans="1:8" ht="21" x14ac:dyDescent="0.15">
      <c r="A84" s="196"/>
      <c r="B84" s="197" t="s">
        <v>955</v>
      </c>
      <c r="C84" s="198" t="s">
        <v>956</v>
      </c>
      <c r="D84" s="198"/>
      <c r="E84" s="199">
        <v>0</v>
      </c>
      <c r="F84" s="200">
        <v>0</v>
      </c>
      <c r="H84" s="98"/>
    </row>
    <row r="85" spans="1:8" ht="21" x14ac:dyDescent="0.15">
      <c r="A85" s="191" t="s">
        <v>289</v>
      </c>
      <c r="B85" s="192" t="s">
        <v>957</v>
      </c>
      <c r="C85" s="193" t="s">
        <v>958</v>
      </c>
      <c r="D85" s="193"/>
      <c r="E85" s="194">
        <v>0</v>
      </c>
      <c r="F85" s="195">
        <v>1689470000</v>
      </c>
      <c r="H85" s="98"/>
    </row>
    <row r="86" spans="1:8" ht="21" x14ac:dyDescent="0.15">
      <c r="A86" s="191" t="s">
        <v>298</v>
      </c>
      <c r="B86" s="192" t="s">
        <v>959</v>
      </c>
      <c r="C86" s="193" t="s">
        <v>960</v>
      </c>
      <c r="D86" s="193"/>
      <c r="E86" s="194">
        <v>13836703250</v>
      </c>
      <c r="F86" s="195">
        <v>0</v>
      </c>
      <c r="H86" s="98"/>
    </row>
    <row r="87" spans="1:8" ht="21" x14ac:dyDescent="0.15">
      <c r="A87" s="191" t="s">
        <v>311</v>
      </c>
      <c r="B87" s="192" t="s">
        <v>961</v>
      </c>
      <c r="C87" s="193" t="s">
        <v>962</v>
      </c>
      <c r="D87" s="193"/>
      <c r="E87" s="194">
        <f>E88+E89+E94+E95+E96+E97+E98+E99</f>
        <v>24002907799</v>
      </c>
      <c r="F87" s="195">
        <f>F88+F89+F94+F95+F96+F97+F98+F99</f>
        <v>21853718949</v>
      </c>
      <c r="H87" s="98"/>
    </row>
    <row r="88" spans="1:8" ht="21" x14ac:dyDescent="0.15">
      <c r="A88" s="196" t="s">
        <v>963</v>
      </c>
      <c r="B88" s="197" t="s">
        <v>964</v>
      </c>
      <c r="C88" s="198" t="s">
        <v>965</v>
      </c>
      <c r="D88" s="198"/>
      <c r="E88" s="199">
        <v>11808763923</v>
      </c>
      <c r="F88" s="200">
        <v>13270374609</v>
      </c>
      <c r="H88" s="98"/>
    </row>
    <row r="89" spans="1:8" ht="21" x14ac:dyDescent="0.15">
      <c r="A89" s="196" t="s">
        <v>966</v>
      </c>
      <c r="B89" s="197" t="s">
        <v>967</v>
      </c>
      <c r="C89" s="198" t="s">
        <v>968</v>
      </c>
      <c r="D89" s="198"/>
      <c r="E89" s="199">
        <f>E90+E91+E92</f>
        <v>309319100</v>
      </c>
      <c r="F89" s="200">
        <f>F90+F91+F92</f>
        <v>338359365</v>
      </c>
      <c r="H89" s="98"/>
    </row>
    <row r="90" spans="1:8" ht="21" x14ac:dyDescent="0.15">
      <c r="A90" s="196"/>
      <c r="B90" s="197" t="s">
        <v>969</v>
      </c>
      <c r="C90" s="198" t="s">
        <v>970</v>
      </c>
      <c r="D90" s="198"/>
      <c r="E90" s="199">
        <v>295219100</v>
      </c>
      <c r="F90" s="200">
        <v>331759365</v>
      </c>
      <c r="H90" s="98"/>
    </row>
    <row r="91" spans="1:8" ht="21" x14ac:dyDescent="0.15">
      <c r="A91" s="196"/>
      <c r="B91" s="197" t="s">
        <v>971</v>
      </c>
      <c r="C91" s="198" t="s">
        <v>972</v>
      </c>
      <c r="D91" s="198"/>
      <c r="E91" s="199">
        <v>14100000</v>
      </c>
      <c r="F91" s="200">
        <v>6600000</v>
      </c>
      <c r="H91" s="98"/>
    </row>
    <row r="92" spans="1:8" ht="21" x14ac:dyDescent="0.15">
      <c r="A92" s="196"/>
      <c r="B92" s="197" t="s">
        <v>973</v>
      </c>
      <c r="C92" s="198" t="s">
        <v>974</v>
      </c>
      <c r="D92" s="198"/>
      <c r="E92" s="199">
        <v>0</v>
      </c>
      <c r="F92" s="200">
        <v>0</v>
      </c>
      <c r="H92" s="98"/>
    </row>
    <row r="93" spans="1:8" ht="42" x14ac:dyDescent="0.15">
      <c r="A93" s="196"/>
      <c r="B93" s="197" t="s">
        <v>975</v>
      </c>
      <c r="C93" s="198" t="s">
        <v>976</v>
      </c>
      <c r="D93" s="198"/>
      <c r="E93" s="199">
        <v>0</v>
      </c>
      <c r="F93" s="200">
        <v>0</v>
      </c>
      <c r="H93" s="98"/>
    </row>
    <row r="94" spans="1:8" ht="21" x14ac:dyDescent="0.15">
      <c r="A94" s="196" t="s">
        <v>977</v>
      </c>
      <c r="B94" s="197" t="s">
        <v>978</v>
      </c>
      <c r="C94" s="198" t="s">
        <v>979</v>
      </c>
      <c r="D94" s="198"/>
      <c r="E94" s="199">
        <v>324741010</v>
      </c>
      <c r="F94" s="200">
        <v>364935302</v>
      </c>
      <c r="H94" s="98"/>
    </row>
    <row r="95" spans="1:8" ht="21" x14ac:dyDescent="0.15">
      <c r="A95" s="196" t="s">
        <v>980</v>
      </c>
      <c r="B95" s="197" t="s">
        <v>981</v>
      </c>
      <c r="C95" s="198" t="s">
        <v>982</v>
      </c>
      <c r="D95" s="198"/>
      <c r="E95" s="199">
        <v>649482016</v>
      </c>
      <c r="F95" s="200">
        <v>729870602</v>
      </c>
      <c r="H95" s="98"/>
    </row>
    <row r="96" spans="1:8" ht="21" x14ac:dyDescent="0.15">
      <c r="A96" s="196" t="s">
        <v>983</v>
      </c>
      <c r="B96" s="197" t="s">
        <v>984</v>
      </c>
      <c r="C96" s="198" t="s">
        <v>985</v>
      </c>
      <c r="D96" s="198"/>
      <c r="E96" s="199">
        <v>16500000</v>
      </c>
      <c r="F96" s="200">
        <v>16500000</v>
      </c>
      <c r="H96" s="98"/>
    </row>
    <row r="97" spans="1:8" ht="21.75" customHeight="1" x14ac:dyDescent="0.15">
      <c r="A97" s="196" t="s">
        <v>986</v>
      </c>
      <c r="B97" s="197" t="s">
        <v>987</v>
      </c>
      <c r="C97" s="198" t="s">
        <v>988</v>
      </c>
      <c r="D97" s="198"/>
      <c r="E97" s="199">
        <v>4784723002</v>
      </c>
      <c r="F97" s="200">
        <v>2547574231</v>
      </c>
      <c r="H97" s="98"/>
    </row>
    <row r="98" spans="1:8" ht="21.75" customHeight="1" x14ac:dyDescent="0.15">
      <c r="A98" s="196" t="s">
        <v>989</v>
      </c>
      <c r="B98" s="197" t="s">
        <v>990</v>
      </c>
      <c r="C98" s="198" t="s">
        <v>991</v>
      </c>
      <c r="D98" s="198"/>
      <c r="E98" s="199">
        <v>3827778402</v>
      </c>
      <c r="F98" s="200">
        <v>2038059385</v>
      </c>
      <c r="H98" s="98"/>
    </row>
    <row r="99" spans="1:8" ht="21" x14ac:dyDescent="0.15">
      <c r="A99" s="196" t="s">
        <v>989</v>
      </c>
      <c r="B99" s="197" t="s">
        <v>992</v>
      </c>
      <c r="C99" s="198" t="s">
        <v>993</v>
      </c>
      <c r="D99" s="198"/>
      <c r="E99" s="199">
        <v>2281600346</v>
      </c>
      <c r="F99" s="200">
        <v>2548045455</v>
      </c>
      <c r="H99" s="98"/>
    </row>
    <row r="100" spans="1:8" ht="21" x14ac:dyDescent="0.15">
      <c r="A100" s="191" t="s">
        <v>318</v>
      </c>
      <c r="B100" s="192" t="s">
        <v>994</v>
      </c>
      <c r="C100" s="193" t="s">
        <v>995</v>
      </c>
      <c r="D100" s="193"/>
      <c r="E100" s="194">
        <f>E101+E102+E103</f>
        <v>0</v>
      </c>
      <c r="F100" s="195">
        <f>F101+F102+F103</f>
        <v>0</v>
      </c>
      <c r="H100" s="98"/>
    </row>
    <row r="101" spans="1:8" ht="21" x14ac:dyDescent="0.15">
      <c r="A101" s="196" t="s">
        <v>642</v>
      </c>
      <c r="B101" s="197" t="s">
        <v>996</v>
      </c>
      <c r="C101" s="198" t="s">
        <v>997</v>
      </c>
      <c r="D101" s="198"/>
      <c r="E101" s="199">
        <v>0</v>
      </c>
      <c r="F101" s="200">
        <v>0</v>
      </c>
      <c r="H101" s="98"/>
    </row>
    <row r="102" spans="1:8" ht="31.5" x14ac:dyDescent="0.15">
      <c r="A102" s="196" t="s">
        <v>998</v>
      </c>
      <c r="B102" s="197" t="s">
        <v>999</v>
      </c>
      <c r="C102" s="198" t="s">
        <v>1000</v>
      </c>
      <c r="D102" s="198"/>
      <c r="E102" s="199">
        <v>0</v>
      </c>
      <c r="F102" s="200">
        <v>0</v>
      </c>
      <c r="H102" s="98"/>
    </row>
    <row r="103" spans="1:8" ht="21" x14ac:dyDescent="0.15">
      <c r="A103" s="196" t="s">
        <v>1001</v>
      </c>
      <c r="B103" s="197" t="s">
        <v>1002</v>
      </c>
      <c r="C103" s="198" t="s">
        <v>1003</v>
      </c>
      <c r="D103" s="198"/>
      <c r="E103" s="199">
        <f>E104+E105+E106+E107+E108</f>
        <v>0</v>
      </c>
      <c r="F103" s="200">
        <f>F104+F105+F106+F107+F108</f>
        <v>0</v>
      </c>
      <c r="H103" s="98"/>
    </row>
    <row r="104" spans="1:8" ht="31.5" x14ac:dyDescent="0.15">
      <c r="A104" s="196"/>
      <c r="B104" s="197" t="s">
        <v>1004</v>
      </c>
      <c r="C104" s="198" t="s">
        <v>1005</v>
      </c>
      <c r="D104" s="198"/>
      <c r="E104" s="199">
        <v>0</v>
      </c>
      <c r="F104" s="200">
        <v>0</v>
      </c>
      <c r="H104" s="98"/>
    </row>
    <row r="105" spans="1:8" ht="21" x14ac:dyDescent="0.15">
      <c r="A105" s="196"/>
      <c r="B105" s="197" t="s">
        <v>1006</v>
      </c>
      <c r="C105" s="198" t="s">
        <v>1007</v>
      </c>
      <c r="D105" s="198"/>
      <c r="E105" s="199">
        <v>0</v>
      </c>
      <c r="F105" s="200">
        <v>0</v>
      </c>
      <c r="H105" s="98"/>
    </row>
    <row r="106" spans="1:8" ht="21" x14ac:dyDescent="0.15">
      <c r="A106" s="191"/>
      <c r="B106" s="192" t="s">
        <v>1008</v>
      </c>
      <c r="C106" s="193" t="s">
        <v>1009</v>
      </c>
      <c r="D106" s="193"/>
      <c r="E106" s="194">
        <v>0</v>
      </c>
      <c r="F106" s="195">
        <v>0</v>
      </c>
      <c r="H106" s="98"/>
    </row>
    <row r="107" spans="1:8" ht="21" x14ac:dyDescent="0.15">
      <c r="A107" s="196"/>
      <c r="B107" s="197" t="s">
        <v>1010</v>
      </c>
      <c r="C107" s="198" t="s">
        <v>1011</v>
      </c>
      <c r="D107" s="198"/>
      <c r="E107" s="199">
        <v>0</v>
      </c>
      <c r="F107" s="200">
        <v>0</v>
      </c>
      <c r="H107" s="98"/>
    </row>
    <row r="108" spans="1:8" ht="21" x14ac:dyDescent="0.15">
      <c r="A108" s="196"/>
      <c r="B108" s="197" t="s">
        <v>1012</v>
      </c>
      <c r="C108" s="198" t="s">
        <v>1013</v>
      </c>
      <c r="D108" s="198"/>
      <c r="E108" s="199">
        <v>0</v>
      </c>
      <c r="F108" s="200">
        <v>0</v>
      </c>
      <c r="H108" s="98"/>
    </row>
    <row r="109" spans="1:8" ht="21" x14ac:dyDescent="0.15">
      <c r="A109" s="184"/>
      <c r="B109" s="185" t="s">
        <v>1014</v>
      </c>
      <c r="C109" s="186" t="s">
        <v>1015</v>
      </c>
      <c r="D109" s="186"/>
      <c r="E109" s="189">
        <f>E68+E71+E72+E75+E76+E77+E85+E86+E87+E100</f>
        <v>38039111049</v>
      </c>
      <c r="F109" s="190">
        <f>F68+F71+F72+F75+F76+F77+F85+F86+F87+F100</f>
        <v>142619060937</v>
      </c>
      <c r="H109" s="98"/>
    </row>
    <row r="110" spans="1:8" ht="42" x14ac:dyDescent="0.15">
      <c r="A110" s="201" t="s">
        <v>337</v>
      </c>
      <c r="B110" s="202" t="s">
        <v>1016</v>
      </c>
      <c r="C110" s="203" t="s">
        <v>1017</v>
      </c>
      <c r="D110" s="203"/>
      <c r="E110" s="189">
        <f>E66-E109</f>
        <v>17261394813137</v>
      </c>
      <c r="F110" s="190">
        <f>F66-F109</f>
        <v>19465472840241</v>
      </c>
      <c r="H110" s="98"/>
    </row>
    <row r="111" spans="1:8" ht="21" x14ac:dyDescent="0.15">
      <c r="A111" s="191" t="s">
        <v>3</v>
      </c>
      <c r="B111" s="192" t="s">
        <v>1018</v>
      </c>
      <c r="C111" s="193" t="s">
        <v>1019</v>
      </c>
      <c r="D111" s="193"/>
      <c r="E111" s="194">
        <f>E112+E113</f>
        <v>6651000000000</v>
      </c>
      <c r="F111" s="195">
        <f>F112+F113</f>
        <v>7337000000000</v>
      </c>
      <c r="H111" s="98"/>
    </row>
    <row r="112" spans="1:8" ht="21" x14ac:dyDescent="0.15">
      <c r="A112" s="191" t="s">
        <v>823</v>
      </c>
      <c r="B112" s="192" t="s">
        <v>1020</v>
      </c>
      <c r="C112" s="193" t="s">
        <v>1021</v>
      </c>
      <c r="D112" s="193"/>
      <c r="E112" s="194">
        <v>11947000000000</v>
      </c>
      <c r="F112" s="195">
        <v>11773000000000</v>
      </c>
      <c r="H112" s="98"/>
    </row>
    <row r="113" spans="1:8" ht="21" x14ac:dyDescent="0.15">
      <c r="A113" s="191" t="s">
        <v>833</v>
      </c>
      <c r="B113" s="192" t="s">
        <v>1022</v>
      </c>
      <c r="C113" s="193" t="s">
        <v>1023</v>
      </c>
      <c r="D113" s="193"/>
      <c r="E113" s="204">
        <v>-5296000000000</v>
      </c>
      <c r="F113" s="205">
        <v>-4436000000000</v>
      </c>
      <c r="H113" s="98"/>
    </row>
    <row r="114" spans="1:8" ht="21" x14ac:dyDescent="0.15">
      <c r="A114" s="191" t="s">
        <v>8</v>
      </c>
      <c r="B114" s="192" t="s">
        <v>1024</v>
      </c>
      <c r="C114" s="193" t="s">
        <v>1025</v>
      </c>
      <c r="D114" s="193"/>
      <c r="E114" s="194">
        <v>4999716913977</v>
      </c>
      <c r="F114" s="195">
        <v>6061965219337</v>
      </c>
      <c r="H114" s="98"/>
    </row>
    <row r="115" spans="1:8" ht="21" x14ac:dyDescent="0.15">
      <c r="A115" s="191" t="s">
        <v>13</v>
      </c>
      <c r="B115" s="192" t="s">
        <v>1026</v>
      </c>
      <c r="C115" s="193" t="s">
        <v>1027</v>
      </c>
      <c r="D115" s="193"/>
      <c r="E115" s="194">
        <f>E116+E117</f>
        <v>5610677899160</v>
      </c>
      <c r="F115" s="195">
        <f>F116+F117</f>
        <v>6066507620904</v>
      </c>
      <c r="H115" s="98"/>
    </row>
    <row r="116" spans="1:8" ht="21" x14ac:dyDescent="0.15">
      <c r="A116" s="191" t="s">
        <v>865</v>
      </c>
      <c r="B116" s="192" t="s">
        <v>1028</v>
      </c>
      <c r="C116" s="193" t="s">
        <v>1029</v>
      </c>
      <c r="D116" s="193"/>
      <c r="E116" s="194">
        <v>6066507620904</v>
      </c>
      <c r="F116" s="195">
        <v>3961783296675</v>
      </c>
      <c r="H116" s="98"/>
    </row>
    <row r="117" spans="1:8" ht="21" x14ac:dyDescent="0.15">
      <c r="A117" s="191" t="s">
        <v>870</v>
      </c>
      <c r="B117" s="192" t="s">
        <v>1030</v>
      </c>
      <c r="C117" s="193" t="s">
        <v>1031</v>
      </c>
      <c r="D117" s="193"/>
      <c r="E117" s="194">
        <v>-455829721744</v>
      </c>
      <c r="F117" s="195">
        <v>2104724324229</v>
      </c>
      <c r="H117" s="98"/>
    </row>
    <row r="118" spans="1:8" ht="31.5" x14ac:dyDescent="0.15">
      <c r="A118" s="201" t="s">
        <v>340</v>
      </c>
      <c r="B118" s="202" t="s">
        <v>1032</v>
      </c>
      <c r="C118" s="203" t="s">
        <v>1033</v>
      </c>
      <c r="D118" s="203"/>
      <c r="E118" s="206">
        <v>25953.08</v>
      </c>
      <c r="F118" s="207">
        <v>26530.560000000001</v>
      </c>
      <c r="H118" s="98"/>
    </row>
    <row r="119" spans="1:8" ht="21" x14ac:dyDescent="0.15">
      <c r="A119" s="184" t="s">
        <v>353</v>
      </c>
      <c r="B119" s="185" t="s">
        <v>1034</v>
      </c>
      <c r="C119" s="186" t="s">
        <v>1035</v>
      </c>
      <c r="D119" s="186"/>
      <c r="E119" s="189">
        <f>E120+E121</f>
        <v>0</v>
      </c>
      <c r="F119" s="190">
        <f>F120+F121</f>
        <v>0</v>
      </c>
      <c r="H119" s="98"/>
    </row>
    <row r="120" spans="1:8" ht="31.5" x14ac:dyDescent="0.15">
      <c r="A120" s="191" t="s">
        <v>3</v>
      </c>
      <c r="B120" s="192" t="s">
        <v>1036</v>
      </c>
      <c r="C120" s="193" t="s">
        <v>1037</v>
      </c>
      <c r="D120" s="193"/>
      <c r="E120" s="194">
        <v>0</v>
      </c>
      <c r="F120" s="195">
        <v>0</v>
      </c>
      <c r="H120" s="98"/>
    </row>
    <row r="121" spans="1:8" ht="31.5" x14ac:dyDescent="0.15">
      <c r="A121" s="191" t="s">
        <v>8</v>
      </c>
      <c r="B121" s="192" t="s">
        <v>1038</v>
      </c>
      <c r="C121" s="193" t="s">
        <v>1039</v>
      </c>
      <c r="D121" s="193"/>
      <c r="E121" s="194">
        <v>0</v>
      </c>
      <c r="F121" s="195">
        <v>0</v>
      </c>
      <c r="H121" s="98"/>
    </row>
    <row r="122" spans="1:8" ht="31.5" x14ac:dyDescent="0.15">
      <c r="A122" s="184" t="s">
        <v>356</v>
      </c>
      <c r="B122" s="185" t="s">
        <v>1040</v>
      </c>
      <c r="C122" s="186" t="s">
        <v>356</v>
      </c>
      <c r="D122" s="186"/>
      <c r="E122" s="189">
        <v>0</v>
      </c>
      <c r="F122" s="190">
        <v>0</v>
      </c>
      <c r="H122" s="98"/>
    </row>
    <row r="123" spans="1:8" ht="21" x14ac:dyDescent="0.15">
      <c r="A123" s="191" t="s">
        <v>3</v>
      </c>
      <c r="B123" s="192" t="s">
        <v>1041</v>
      </c>
      <c r="C123" s="193" t="s">
        <v>1042</v>
      </c>
      <c r="D123" s="193"/>
      <c r="E123" s="194">
        <v>0</v>
      </c>
      <c r="F123" s="195">
        <v>0</v>
      </c>
      <c r="H123" s="98"/>
    </row>
    <row r="124" spans="1:8" ht="21" x14ac:dyDescent="0.15">
      <c r="A124" s="191" t="s">
        <v>8</v>
      </c>
      <c r="B124" s="192" t="s">
        <v>1043</v>
      </c>
      <c r="C124" s="193" t="s">
        <v>1044</v>
      </c>
      <c r="D124" s="193"/>
      <c r="E124" s="194">
        <v>0</v>
      </c>
      <c r="F124" s="195">
        <v>0</v>
      </c>
      <c r="H124" s="98"/>
    </row>
    <row r="125" spans="1:8" ht="21" x14ac:dyDescent="0.15">
      <c r="A125" s="191" t="s">
        <v>13</v>
      </c>
      <c r="B125" s="192" t="s">
        <v>1045</v>
      </c>
      <c r="C125" s="193" t="s">
        <v>1046</v>
      </c>
      <c r="D125" s="193"/>
      <c r="E125" s="194">
        <v>0</v>
      </c>
      <c r="F125" s="195">
        <v>0</v>
      </c>
      <c r="H125" s="98"/>
    </row>
    <row r="126" spans="1:8" ht="21" x14ac:dyDescent="0.15">
      <c r="A126" s="191" t="s">
        <v>18</v>
      </c>
      <c r="B126" s="192" t="s">
        <v>1047</v>
      </c>
      <c r="C126" s="193" t="s">
        <v>1048</v>
      </c>
      <c r="D126" s="193"/>
      <c r="E126" s="194">
        <v>665100000</v>
      </c>
      <c r="F126" s="195">
        <v>733700000</v>
      </c>
      <c r="H126" s="98"/>
    </row>
    <row r="127" spans="1:8" ht="42" x14ac:dyDescent="0.15">
      <c r="A127" s="191">
        <v>5</v>
      </c>
      <c r="B127" s="192" t="s">
        <v>1142</v>
      </c>
      <c r="C127" s="193" t="s">
        <v>1143</v>
      </c>
      <c r="D127" s="193"/>
      <c r="E127" s="194"/>
      <c r="F127" s="195"/>
      <c r="H127" s="98"/>
    </row>
    <row r="128" spans="1:8" x14ac:dyDescent="0.15">
      <c r="A128" s="191"/>
      <c r="B128" s="192" t="s">
        <v>394</v>
      </c>
      <c r="C128" s="193"/>
      <c r="D128" s="193"/>
      <c r="E128" s="194">
        <v>33000</v>
      </c>
      <c r="F128" s="195"/>
      <c r="H128" s="98"/>
    </row>
    <row r="129" spans="1:8" x14ac:dyDescent="0.15">
      <c r="A129" s="191"/>
      <c r="B129" s="192" t="s">
        <v>398</v>
      </c>
      <c r="C129" s="193"/>
      <c r="D129" s="193"/>
      <c r="E129" s="194">
        <v>15717</v>
      </c>
      <c r="F129" s="195"/>
      <c r="H129" s="98"/>
    </row>
    <row r="130" spans="1:8" x14ac:dyDescent="0.15">
      <c r="A130" s="191"/>
      <c r="B130" s="192" t="s">
        <v>406</v>
      </c>
      <c r="C130" s="193"/>
      <c r="D130" s="193"/>
      <c r="E130" s="194">
        <v>54300</v>
      </c>
      <c r="F130" s="195"/>
      <c r="H130" s="98"/>
    </row>
    <row r="131" spans="1:8" x14ac:dyDescent="0.15">
      <c r="A131" s="191"/>
      <c r="B131" s="192" t="s">
        <v>418</v>
      </c>
      <c r="C131" s="193"/>
      <c r="D131" s="193"/>
      <c r="E131" s="194">
        <v>17767</v>
      </c>
      <c r="F131" s="195"/>
      <c r="H131" s="98"/>
    </row>
    <row r="132" spans="1:8" x14ac:dyDescent="0.15">
      <c r="A132" s="191"/>
      <c r="B132" s="192" t="s">
        <v>424</v>
      </c>
      <c r="C132" s="193"/>
      <c r="D132" s="193"/>
      <c r="E132" s="194">
        <v>43200</v>
      </c>
      <c r="F132" s="195"/>
      <c r="H132" s="98"/>
    </row>
    <row r="133" spans="1:8" x14ac:dyDescent="0.15">
      <c r="A133" s="208"/>
      <c r="B133" s="209" t="s">
        <v>430</v>
      </c>
      <c r="C133" s="210"/>
      <c r="D133" s="210"/>
      <c r="E133" s="211">
        <v>26400</v>
      </c>
      <c r="F133" s="212"/>
      <c r="H133" s="98"/>
    </row>
    <row r="134" spans="1:8" x14ac:dyDescent="0.15">
      <c r="A134" s="213"/>
      <c r="B134" s="214"/>
      <c r="C134" s="215"/>
      <c r="D134" s="215"/>
      <c r="E134" s="216"/>
      <c r="F134" s="216"/>
    </row>
    <row r="135" spans="1:8" s="114" customFormat="1" ht="15" customHeight="1" x14ac:dyDescent="0.25">
      <c r="A135" s="374" t="s">
        <v>601</v>
      </c>
      <c r="B135" s="374"/>
      <c r="C135" s="374" t="s">
        <v>1144</v>
      </c>
      <c r="D135" s="374"/>
      <c r="E135" s="374" t="s">
        <v>227</v>
      </c>
      <c r="F135" s="374"/>
    </row>
    <row r="136" spans="1:8" s="114" customFormat="1" ht="15" customHeight="1" x14ac:dyDescent="0.25">
      <c r="A136" s="375" t="s">
        <v>602</v>
      </c>
      <c r="B136" s="375"/>
      <c r="C136" s="375" t="s">
        <v>602</v>
      </c>
      <c r="D136" s="375"/>
      <c r="E136" s="375" t="s">
        <v>603</v>
      </c>
      <c r="F136" s="375"/>
    </row>
    <row r="137" spans="1:8" ht="97.5" customHeight="1" x14ac:dyDescent="0.15">
      <c r="A137" s="370"/>
      <c r="B137" s="370"/>
      <c r="C137" s="370"/>
      <c r="D137" s="370"/>
      <c r="E137" s="370"/>
      <c r="F137" s="370"/>
    </row>
    <row r="138" spans="1:8" s="114" customFormat="1" ht="15.75" customHeight="1" x14ac:dyDescent="0.25">
      <c r="A138" s="374" t="s">
        <v>604</v>
      </c>
      <c r="B138" s="374"/>
      <c r="C138" s="374" t="s">
        <v>1141</v>
      </c>
      <c r="D138" s="374"/>
      <c r="E138" s="374" t="s">
        <v>229</v>
      </c>
      <c r="F138" s="374"/>
    </row>
    <row r="139" spans="1:8" x14ac:dyDescent="0.15">
      <c r="A139" s="318"/>
      <c r="B139" s="318"/>
      <c r="C139" s="318"/>
      <c r="D139" s="318"/>
      <c r="E139" s="318"/>
      <c r="F139" s="318"/>
    </row>
  </sheetData>
  <mergeCells count="36">
    <mergeCell ref="A138:B138"/>
    <mergeCell ref="C138:D138"/>
    <mergeCell ref="E138:F138"/>
    <mergeCell ref="A139:B139"/>
    <mergeCell ref="C139:D139"/>
    <mergeCell ref="E139:F139"/>
    <mergeCell ref="A136:B136"/>
    <mergeCell ref="C136:D136"/>
    <mergeCell ref="E136:F136"/>
    <mergeCell ref="A137:B137"/>
    <mergeCell ref="C137:D137"/>
    <mergeCell ref="E137:F137"/>
    <mergeCell ref="A135:B135"/>
    <mergeCell ref="C135:D135"/>
    <mergeCell ref="E135:F135"/>
    <mergeCell ref="A15:B15"/>
    <mergeCell ref="C15:F15"/>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38" bottom="0.4" header="0.37" footer="0.33"/>
  <pageSetup paperSize="9" scale="96"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topLeftCell="A20" zoomScaleNormal="100" zoomScaleSheetLayoutView="100" workbookViewId="0">
      <selection activeCell="E29" sqref="E29"/>
    </sheetView>
  </sheetViews>
  <sheetFormatPr defaultColWidth="9.140625" defaultRowHeight="10.5" x14ac:dyDescent="0.15"/>
  <cols>
    <col min="1" max="1" width="4.140625" style="83" customWidth="1"/>
    <col min="2" max="2" width="39.28515625" style="83" customWidth="1"/>
    <col min="3" max="3" width="7.42578125" style="83" bestFit="1" customWidth="1"/>
    <col min="4" max="5" width="28.7109375" style="83" customWidth="1"/>
    <col min="6" max="6" width="9.140625" style="83"/>
    <col min="7" max="7" width="15.7109375" style="83" bestFit="1" customWidth="1"/>
    <col min="8" max="16384" width="9.140625" style="83"/>
  </cols>
  <sheetData>
    <row r="1" spans="1:7" ht="34.5" customHeight="1" x14ac:dyDescent="0.15">
      <c r="A1" s="84"/>
      <c r="B1" s="218" t="s">
        <v>571</v>
      </c>
      <c r="C1" s="376" t="s">
        <v>1145</v>
      </c>
      <c r="D1" s="376"/>
      <c r="E1" s="376"/>
    </row>
    <row r="2" spans="1:7" ht="22.5" customHeight="1" x14ac:dyDescent="0.15">
      <c r="A2" s="377" t="s">
        <v>572</v>
      </c>
      <c r="B2" s="377"/>
      <c r="C2" s="377"/>
      <c r="D2" s="377"/>
      <c r="E2" s="377"/>
    </row>
    <row r="3" spans="1:7" ht="6" customHeight="1" x14ac:dyDescent="0.15">
      <c r="A3" s="84"/>
      <c r="B3" s="84"/>
      <c r="C3" s="84"/>
      <c r="D3" s="308"/>
      <c r="E3" s="308"/>
    </row>
    <row r="4" spans="1:7" ht="31.5" customHeight="1" x14ac:dyDescent="0.15">
      <c r="A4" s="311" t="s">
        <v>573</v>
      </c>
      <c r="B4" s="311"/>
      <c r="C4" s="311"/>
      <c r="D4" s="311"/>
      <c r="E4" s="311"/>
    </row>
    <row r="5" spans="1:7" ht="15.75" customHeight="1" x14ac:dyDescent="0.15">
      <c r="A5" s="319" t="s">
        <v>1134</v>
      </c>
      <c r="B5" s="319"/>
      <c r="C5" s="319"/>
      <c r="D5" s="319"/>
      <c r="E5" s="319"/>
    </row>
    <row r="6" spans="1:7" ht="3.75" customHeight="1" x14ac:dyDescent="0.15">
      <c r="A6" s="84"/>
      <c r="B6" s="84"/>
      <c r="C6" s="84"/>
      <c r="D6" s="308"/>
      <c r="E6" s="308"/>
    </row>
    <row r="7" spans="1:7" ht="12.75" customHeight="1" x14ac:dyDescent="0.15">
      <c r="A7" s="307" t="s">
        <v>574</v>
      </c>
      <c r="B7" s="307"/>
      <c r="C7" s="307" t="s">
        <v>10</v>
      </c>
      <c r="D7" s="307"/>
      <c r="E7" s="307"/>
    </row>
    <row r="8" spans="1:7" ht="12.75" customHeight="1" x14ac:dyDescent="0.15">
      <c r="A8" s="308" t="s">
        <v>11</v>
      </c>
      <c r="B8" s="308"/>
      <c r="C8" s="308" t="s">
        <v>12</v>
      </c>
      <c r="D8" s="308"/>
      <c r="E8" s="308"/>
    </row>
    <row r="9" spans="1:7" ht="12.75" customHeight="1" x14ac:dyDescent="0.15">
      <c r="A9" s="307" t="s">
        <v>14</v>
      </c>
      <c r="B9" s="307"/>
      <c r="C9" s="307" t="s">
        <v>15</v>
      </c>
      <c r="D9" s="307"/>
      <c r="E9" s="307"/>
    </row>
    <row r="10" spans="1:7" ht="12.75" customHeight="1" x14ac:dyDescent="0.15">
      <c r="A10" s="308" t="s">
        <v>575</v>
      </c>
      <c r="B10" s="308"/>
      <c r="C10" s="308" t="s">
        <v>17</v>
      </c>
      <c r="D10" s="308"/>
      <c r="E10" s="308"/>
    </row>
    <row r="11" spans="1:7" ht="12.75" customHeight="1" x14ac:dyDescent="0.15">
      <c r="A11" s="307" t="s">
        <v>576</v>
      </c>
      <c r="B11" s="307"/>
      <c r="C11" s="313">
        <v>45303</v>
      </c>
      <c r="D11" s="313"/>
      <c r="E11" s="313"/>
    </row>
    <row r="12" spans="1:7" ht="12.75" customHeight="1" x14ac:dyDescent="0.15">
      <c r="A12" s="308" t="s">
        <v>577</v>
      </c>
      <c r="B12" s="308"/>
      <c r="C12" s="314">
        <v>45303</v>
      </c>
      <c r="D12" s="314"/>
      <c r="E12" s="314"/>
    </row>
    <row r="13" spans="1:7" ht="12.75" customHeight="1" x14ac:dyDescent="0.15">
      <c r="A13" s="87"/>
      <c r="B13" s="87"/>
      <c r="C13" s="87"/>
      <c r="D13" s="316" t="s">
        <v>578</v>
      </c>
      <c r="E13" s="316"/>
    </row>
    <row r="14" spans="1:7" ht="42" customHeight="1" x14ac:dyDescent="0.15">
      <c r="A14" s="89" t="s">
        <v>24</v>
      </c>
      <c r="B14" s="90" t="s">
        <v>579</v>
      </c>
      <c r="C14" s="90" t="s">
        <v>580</v>
      </c>
      <c r="D14" s="90" t="s">
        <v>1137</v>
      </c>
      <c r="E14" s="91" t="s">
        <v>1138</v>
      </c>
    </row>
    <row r="15" spans="1:7" ht="32.25" customHeight="1" x14ac:dyDescent="0.15">
      <c r="A15" s="219" t="s">
        <v>30</v>
      </c>
      <c r="B15" s="220" t="s">
        <v>581</v>
      </c>
      <c r="C15" s="221" t="s">
        <v>582</v>
      </c>
      <c r="D15" s="189">
        <v>19465472840241</v>
      </c>
      <c r="E15" s="190">
        <v>19082391579937</v>
      </c>
      <c r="G15" s="98"/>
    </row>
    <row r="16" spans="1:7" ht="42" x14ac:dyDescent="0.15">
      <c r="A16" s="219" t="s">
        <v>120</v>
      </c>
      <c r="B16" s="220" t="s">
        <v>583</v>
      </c>
      <c r="C16" s="221" t="s">
        <v>584</v>
      </c>
      <c r="D16" s="189">
        <v>-455829721744</v>
      </c>
      <c r="E16" s="190">
        <v>2104724324229</v>
      </c>
      <c r="G16" s="98"/>
    </row>
    <row r="17" spans="1:7" ht="42" x14ac:dyDescent="0.15">
      <c r="A17" s="222" t="s">
        <v>123</v>
      </c>
      <c r="B17" s="223" t="s">
        <v>585</v>
      </c>
      <c r="C17" s="224" t="s">
        <v>586</v>
      </c>
      <c r="D17" s="194">
        <v>-455829721744</v>
      </c>
      <c r="E17" s="195">
        <v>2104724324229</v>
      </c>
      <c r="G17" s="98"/>
    </row>
    <row r="18" spans="1:7" ht="42" x14ac:dyDescent="0.15">
      <c r="A18" s="222" t="s">
        <v>125</v>
      </c>
      <c r="B18" s="223" t="s">
        <v>587</v>
      </c>
      <c r="C18" s="224" t="s">
        <v>588</v>
      </c>
      <c r="D18" s="194">
        <v>0</v>
      </c>
      <c r="E18" s="195">
        <v>0</v>
      </c>
      <c r="G18" s="98"/>
    </row>
    <row r="19" spans="1:7" ht="44.25" customHeight="1" x14ac:dyDescent="0.15">
      <c r="A19" s="219" t="s">
        <v>337</v>
      </c>
      <c r="B19" s="220" t="s">
        <v>589</v>
      </c>
      <c r="C19" s="221" t="s">
        <v>590</v>
      </c>
      <c r="D19" s="189">
        <v>-1748248305360</v>
      </c>
      <c r="E19" s="190">
        <v>-1721643063925</v>
      </c>
      <c r="G19" s="98"/>
    </row>
    <row r="20" spans="1:7" ht="32.25" customHeight="1" x14ac:dyDescent="0.15">
      <c r="A20" s="222" t="s">
        <v>591</v>
      </c>
      <c r="B20" s="223" t="s">
        <v>592</v>
      </c>
      <c r="C20" s="224" t="s">
        <v>593</v>
      </c>
      <c r="D20" s="194">
        <v>436969315341</v>
      </c>
      <c r="E20" s="195">
        <v>302332569284</v>
      </c>
      <c r="G20" s="98"/>
    </row>
    <row r="21" spans="1:7" ht="32.25" customHeight="1" x14ac:dyDescent="0.15">
      <c r="A21" s="222" t="s">
        <v>594</v>
      </c>
      <c r="B21" s="223" t="s">
        <v>595</v>
      </c>
      <c r="C21" s="224" t="s">
        <v>596</v>
      </c>
      <c r="D21" s="194">
        <v>-2185217620701</v>
      </c>
      <c r="E21" s="195">
        <v>-2023975633209</v>
      </c>
      <c r="G21" s="98"/>
    </row>
    <row r="22" spans="1:7" ht="32.25" customHeight="1" x14ac:dyDescent="0.15">
      <c r="A22" s="219" t="s">
        <v>340</v>
      </c>
      <c r="B22" s="220" t="s">
        <v>597</v>
      </c>
      <c r="C22" s="221" t="s">
        <v>598</v>
      </c>
      <c r="D22" s="189">
        <v>17261394813137</v>
      </c>
      <c r="E22" s="190">
        <v>19465472840241</v>
      </c>
      <c r="G22" s="98"/>
    </row>
    <row r="23" spans="1:7" ht="32.25" customHeight="1" x14ac:dyDescent="0.15">
      <c r="A23" s="225" t="s">
        <v>353</v>
      </c>
      <c r="B23" s="226" t="s">
        <v>599</v>
      </c>
      <c r="C23" s="227" t="s">
        <v>600</v>
      </c>
      <c r="D23" s="228">
        <v>25953.08</v>
      </c>
      <c r="E23" s="229">
        <v>26530.560000000001</v>
      </c>
      <c r="F23" s="230"/>
      <c r="G23" s="98"/>
    </row>
    <row r="24" spans="1:7" ht="15.75" customHeight="1" x14ac:dyDescent="0.15">
      <c r="A24" s="308"/>
      <c r="B24" s="308"/>
      <c r="C24" s="308"/>
      <c r="D24" s="308"/>
      <c r="E24" s="84"/>
    </row>
    <row r="25" spans="1:7" s="231" customFormat="1" ht="21" customHeight="1" x14ac:dyDescent="0.25">
      <c r="A25" s="374" t="s">
        <v>601</v>
      </c>
      <c r="B25" s="374"/>
      <c r="C25" s="374" t="s">
        <v>1144</v>
      </c>
      <c r="D25" s="374"/>
      <c r="E25" s="217" t="s">
        <v>227</v>
      </c>
    </row>
    <row r="26" spans="1:7" s="114" customFormat="1" ht="15.75" customHeight="1" x14ac:dyDescent="0.25">
      <c r="A26" s="378" t="s">
        <v>602</v>
      </c>
      <c r="B26" s="378"/>
      <c r="C26" s="319" t="s">
        <v>602</v>
      </c>
      <c r="D26" s="319"/>
      <c r="E26" s="180" t="s">
        <v>602</v>
      </c>
    </row>
    <row r="27" spans="1:7" ht="87.75" customHeight="1" x14ac:dyDescent="0.15">
      <c r="A27" s="308"/>
      <c r="B27" s="308"/>
      <c r="C27" s="308"/>
      <c r="D27" s="308"/>
      <c r="E27" s="232"/>
    </row>
    <row r="28" spans="1:7" ht="15.75" customHeight="1" x14ac:dyDescent="0.15">
      <c r="A28" s="318" t="s">
        <v>604</v>
      </c>
      <c r="B28" s="318"/>
      <c r="C28" s="318" t="s">
        <v>1141</v>
      </c>
      <c r="D28" s="318"/>
      <c r="E28" s="85" t="s">
        <v>229</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 right="0" top="0.5899999737739563" bottom="0.5899999737739563" header="0.5" footer="0.5"/>
  <pageSetup paperSize="9" scale="9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73"/>
  <sheetViews>
    <sheetView showGridLines="0" showZeros="0" showOutlineSymbols="0" view="pageBreakPreview" zoomScaleNormal="100" zoomScaleSheetLayoutView="100" workbookViewId="0"/>
  </sheetViews>
  <sheetFormatPr defaultRowHeight="10.5" x14ac:dyDescent="0.25"/>
  <cols>
    <col min="1" max="1" width="31.28515625" style="234" customWidth="1"/>
    <col min="2" max="2" width="7" style="234" customWidth="1"/>
    <col min="3" max="3" width="7" style="267" customWidth="1"/>
    <col min="4" max="4" width="7.5703125" style="267" customWidth="1"/>
    <col min="5" max="6" width="21.42578125" style="268" customWidth="1"/>
    <col min="7" max="7" width="13.140625" style="234" bestFit="1" customWidth="1"/>
    <col min="8" max="255" width="9.140625" style="234"/>
    <col min="256" max="256" width="31.28515625" style="234" customWidth="1"/>
    <col min="257" max="258" width="6.42578125" style="234" customWidth="1"/>
    <col min="259" max="259" width="11.7109375" style="234" customWidth="1"/>
    <col min="260" max="260" width="21.42578125" style="234" customWidth="1"/>
    <col min="261" max="261" width="24.5703125" style="234" customWidth="1"/>
    <col min="262" max="511" width="9.140625" style="234"/>
    <col min="512" max="512" width="31.28515625" style="234" customWidth="1"/>
    <col min="513" max="514" width="6.42578125" style="234" customWidth="1"/>
    <col min="515" max="515" width="11.7109375" style="234" customWidth="1"/>
    <col min="516" max="516" width="21.42578125" style="234" customWidth="1"/>
    <col min="517" max="517" width="24.5703125" style="234" customWidth="1"/>
    <col min="518" max="767" width="9.140625" style="234"/>
    <col min="768" max="768" width="31.28515625" style="234" customWidth="1"/>
    <col min="769" max="770" width="6.42578125" style="234" customWidth="1"/>
    <col min="771" max="771" width="11.7109375" style="234" customWidth="1"/>
    <col min="772" max="772" width="21.42578125" style="234" customWidth="1"/>
    <col min="773" max="773" width="24.5703125" style="234" customWidth="1"/>
    <col min="774" max="1023" width="9.140625" style="234"/>
    <col min="1024" max="1024" width="31.28515625" style="234" customWidth="1"/>
    <col min="1025" max="1026" width="6.42578125" style="234" customWidth="1"/>
    <col min="1027" max="1027" width="11.7109375" style="234" customWidth="1"/>
    <col min="1028" max="1028" width="21.42578125" style="234" customWidth="1"/>
    <col min="1029" max="1029" width="24.5703125" style="234" customWidth="1"/>
    <col min="1030" max="1279" width="9.140625" style="234"/>
    <col min="1280" max="1280" width="31.28515625" style="234" customWidth="1"/>
    <col min="1281" max="1282" width="6.42578125" style="234" customWidth="1"/>
    <col min="1283" max="1283" width="11.7109375" style="234" customWidth="1"/>
    <col min="1284" max="1284" width="21.42578125" style="234" customWidth="1"/>
    <col min="1285" max="1285" width="24.5703125" style="234" customWidth="1"/>
    <col min="1286" max="1535" width="9.140625" style="234"/>
    <col min="1536" max="1536" width="31.28515625" style="234" customWidth="1"/>
    <col min="1537" max="1538" width="6.42578125" style="234" customWidth="1"/>
    <col min="1539" max="1539" width="11.7109375" style="234" customWidth="1"/>
    <col min="1540" max="1540" width="21.42578125" style="234" customWidth="1"/>
    <col min="1541" max="1541" width="24.5703125" style="234" customWidth="1"/>
    <col min="1542" max="1791" width="9.140625" style="234"/>
    <col min="1792" max="1792" width="31.28515625" style="234" customWidth="1"/>
    <col min="1793" max="1794" width="6.42578125" style="234" customWidth="1"/>
    <col min="1795" max="1795" width="11.7109375" style="234" customWidth="1"/>
    <col min="1796" max="1796" width="21.42578125" style="234" customWidth="1"/>
    <col min="1797" max="1797" width="24.5703125" style="234" customWidth="1"/>
    <col min="1798" max="2047" width="9.140625" style="234"/>
    <col min="2048" max="2048" width="31.28515625" style="234" customWidth="1"/>
    <col min="2049" max="2050" width="6.42578125" style="234" customWidth="1"/>
    <col min="2051" max="2051" width="11.7109375" style="234" customWidth="1"/>
    <col min="2052" max="2052" width="21.42578125" style="234" customWidth="1"/>
    <col min="2053" max="2053" width="24.5703125" style="234" customWidth="1"/>
    <col min="2054" max="2303" width="9.140625" style="234"/>
    <col min="2304" max="2304" width="31.28515625" style="234" customWidth="1"/>
    <col min="2305" max="2306" width="6.42578125" style="234" customWidth="1"/>
    <col min="2307" max="2307" width="11.7109375" style="234" customWidth="1"/>
    <col min="2308" max="2308" width="21.42578125" style="234" customWidth="1"/>
    <col min="2309" max="2309" width="24.5703125" style="234" customWidth="1"/>
    <col min="2310" max="2559" width="9.140625" style="234"/>
    <col min="2560" max="2560" width="31.28515625" style="234" customWidth="1"/>
    <col min="2561" max="2562" width="6.42578125" style="234" customWidth="1"/>
    <col min="2563" max="2563" width="11.7109375" style="234" customWidth="1"/>
    <col min="2564" max="2564" width="21.42578125" style="234" customWidth="1"/>
    <col min="2565" max="2565" width="24.5703125" style="234" customWidth="1"/>
    <col min="2566" max="2815" width="9.140625" style="234"/>
    <col min="2816" max="2816" width="31.28515625" style="234" customWidth="1"/>
    <col min="2817" max="2818" width="6.42578125" style="234" customWidth="1"/>
    <col min="2819" max="2819" width="11.7109375" style="234" customWidth="1"/>
    <col min="2820" max="2820" width="21.42578125" style="234" customWidth="1"/>
    <col min="2821" max="2821" width="24.5703125" style="234" customWidth="1"/>
    <col min="2822" max="3071" width="9.140625" style="234"/>
    <col min="3072" max="3072" width="31.28515625" style="234" customWidth="1"/>
    <col min="3073" max="3074" width="6.42578125" style="234" customWidth="1"/>
    <col min="3075" max="3075" width="11.7109375" style="234" customWidth="1"/>
    <col min="3076" max="3076" width="21.42578125" style="234" customWidth="1"/>
    <col min="3077" max="3077" width="24.5703125" style="234" customWidth="1"/>
    <col min="3078" max="3327" width="9.140625" style="234"/>
    <col min="3328" max="3328" width="31.28515625" style="234" customWidth="1"/>
    <col min="3329" max="3330" width="6.42578125" style="234" customWidth="1"/>
    <col min="3331" max="3331" width="11.7109375" style="234" customWidth="1"/>
    <col min="3332" max="3332" width="21.42578125" style="234" customWidth="1"/>
    <col min="3333" max="3333" width="24.5703125" style="234" customWidth="1"/>
    <col min="3334" max="3583" width="9.140625" style="234"/>
    <col min="3584" max="3584" width="31.28515625" style="234" customWidth="1"/>
    <col min="3585" max="3586" width="6.42578125" style="234" customWidth="1"/>
    <col min="3587" max="3587" width="11.7109375" style="234" customWidth="1"/>
    <col min="3588" max="3588" width="21.42578125" style="234" customWidth="1"/>
    <col min="3589" max="3589" width="24.5703125" style="234" customWidth="1"/>
    <col min="3590" max="3839" width="9.140625" style="234"/>
    <col min="3840" max="3840" width="31.28515625" style="234" customWidth="1"/>
    <col min="3841" max="3842" width="6.42578125" style="234" customWidth="1"/>
    <col min="3843" max="3843" width="11.7109375" style="234" customWidth="1"/>
    <col min="3844" max="3844" width="21.42578125" style="234" customWidth="1"/>
    <col min="3845" max="3845" width="24.5703125" style="234" customWidth="1"/>
    <col min="3846" max="4095" width="9.140625" style="234"/>
    <col min="4096" max="4096" width="31.28515625" style="234" customWidth="1"/>
    <col min="4097" max="4098" width="6.42578125" style="234" customWidth="1"/>
    <col min="4099" max="4099" width="11.7109375" style="234" customWidth="1"/>
    <col min="4100" max="4100" width="21.42578125" style="234" customWidth="1"/>
    <col min="4101" max="4101" width="24.5703125" style="234" customWidth="1"/>
    <col min="4102" max="4351" width="9.140625" style="234"/>
    <col min="4352" max="4352" width="31.28515625" style="234" customWidth="1"/>
    <col min="4353" max="4354" width="6.42578125" style="234" customWidth="1"/>
    <col min="4355" max="4355" width="11.7109375" style="234" customWidth="1"/>
    <col min="4356" max="4356" width="21.42578125" style="234" customWidth="1"/>
    <col min="4357" max="4357" width="24.5703125" style="234" customWidth="1"/>
    <col min="4358" max="4607" width="9.140625" style="234"/>
    <col min="4608" max="4608" width="31.28515625" style="234" customWidth="1"/>
    <col min="4609" max="4610" width="6.42578125" style="234" customWidth="1"/>
    <col min="4611" max="4611" width="11.7109375" style="234" customWidth="1"/>
    <col min="4612" max="4612" width="21.42578125" style="234" customWidth="1"/>
    <col min="4613" max="4613" width="24.5703125" style="234" customWidth="1"/>
    <col min="4614" max="4863" width="9.140625" style="234"/>
    <col min="4864" max="4864" width="31.28515625" style="234" customWidth="1"/>
    <col min="4865" max="4866" width="6.42578125" style="234" customWidth="1"/>
    <col min="4867" max="4867" width="11.7109375" style="234" customWidth="1"/>
    <col min="4868" max="4868" width="21.42578125" style="234" customWidth="1"/>
    <col min="4869" max="4869" width="24.5703125" style="234" customWidth="1"/>
    <col min="4870" max="5119" width="9.140625" style="234"/>
    <col min="5120" max="5120" width="31.28515625" style="234" customWidth="1"/>
    <col min="5121" max="5122" width="6.42578125" style="234" customWidth="1"/>
    <col min="5123" max="5123" width="11.7109375" style="234" customWidth="1"/>
    <col min="5124" max="5124" width="21.42578125" style="234" customWidth="1"/>
    <col min="5125" max="5125" width="24.5703125" style="234" customWidth="1"/>
    <col min="5126" max="5375" width="9.140625" style="234"/>
    <col min="5376" max="5376" width="31.28515625" style="234" customWidth="1"/>
    <col min="5377" max="5378" width="6.42578125" style="234" customWidth="1"/>
    <col min="5379" max="5379" width="11.7109375" style="234" customWidth="1"/>
    <col min="5380" max="5380" width="21.42578125" style="234" customWidth="1"/>
    <col min="5381" max="5381" width="24.5703125" style="234" customWidth="1"/>
    <col min="5382" max="5631" width="9.140625" style="234"/>
    <col min="5632" max="5632" width="31.28515625" style="234" customWidth="1"/>
    <col min="5633" max="5634" width="6.42578125" style="234" customWidth="1"/>
    <col min="5635" max="5635" width="11.7109375" style="234" customWidth="1"/>
    <col min="5636" max="5636" width="21.42578125" style="234" customWidth="1"/>
    <col min="5637" max="5637" width="24.5703125" style="234" customWidth="1"/>
    <col min="5638" max="5887" width="9.140625" style="234"/>
    <col min="5888" max="5888" width="31.28515625" style="234" customWidth="1"/>
    <col min="5889" max="5890" width="6.42578125" style="234" customWidth="1"/>
    <col min="5891" max="5891" width="11.7109375" style="234" customWidth="1"/>
    <col min="5892" max="5892" width="21.42578125" style="234" customWidth="1"/>
    <col min="5893" max="5893" width="24.5703125" style="234" customWidth="1"/>
    <col min="5894" max="6143" width="9.140625" style="234"/>
    <col min="6144" max="6144" width="31.28515625" style="234" customWidth="1"/>
    <col min="6145" max="6146" width="6.42578125" style="234" customWidth="1"/>
    <col min="6147" max="6147" width="11.7109375" style="234" customWidth="1"/>
    <col min="6148" max="6148" width="21.42578125" style="234" customWidth="1"/>
    <col min="6149" max="6149" width="24.5703125" style="234" customWidth="1"/>
    <col min="6150" max="6399" width="9.140625" style="234"/>
    <col min="6400" max="6400" width="31.28515625" style="234" customWidth="1"/>
    <col min="6401" max="6402" width="6.42578125" style="234" customWidth="1"/>
    <col min="6403" max="6403" width="11.7109375" style="234" customWidth="1"/>
    <col min="6404" max="6404" width="21.42578125" style="234" customWidth="1"/>
    <col min="6405" max="6405" width="24.5703125" style="234" customWidth="1"/>
    <col min="6406" max="6655" width="9.140625" style="234"/>
    <col min="6656" max="6656" width="31.28515625" style="234" customWidth="1"/>
    <col min="6657" max="6658" width="6.42578125" style="234" customWidth="1"/>
    <col min="6659" max="6659" width="11.7109375" style="234" customWidth="1"/>
    <col min="6660" max="6660" width="21.42578125" style="234" customWidth="1"/>
    <col min="6661" max="6661" width="24.5703125" style="234" customWidth="1"/>
    <col min="6662" max="6911" width="9.140625" style="234"/>
    <col min="6912" max="6912" width="31.28515625" style="234" customWidth="1"/>
    <col min="6913" max="6914" width="6.42578125" style="234" customWidth="1"/>
    <col min="6915" max="6915" width="11.7109375" style="234" customWidth="1"/>
    <col min="6916" max="6916" width="21.42578125" style="234" customWidth="1"/>
    <col min="6917" max="6917" width="24.5703125" style="234" customWidth="1"/>
    <col min="6918" max="7167" width="9.140625" style="234"/>
    <col min="7168" max="7168" width="31.28515625" style="234" customWidth="1"/>
    <col min="7169" max="7170" width="6.42578125" style="234" customWidth="1"/>
    <col min="7171" max="7171" width="11.7109375" style="234" customWidth="1"/>
    <col min="7172" max="7172" width="21.42578125" style="234" customWidth="1"/>
    <col min="7173" max="7173" width="24.5703125" style="234" customWidth="1"/>
    <col min="7174" max="7423" width="9.140625" style="234"/>
    <col min="7424" max="7424" width="31.28515625" style="234" customWidth="1"/>
    <col min="7425" max="7426" width="6.42578125" style="234" customWidth="1"/>
    <col min="7427" max="7427" width="11.7109375" style="234" customWidth="1"/>
    <col min="7428" max="7428" width="21.42578125" style="234" customWidth="1"/>
    <col min="7429" max="7429" width="24.5703125" style="234" customWidth="1"/>
    <col min="7430" max="7679" width="9.140625" style="234"/>
    <col min="7680" max="7680" width="31.28515625" style="234" customWidth="1"/>
    <col min="7681" max="7682" width="6.42578125" style="234" customWidth="1"/>
    <col min="7683" max="7683" width="11.7109375" style="234" customWidth="1"/>
    <col min="7684" max="7684" width="21.42578125" style="234" customWidth="1"/>
    <col min="7685" max="7685" width="24.5703125" style="234" customWidth="1"/>
    <col min="7686" max="7935" width="9.140625" style="234"/>
    <col min="7936" max="7936" width="31.28515625" style="234" customWidth="1"/>
    <col min="7937" max="7938" width="6.42578125" style="234" customWidth="1"/>
    <col min="7939" max="7939" width="11.7109375" style="234" customWidth="1"/>
    <col min="7940" max="7940" width="21.42578125" style="234" customWidth="1"/>
    <col min="7941" max="7941" width="24.5703125" style="234" customWidth="1"/>
    <col min="7942" max="8191" width="9.140625" style="234"/>
    <col min="8192" max="8192" width="31.28515625" style="234" customWidth="1"/>
    <col min="8193" max="8194" width="6.42578125" style="234" customWidth="1"/>
    <col min="8195" max="8195" width="11.7109375" style="234" customWidth="1"/>
    <col min="8196" max="8196" width="21.42578125" style="234" customWidth="1"/>
    <col min="8197" max="8197" width="24.5703125" style="234" customWidth="1"/>
    <col min="8198" max="8447" width="9.140625" style="234"/>
    <col min="8448" max="8448" width="31.28515625" style="234" customWidth="1"/>
    <col min="8449" max="8450" width="6.42578125" style="234" customWidth="1"/>
    <col min="8451" max="8451" width="11.7109375" style="234" customWidth="1"/>
    <col min="8452" max="8452" width="21.42578125" style="234" customWidth="1"/>
    <col min="8453" max="8453" width="24.5703125" style="234" customWidth="1"/>
    <col min="8454" max="8703" width="9.140625" style="234"/>
    <col min="8704" max="8704" width="31.28515625" style="234" customWidth="1"/>
    <col min="8705" max="8706" width="6.42578125" style="234" customWidth="1"/>
    <col min="8707" max="8707" width="11.7109375" style="234" customWidth="1"/>
    <col min="8708" max="8708" width="21.42578125" style="234" customWidth="1"/>
    <col min="8709" max="8709" width="24.5703125" style="234" customWidth="1"/>
    <col min="8710" max="8959" width="9.140625" style="234"/>
    <col min="8960" max="8960" width="31.28515625" style="234" customWidth="1"/>
    <col min="8961" max="8962" width="6.42578125" style="234" customWidth="1"/>
    <col min="8963" max="8963" width="11.7109375" style="234" customWidth="1"/>
    <col min="8964" max="8964" width="21.42578125" style="234" customWidth="1"/>
    <col min="8965" max="8965" width="24.5703125" style="234" customWidth="1"/>
    <col min="8966" max="9215" width="9.140625" style="234"/>
    <col min="9216" max="9216" width="31.28515625" style="234" customWidth="1"/>
    <col min="9217" max="9218" width="6.42578125" style="234" customWidth="1"/>
    <col min="9219" max="9219" width="11.7109375" style="234" customWidth="1"/>
    <col min="9220" max="9220" width="21.42578125" style="234" customWidth="1"/>
    <col min="9221" max="9221" width="24.5703125" style="234" customWidth="1"/>
    <col min="9222" max="9471" width="9.140625" style="234"/>
    <col min="9472" max="9472" width="31.28515625" style="234" customWidth="1"/>
    <col min="9473" max="9474" width="6.42578125" style="234" customWidth="1"/>
    <col min="9475" max="9475" width="11.7109375" style="234" customWidth="1"/>
    <col min="9476" max="9476" width="21.42578125" style="234" customWidth="1"/>
    <col min="9477" max="9477" width="24.5703125" style="234" customWidth="1"/>
    <col min="9478" max="9727" width="9.140625" style="234"/>
    <col min="9728" max="9728" width="31.28515625" style="234" customWidth="1"/>
    <col min="9729" max="9730" width="6.42578125" style="234" customWidth="1"/>
    <col min="9731" max="9731" width="11.7109375" style="234" customWidth="1"/>
    <col min="9732" max="9732" width="21.42578125" style="234" customWidth="1"/>
    <col min="9733" max="9733" width="24.5703125" style="234" customWidth="1"/>
    <col min="9734" max="9983" width="9.140625" style="234"/>
    <col min="9984" max="9984" width="31.28515625" style="234" customWidth="1"/>
    <col min="9985" max="9986" width="6.42578125" style="234" customWidth="1"/>
    <col min="9987" max="9987" width="11.7109375" style="234" customWidth="1"/>
    <col min="9988" max="9988" width="21.42578125" style="234" customWidth="1"/>
    <col min="9989" max="9989" width="24.5703125" style="234" customWidth="1"/>
    <col min="9990" max="10239" width="9.140625" style="234"/>
    <col min="10240" max="10240" width="31.28515625" style="234" customWidth="1"/>
    <col min="10241" max="10242" width="6.42578125" style="234" customWidth="1"/>
    <col min="10243" max="10243" width="11.7109375" style="234" customWidth="1"/>
    <col min="10244" max="10244" width="21.42578125" style="234" customWidth="1"/>
    <col min="10245" max="10245" width="24.5703125" style="234" customWidth="1"/>
    <col min="10246" max="10495" width="9.140625" style="234"/>
    <col min="10496" max="10496" width="31.28515625" style="234" customWidth="1"/>
    <col min="10497" max="10498" width="6.42578125" style="234" customWidth="1"/>
    <col min="10499" max="10499" width="11.7109375" style="234" customWidth="1"/>
    <col min="10500" max="10500" width="21.42578125" style="234" customWidth="1"/>
    <col min="10501" max="10501" width="24.5703125" style="234" customWidth="1"/>
    <col min="10502" max="10751" width="9.140625" style="234"/>
    <col min="10752" max="10752" width="31.28515625" style="234" customWidth="1"/>
    <col min="10753" max="10754" width="6.42578125" style="234" customWidth="1"/>
    <col min="10755" max="10755" width="11.7109375" style="234" customWidth="1"/>
    <col min="10756" max="10756" width="21.42578125" style="234" customWidth="1"/>
    <col min="10757" max="10757" width="24.5703125" style="234" customWidth="1"/>
    <col min="10758" max="11007" width="9.140625" style="234"/>
    <col min="11008" max="11008" width="31.28515625" style="234" customWidth="1"/>
    <col min="11009" max="11010" width="6.42578125" style="234" customWidth="1"/>
    <col min="11011" max="11011" width="11.7109375" style="234" customWidth="1"/>
    <col min="11012" max="11012" width="21.42578125" style="234" customWidth="1"/>
    <col min="11013" max="11013" width="24.5703125" style="234" customWidth="1"/>
    <col min="11014" max="11263" width="9.140625" style="234"/>
    <col min="11264" max="11264" width="31.28515625" style="234" customWidth="1"/>
    <col min="11265" max="11266" width="6.42578125" style="234" customWidth="1"/>
    <col min="11267" max="11267" width="11.7109375" style="234" customWidth="1"/>
    <col min="11268" max="11268" width="21.42578125" style="234" customWidth="1"/>
    <col min="11269" max="11269" width="24.5703125" style="234" customWidth="1"/>
    <col min="11270" max="11519" width="9.140625" style="234"/>
    <col min="11520" max="11520" width="31.28515625" style="234" customWidth="1"/>
    <col min="11521" max="11522" width="6.42578125" style="234" customWidth="1"/>
    <col min="11523" max="11523" width="11.7109375" style="234" customWidth="1"/>
    <col min="11524" max="11524" width="21.42578125" style="234" customWidth="1"/>
    <col min="11525" max="11525" width="24.5703125" style="234" customWidth="1"/>
    <col min="11526" max="11775" width="9.140625" style="234"/>
    <col min="11776" max="11776" width="31.28515625" style="234" customWidth="1"/>
    <col min="11777" max="11778" width="6.42578125" style="234" customWidth="1"/>
    <col min="11779" max="11779" width="11.7109375" style="234" customWidth="1"/>
    <col min="11780" max="11780" width="21.42578125" style="234" customWidth="1"/>
    <col min="11781" max="11781" width="24.5703125" style="234" customWidth="1"/>
    <col min="11782" max="12031" width="9.140625" style="234"/>
    <col min="12032" max="12032" width="31.28515625" style="234" customWidth="1"/>
    <col min="12033" max="12034" width="6.42578125" style="234" customWidth="1"/>
    <col min="12035" max="12035" width="11.7109375" style="234" customWidth="1"/>
    <col min="12036" max="12036" width="21.42578125" style="234" customWidth="1"/>
    <col min="12037" max="12037" width="24.5703125" style="234" customWidth="1"/>
    <col min="12038" max="12287" width="9.140625" style="234"/>
    <col min="12288" max="12288" width="31.28515625" style="234" customWidth="1"/>
    <col min="12289" max="12290" width="6.42578125" style="234" customWidth="1"/>
    <col min="12291" max="12291" width="11.7109375" style="234" customWidth="1"/>
    <col min="12292" max="12292" width="21.42578125" style="234" customWidth="1"/>
    <col min="12293" max="12293" width="24.5703125" style="234" customWidth="1"/>
    <col min="12294" max="12543" width="9.140625" style="234"/>
    <col min="12544" max="12544" width="31.28515625" style="234" customWidth="1"/>
    <col min="12545" max="12546" width="6.42578125" style="234" customWidth="1"/>
    <col min="12547" max="12547" width="11.7109375" style="234" customWidth="1"/>
    <col min="12548" max="12548" width="21.42578125" style="234" customWidth="1"/>
    <col min="12549" max="12549" width="24.5703125" style="234" customWidth="1"/>
    <col min="12550" max="12799" width="9.140625" style="234"/>
    <col min="12800" max="12800" width="31.28515625" style="234" customWidth="1"/>
    <col min="12801" max="12802" width="6.42578125" style="234" customWidth="1"/>
    <col min="12803" max="12803" width="11.7109375" style="234" customWidth="1"/>
    <col min="12804" max="12804" width="21.42578125" style="234" customWidth="1"/>
    <col min="12805" max="12805" width="24.5703125" style="234" customWidth="1"/>
    <col min="12806" max="13055" width="9.140625" style="234"/>
    <col min="13056" max="13056" width="31.28515625" style="234" customWidth="1"/>
    <col min="13057" max="13058" width="6.42578125" style="234" customWidth="1"/>
    <col min="13059" max="13059" width="11.7109375" style="234" customWidth="1"/>
    <col min="13060" max="13060" width="21.42578125" style="234" customWidth="1"/>
    <col min="13061" max="13061" width="24.5703125" style="234" customWidth="1"/>
    <col min="13062" max="13311" width="9.140625" style="234"/>
    <col min="13312" max="13312" width="31.28515625" style="234" customWidth="1"/>
    <col min="13313" max="13314" width="6.42578125" style="234" customWidth="1"/>
    <col min="13315" max="13315" width="11.7109375" style="234" customWidth="1"/>
    <col min="13316" max="13316" width="21.42578125" style="234" customWidth="1"/>
    <col min="13317" max="13317" width="24.5703125" style="234" customWidth="1"/>
    <col min="13318" max="13567" width="9.140625" style="234"/>
    <col min="13568" max="13568" width="31.28515625" style="234" customWidth="1"/>
    <col min="13569" max="13570" width="6.42578125" style="234" customWidth="1"/>
    <col min="13571" max="13571" width="11.7109375" style="234" customWidth="1"/>
    <col min="13572" max="13572" width="21.42578125" style="234" customWidth="1"/>
    <col min="13573" max="13573" width="24.5703125" style="234" customWidth="1"/>
    <col min="13574" max="13823" width="9.140625" style="234"/>
    <col min="13824" max="13824" width="31.28515625" style="234" customWidth="1"/>
    <col min="13825" max="13826" width="6.42578125" style="234" customWidth="1"/>
    <col min="13827" max="13827" width="11.7109375" style="234" customWidth="1"/>
    <col min="13828" max="13828" width="21.42578125" style="234" customWidth="1"/>
    <col min="13829" max="13829" width="24.5703125" style="234" customWidth="1"/>
    <col min="13830" max="14079" width="9.140625" style="234"/>
    <col min="14080" max="14080" width="31.28515625" style="234" customWidth="1"/>
    <col min="14081" max="14082" width="6.42578125" style="234" customWidth="1"/>
    <col min="14083" max="14083" width="11.7109375" style="234" customWidth="1"/>
    <col min="14084" max="14084" width="21.42578125" style="234" customWidth="1"/>
    <col min="14085" max="14085" width="24.5703125" style="234" customWidth="1"/>
    <col min="14086" max="14335" width="9.140625" style="234"/>
    <col min="14336" max="14336" width="31.28515625" style="234" customWidth="1"/>
    <col min="14337" max="14338" width="6.42578125" style="234" customWidth="1"/>
    <col min="14339" max="14339" width="11.7109375" style="234" customWidth="1"/>
    <col min="14340" max="14340" width="21.42578125" style="234" customWidth="1"/>
    <col min="14341" max="14341" width="24.5703125" style="234" customWidth="1"/>
    <col min="14342" max="14591" width="9.140625" style="234"/>
    <col min="14592" max="14592" width="31.28515625" style="234" customWidth="1"/>
    <col min="14593" max="14594" width="6.42578125" style="234" customWidth="1"/>
    <col min="14595" max="14595" width="11.7109375" style="234" customWidth="1"/>
    <col min="14596" max="14596" width="21.42578125" style="234" customWidth="1"/>
    <col min="14597" max="14597" width="24.5703125" style="234" customWidth="1"/>
    <col min="14598" max="14847" width="9.140625" style="234"/>
    <col min="14848" max="14848" width="31.28515625" style="234" customWidth="1"/>
    <col min="14849" max="14850" width="6.42578125" style="234" customWidth="1"/>
    <col min="14851" max="14851" width="11.7109375" style="234" customWidth="1"/>
    <col min="14852" max="14852" width="21.42578125" style="234" customWidth="1"/>
    <col min="14853" max="14853" width="24.5703125" style="234" customWidth="1"/>
    <col min="14854" max="15103" width="9.140625" style="234"/>
    <col min="15104" max="15104" width="31.28515625" style="234" customWidth="1"/>
    <col min="15105" max="15106" width="6.42578125" style="234" customWidth="1"/>
    <col min="15107" max="15107" width="11.7109375" style="234" customWidth="1"/>
    <col min="15108" max="15108" width="21.42578125" style="234" customWidth="1"/>
    <col min="15109" max="15109" width="24.5703125" style="234" customWidth="1"/>
    <col min="15110" max="15359" width="9.140625" style="234"/>
    <col min="15360" max="15360" width="31.28515625" style="234" customWidth="1"/>
    <col min="15361" max="15362" width="6.42578125" style="234" customWidth="1"/>
    <col min="15363" max="15363" width="11.7109375" style="234" customWidth="1"/>
    <col min="15364" max="15364" width="21.42578125" style="234" customWidth="1"/>
    <col min="15365" max="15365" width="24.5703125" style="234" customWidth="1"/>
    <col min="15366" max="15615" width="9.140625" style="234"/>
    <col min="15616" max="15616" width="31.28515625" style="234" customWidth="1"/>
    <col min="15617" max="15618" width="6.42578125" style="234" customWidth="1"/>
    <col min="15619" max="15619" width="11.7109375" style="234" customWidth="1"/>
    <col min="15620" max="15620" width="21.42578125" style="234" customWidth="1"/>
    <col min="15621" max="15621" width="24.5703125" style="234" customWidth="1"/>
    <col min="15622" max="15871" width="9.140625" style="234"/>
    <col min="15872" max="15872" width="31.28515625" style="234" customWidth="1"/>
    <col min="15873" max="15874" width="6.42578125" style="234" customWidth="1"/>
    <col min="15875" max="15875" width="11.7109375" style="234" customWidth="1"/>
    <col min="15876" max="15876" width="21.42578125" style="234" customWidth="1"/>
    <col min="15877" max="15877" width="24.5703125" style="234" customWidth="1"/>
    <col min="15878" max="16127" width="9.140625" style="234"/>
    <col min="16128" max="16128" width="31.28515625" style="234" customWidth="1"/>
    <col min="16129" max="16130" width="6.42578125" style="234" customWidth="1"/>
    <col min="16131" max="16131" width="11.7109375" style="234" customWidth="1"/>
    <col min="16132" max="16132" width="21.42578125" style="234" customWidth="1"/>
    <col min="16133" max="16133" width="24.5703125" style="234" customWidth="1"/>
    <col min="16134" max="16384" width="9.140625" style="234"/>
  </cols>
  <sheetData>
    <row r="1" spans="1:6" ht="36" customHeight="1" x14ac:dyDescent="0.25">
      <c r="A1" s="233"/>
      <c r="B1" s="380" t="s">
        <v>605</v>
      </c>
      <c r="C1" s="380"/>
      <c r="D1" s="380"/>
      <c r="E1" s="380"/>
      <c r="F1" s="380"/>
    </row>
    <row r="2" spans="1:6" ht="22.5" customHeight="1" x14ac:dyDescent="0.25">
      <c r="A2" s="381" t="s">
        <v>572</v>
      </c>
      <c r="B2" s="381"/>
      <c r="C2" s="381"/>
      <c r="D2" s="381"/>
      <c r="E2" s="381"/>
      <c r="F2" s="381"/>
    </row>
    <row r="3" spans="1:6" ht="2.25" customHeight="1" x14ac:dyDescent="0.25">
      <c r="A3" s="233"/>
      <c r="B3" s="379"/>
      <c r="C3" s="379"/>
      <c r="D3" s="379"/>
      <c r="E3" s="379"/>
      <c r="F3" s="379"/>
    </row>
    <row r="4" spans="1:6" ht="15" customHeight="1" x14ac:dyDescent="0.25">
      <c r="A4" s="382" t="s">
        <v>606</v>
      </c>
      <c r="B4" s="382"/>
      <c r="C4" s="382"/>
      <c r="D4" s="382"/>
      <c r="E4" s="382"/>
      <c r="F4" s="382"/>
    </row>
    <row r="5" spans="1:6" ht="15" customHeight="1" x14ac:dyDescent="0.25">
      <c r="A5" s="383" t="s">
        <v>607</v>
      </c>
      <c r="B5" s="383"/>
      <c r="C5" s="383"/>
      <c r="D5" s="383"/>
      <c r="E5" s="383"/>
      <c r="F5" s="383"/>
    </row>
    <row r="6" spans="1:6" ht="11.25" customHeight="1" x14ac:dyDescent="0.25">
      <c r="A6" s="384" t="s">
        <v>1134</v>
      </c>
      <c r="B6" s="384"/>
      <c r="C6" s="384"/>
      <c r="D6" s="384"/>
      <c r="E6" s="384"/>
      <c r="F6" s="384"/>
    </row>
    <row r="7" spans="1:6" ht="9" customHeight="1" x14ac:dyDescent="0.25">
      <c r="A7" s="233"/>
      <c r="B7" s="379"/>
      <c r="C7" s="379"/>
      <c r="D7" s="385"/>
      <c r="E7" s="385"/>
      <c r="F7" s="385"/>
    </row>
    <row r="8" spans="1:6" ht="12.75" customHeight="1" x14ac:dyDescent="0.25">
      <c r="A8" s="386" t="s">
        <v>9</v>
      </c>
      <c r="B8" s="386"/>
      <c r="C8" s="386"/>
      <c r="D8" s="386" t="s">
        <v>10</v>
      </c>
      <c r="E8" s="386"/>
      <c r="F8" s="386"/>
    </row>
    <row r="9" spans="1:6" ht="12.75" customHeight="1" x14ac:dyDescent="0.25">
      <c r="A9" s="379" t="s">
        <v>11</v>
      </c>
      <c r="B9" s="379"/>
      <c r="C9" s="379"/>
      <c r="D9" s="379" t="s">
        <v>12</v>
      </c>
      <c r="E9" s="379"/>
      <c r="F9" s="379"/>
    </row>
    <row r="10" spans="1:6" ht="12.75" customHeight="1" x14ac:dyDescent="0.25">
      <c r="A10" s="386" t="s">
        <v>382</v>
      </c>
      <c r="B10" s="386"/>
      <c r="C10" s="386"/>
      <c r="D10" s="386" t="s">
        <v>15</v>
      </c>
      <c r="E10" s="386"/>
      <c r="F10" s="386"/>
    </row>
    <row r="11" spans="1:6" ht="12.75" customHeight="1" x14ac:dyDescent="0.25">
      <c r="A11" s="379" t="s">
        <v>16</v>
      </c>
      <c r="B11" s="379"/>
      <c r="C11" s="379"/>
      <c r="D11" s="379" t="s">
        <v>17</v>
      </c>
      <c r="E11" s="379"/>
      <c r="F11" s="379"/>
    </row>
    <row r="12" spans="1:6" ht="12.75" customHeight="1" x14ac:dyDescent="0.25">
      <c r="A12" s="386" t="s">
        <v>4</v>
      </c>
      <c r="B12" s="386"/>
      <c r="C12" s="386"/>
      <c r="D12" s="386" t="s">
        <v>5</v>
      </c>
      <c r="E12" s="386"/>
      <c r="F12" s="386"/>
    </row>
    <row r="13" spans="1:6" ht="12.75" customHeight="1" x14ac:dyDescent="0.25">
      <c r="A13" s="379" t="s">
        <v>6</v>
      </c>
      <c r="B13" s="379"/>
      <c r="C13" s="379"/>
      <c r="D13" s="379" t="s">
        <v>7</v>
      </c>
      <c r="E13" s="379"/>
      <c r="F13" s="379"/>
    </row>
    <row r="14" spans="1:6" ht="12.75" customHeight="1" x14ac:dyDescent="0.25">
      <c r="A14" s="386" t="s">
        <v>19</v>
      </c>
      <c r="B14" s="386"/>
      <c r="C14" s="386"/>
      <c r="D14" s="389">
        <v>45303</v>
      </c>
      <c r="E14" s="389"/>
      <c r="F14" s="389"/>
    </row>
    <row r="15" spans="1:6" ht="12.75" customHeight="1" x14ac:dyDescent="0.25">
      <c r="A15" s="379" t="s">
        <v>20</v>
      </c>
      <c r="B15" s="379"/>
      <c r="C15" s="379"/>
      <c r="D15" s="390">
        <v>45303</v>
      </c>
      <c r="E15" s="379"/>
      <c r="F15" s="379"/>
    </row>
    <row r="16" spans="1:6" ht="12.75" customHeight="1" x14ac:dyDescent="0.25">
      <c r="A16" s="235"/>
      <c r="B16" s="391"/>
      <c r="C16" s="391"/>
      <c r="D16" s="392" t="s">
        <v>23</v>
      </c>
      <c r="E16" s="392"/>
      <c r="F16" s="392"/>
    </row>
    <row r="17" spans="1:7" ht="39.75" customHeight="1" x14ac:dyDescent="0.25">
      <c r="A17" s="393" t="s">
        <v>608</v>
      </c>
      <c r="B17" s="394"/>
      <c r="C17" s="236" t="s">
        <v>609</v>
      </c>
      <c r="D17" s="236" t="s">
        <v>610</v>
      </c>
      <c r="E17" s="236" t="s">
        <v>1137</v>
      </c>
      <c r="F17" s="237" t="s">
        <v>1138</v>
      </c>
    </row>
    <row r="18" spans="1:7" ht="24" customHeight="1" x14ac:dyDescent="0.25">
      <c r="A18" s="395" t="s">
        <v>611</v>
      </c>
      <c r="B18" s="396"/>
      <c r="C18" s="238" t="s">
        <v>30</v>
      </c>
      <c r="D18" s="238"/>
      <c r="E18" s="239"/>
      <c r="F18" s="240"/>
    </row>
    <row r="19" spans="1:7" ht="24" customHeight="1" x14ac:dyDescent="0.25">
      <c r="A19" s="395" t="s">
        <v>612</v>
      </c>
      <c r="B19" s="396"/>
      <c r="C19" s="238" t="s">
        <v>613</v>
      </c>
      <c r="D19" s="238"/>
      <c r="E19" s="239">
        <v>-455829721744</v>
      </c>
      <c r="F19" s="240">
        <v>2104724324229</v>
      </c>
      <c r="G19" s="241"/>
    </row>
    <row r="20" spans="1:7" ht="35.1" customHeight="1" x14ac:dyDescent="0.25">
      <c r="A20" s="387" t="s">
        <v>614</v>
      </c>
      <c r="B20" s="388"/>
      <c r="C20" s="242" t="s">
        <v>615</v>
      </c>
      <c r="D20" s="242"/>
      <c r="E20" s="243">
        <v>-163812286174</v>
      </c>
      <c r="F20" s="244">
        <v>-236662773415</v>
      </c>
      <c r="G20" s="241"/>
    </row>
    <row r="21" spans="1:7" ht="45" customHeight="1" x14ac:dyDescent="0.25">
      <c r="A21" s="387" t="s">
        <v>616</v>
      </c>
      <c r="B21" s="388"/>
      <c r="C21" s="242" t="s">
        <v>617</v>
      </c>
      <c r="D21" s="242"/>
      <c r="E21" s="243">
        <v>25925000</v>
      </c>
      <c r="F21" s="244">
        <v>-896860000</v>
      </c>
      <c r="G21" s="241"/>
    </row>
    <row r="22" spans="1:7" ht="45" customHeight="1" x14ac:dyDescent="0.25">
      <c r="A22" s="395" t="s">
        <v>618</v>
      </c>
      <c r="B22" s="396"/>
      <c r="C22" s="238" t="s">
        <v>619</v>
      </c>
      <c r="D22" s="238"/>
      <c r="E22" s="239">
        <v>798915429149</v>
      </c>
      <c r="F22" s="240">
        <v>-1676101079422</v>
      </c>
      <c r="G22" s="241"/>
    </row>
    <row r="23" spans="1:7" ht="45" customHeight="1" x14ac:dyDescent="0.25">
      <c r="A23" s="387" t="s">
        <v>620</v>
      </c>
      <c r="B23" s="388"/>
      <c r="C23" s="242" t="s">
        <v>621</v>
      </c>
      <c r="D23" s="242"/>
      <c r="E23" s="243">
        <v>798829888043</v>
      </c>
      <c r="F23" s="244">
        <v>-1676058456450</v>
      </c>
      <c r="G23" s="241"/>
    </row>
    <row r="24" spans="1:7" ht="22.5" customHeight="1" x14ac:dyDescent="0.25">
      <c r="A24" s="387" t="s">
        <v>622</v>
      </c>
      <c r="B24" s="388"/>
      <c r="C24" s="242" t="s">
        <v>623</v>
      </c>
      <c r="D24" s="242"/>
      <c r="E24" s="243">
        <v>0</v>
      </c>
      <c r="F24" s="244">
        <v>0</v>
      </c>
      <c r="G24" s="241"/>
    </row>
    <row r="25" spans="1:7" ht="35.1" customHeight="1" x14ac:dyDescent="0.25">
      <c r="A25" s="387" t="s">
        <v>624</v>
      </c>
      <c r="B25" s="388"/>
      <c r="C25" s="242" t="s">
        <v>625</v>
      </c>
      <c r="D25" s="242"/>
      <c r="E25" s="243">
        <v>798829888043</v>
      </c>
      <c r="F25" s="244">
        <v>-1676058456450</v>
      </c>
      <c r="G25" s="241"/>
    </row>
    <row r="26" spans="1:7" ht="22.5" customHeight="1" x14ac:dyDescent="0.25">
      <c r="A26" s="387" t="s">
        <v>626</v>
      </c>
      <c r="B26" s="388"/>
      <c r="C26" s="242" t="s">
        <v>627</v>
      </c>
      <c r="D26" s="242"/>
      <c r="E26" s="243">
        <v>85541106</v>
      </c>
      <c r="F26" s="244">
        <v>-42622972</v>
      </c>
      <c r="G26" s="241"/>
    </row>
    <row r="27" spans="1:7" ht="45" customHeight="1" x14ac:dyDescent="0.25">
      <c r="A27" s="395" t="s">
        <v>628</v>
      </c>
      <c r="B27" s="396"/>
      <c r="C27" s="238" t="s">
        <v>629</v>
      </c>
      <c r="D27" s="238"/>
      <c r="E27" s="239">
        <v>179299346231</v>
      </c>
      <c r="F27" s="240">
        <v>191063611392</v>
      </c>
      <c r="G27" s="241"/>
    </row>
    <row r="28" spans="1:7" ht="22.5" customHeight="1" x14ac:dyDescent="0.25">
      <c r="A28" s="387" t="s">
        <v>630</v>
      </c>
      <c r="B28" s="388"/>
      <c r="C28" s="242" t="s">
        <v>631</v>
      </c>
      <c r="D28" s="242"/>
      <c r="E28" s="243">
        <v>-307334714319</v>
      </c>
      <c r="F28" s="244">
        <v>-104921558235</v>
      </c>
      <c r="G28" s="241"/>
    </row>
    <row r="29" spans="1:7" ht="35.1" customHeight="1" x14ac:dyDescent="0.25">
      <c r="A29" s="387" t="s">
        <v>632</v>
      </c>
      <c r="B29" s="388"/>
      <c r="C29" s="242" t="s">
        <v>633</v>
      </c>
      <c r="D29" s="242"/>
      <c r="E29" s="243">
        <v>-3260403250</v>
      </c>
      <c r="F29" s="244">
        <v>-7790950000</v>
      </c>
      <c r="G29" s="241"/>
    </row>
    <row r="30" spans="1:7" ht="45" customHeight="1" x14ac:dyDescent="0.25">
      <c r="A30" s="387" t="s">
        <v>634</v>
      </c>
      <c r="B30" s="388"/>
      <c r="C30" s="242" t="s">
        <v>635</v>
      </c>
      <c r="D30" s="242"/>
      <c r="E30" s="243">
        <v>0</v>
      </c>
      <c r="F30" s="244">
        <v>50315202400</v>
      </c>
      <c r="G30" s="241"/>
    </row>
    <row r="31" spans="1:7" ht="22.5" customHeight="1" x14ac:dyDescent="0.25">
      <c r="A31" s="387" t="s">
        <v>636</v>
      </c>
      <c r="B31" s="388"/>
      <c r="C31" s="242" t="s">
        <v>637</v>
      </c>
      <c r="D31" s="242"/>
      <c r="E31" s="243">
        <v>-36799980</v>
      </c>
      <c r="F31" s="244">
        <v>0</v>
      </c>
      <c r="G31" s="241"/>
    </row>
    <row r="32" spans="1:7" ht="22.5" customHeight="1" x14ac:dyDescent="0.25">
      <c r="A32" s="387" t="s">
        <v>638</v>
      </c>
      <c r="B32" s="388"/>
      <c r="C32" s="242" t="s">
        <v>639</v>
      </c>
      <c r="D32" s="242"/>
      <c r="E32" s="243">
        <v>0</v>
      </c>
      <c r="F32" s="244">
        <v>0</v>
      </c>
      <c r="G32" s="241"/>
    </row>
    <row r="33" spans="1:7" ht="35.1" customHeight="1" x14ac:dyDescent="0.25">
      <c r="A33" s="387" t="s">
        <v>640</v>
      </c>
      <c r="B33" s="388"/>
      <c r="C33" s="242" t="s">
        <v>318</v>
      </c>
      <c r="D33" s="242"/>
      <c r="E33" s="243">
        <v>-118767895000</v>
      </c>
      <c r="F33" s="244">
        <v>108614670000</v>
      </c>
      <c r="G33" s="241"/>
    </row>
    <row r="34" spans="1:7" ht="35.1" customHeight="1" x14ac:dyDescent="0.25">
      <c r="A34" s="387" t="s">
        <v>641</v>
      </c>
      <c r="B34" s="388"/>
      <c r="C34" s="242" t="s">
        <v>642</v>
      </c>
      <c r="D34" s="242"/>
      <c r="E34" s="243">
        <v>-118767895000</v>
      </c>
      <c r="F34" s="244">
        <v>108614670000</v>
      </c>
      <c r="G34" s="241"/>
    </row>
    <row r="35" spans="1:7" ht="54.95" customHeight="1" x14ac:dyDescent="0.25">
      <c r="A35" s="387" t="s">
        <v>643</v>
      </c>
      <c r="B35" s="388"/>
      <c r="C35" s="242" t="s">
        <v>414</v>
      </c>
      <c r="D35" s="242"/>
      <c r="E35" s="243">
        <v>0</v>
      </c>
      <c r="F35" s="244">
        <v>0</v>
      </c>
      <c r="G35" s="241"/>
    </row>
    <row r="36" spans="1:7" ht="22.5" customHeight="1" x14ac:dyDescent="0.25">
      <c r="A36" s="387" t="s">
        <v>644</v>
      </c>
      <c r="B36" s="388"/>
      <c r="C36" s="242" t="s">
        <v>417</v>
      </c>
      <c r="D36" s="242"/>
      <c r="E36" s="243">
        <v>0</v>
      </c>
      <c r="F36" s="244">
        <v>0</v>
      </c>
      <c r="G36" s="241"/>
    </row>
    <row r="37" spans="1:7" ht="45" customHeight="1" x14ac:dyDescent="0.25">
      <c r="A37" s="387" t="s">
        <v>645</v>
      </c>
      <c r="B37" s="388"/>
      <c r="C37" s="242" t="s">
        <v>420</v>
      </c>
      <c r="D37" s="242"/>
      <c r="E37" s="243">
        <v>0</v>
      </c>
      <c r="F37" s="244">
        <v>0</v>
      </c>
      <c r="G37" s="241"/>
    </row>
    <row r="38" spans="1:7" ht="35.1" customHeight="1" x14ac:dyDescent="0.25">
      <c r="A38" s="387" t="s">
        <v>646</v>
      </c>
      <c r="B38" s="388"/>
      <c r="C38" s="242" t="s">
        <v>423</v>
      </c>
      <c r="D38" s="242"/>
      <c r="E38" s="243">
        <v>-1689470000</v>
      </c>
      <c r="F38" s="244">
        <v>1689470000</v>
      </c>
      <c r="G38" s="241"/>
    </row>
    <row r="39" spans="1:7" ht="35.1" customHeight="1" x14ac:dyDescent="0.25">
      <c r="A39" s="387" t="s">
        <v>647</v>
      </c>
      <c r="B39" s="388"/>
      <c r="C39" s="242" t="s">
        <v>426</v>
      </c>
      <c r="D39" s="242"/>
      <c r="E39" s="243">
        <v>13836703250</v>
      </c>
      <c r="F39" s="244">
        <v>-15748471448</v>
      </c>
      <c r="G39" s="241"/>
    </row>
    <row r="40" spans="1:7" ht="22.5" customHeight="1" x14ac:dyDescent="0.25">
      <c r="A40" s="387" t="s">
        <v>648</v>
      </c>
      <c r="B40" s="388"/>
      <c r="C40" s="242" t="s">
        <v>429</v>
      </c>
      <c r="D40" s="242"/>
      <c r="E40" s="243">
        <v>-194018094</v>
      </c>
      <c r="F40" s="244">
        <v>174608431</v>
      </c>
      <c r="G40" s="241"/>
    </row>
    <row r="41" spans="1:7" ht="35.1" customHeight="1" x14ac:dyDescent="0.25">
      <c r="A41" s="387" t="s">
        <v>649</v>
      </c>
      <c r="B41" s="388"/>
      <c r="C41" s="242" t="s">
        <v>432</v>
      </c>
      <c r="D41" s="242"/>
      <c r="E41" s="243">
        <v>2149188850</v>
      </c>
      <c r="F41" s="244">
        <v>-2357864023</v>
      </c>
      <c r="G41" s="241"/>
    </row>
    <row r="42" spans="1:7" ht="35.1" customHeight="1" x14ac:dyDescent="0.25">
      <c r="A42" s="387" t="s">
        <v>650</v>
      </c>
      <c r="B42" s="388"/>
      <c r="C42" s="242" t="s">
        <v>435</v>
      </c>
      <c r="D42" s="242"/>
      <c r="E42" s="243">
        <v>0</v>
      </c>
      <c r="F42" s="244">
        <v>0</v>
      </c>
      <c r="G42" s="241"/>
    </row>
    <row r="43" spans="1:7" ht="35.1" customHeight="1" x14ac:dyDescent="0.25">
      <c r="A43" s="397" t="s">
        <v>651</v>
      </c>
      <c r="B43" s="398"/>
      <c r="C43" s="245" t="s">
        <v>652</v>
      </c>
      <c r="D43" s="245"/>
      <c r="E43" s="246">
        <v>-235998062312</v>
      </c>
      <c r="F43" s="247">
        <v>221038718517</v>
      </c>
      <c r="G43" s="241"/>
    </row>
    <row r="44" spans="1:7" ht="24.95" customHeight="1" x14ac:dyDescent="0.25">
      <c r="A44" s="395" t="s">
        <v>653</v>
      </c>
      <c r="B44" s="396"/>
      <c r="C44" s="238" t="s">
        <v>120</v>
      </c>
      <c r="D44" s="238"/>
      <c r="E44" s="239">
        <v>0</v>
      </c>
      <c r="F44" s="240">
        <v>0</v>
      </c>
      <c r="G44" s="241"/>
    </row>
    <row r="45" spans="1:7" ht="21" customHeight="1" x14ac:dyDescent="0.25">
      <c r="A45" s="387" t="s">
        <v>654</v>
      </c>
      <c r="B45" s="388"/>
      <c r="C45" s="242" t="s">
        <v>655</v>
      </c>
      <c r="D45" s="242"/>
      <c r="E45" s="243">
        <v>3600705341</v>
      </c>
      <c r="F45" s="244">
        <v>4361969284</v>
      </c>
      <c r="G45" s="241"/>
    </row>
    <row r="46" spans="1:7" ht="21" customHeight="1" x14ac:dyDescent="0.25">
      <c r="A46" s="387" t="s">
        <v>656</v>
      </c>
      <c r="B46" s="388"/>
      <c r="C46" s="242" t="s">
        <v>657</v>
      </c>
      <c r="D46" s="242"/>
      <c r="E46" s="243">
        <v>-19825035701</v>
      </c>
      <c r="F46" s="244">
        <v>-21161378209</v>
      </c>
      <c r="G46" s="241"/>
    </row>
    <row r="47" spans="1:7" ht="21" customHeight="1" x14ac:dyDescent="0.25">
      <c r="A47" s="387" t="s">
        <v>658</v>
      </c>
      <c r="B47" s="388"/>
      <c r="C47" s="242" t="s">
        <v>659</v>
      </c>
      <c r="D47" s="242"/>
      <c r="E47" s="243">
        <v>0</v>
      </c>
      <c r="F47" s="244">
        <v>0</v>
      </c>
      <c r="G47" s="241"/>
    </row>
    <row r="48" spans="1:7" ht="21" customHeight="1" x14ac:dyDescent="0.25">
      <c r="A48" s="387" t="s">
        <v>660</v>
      </c>
      <c r="B48" s="388"/>
      <c r="C48" s="242" t="s">
        <v>661</v>
      </c>
      <c r="D48" s="242"/>
      <c r="E48" s="243">
        <v>0</v>
      </c>
      <c r="F48" s="244">
        <v>0</v>
      </c>
      <c r="G48" s="241"/>
    </row>
    <row r="49" spans="1:7" ht="21" customHeight="1" x14ac:dyDescent="0.25">
      <c r="A49" s="387" t="s">
        <v>662</v>
      </c>
      <c r="B49" s="388"/>
      <c r="C49" s="242" t="s">
        <v>663</v>
      </c>
      <c r="D49" s="242"/>
      <c r="E49" s="243">
        <v>0</v>
      </c>
      <c r="F49" s="244">
        <v>0</v>
      </c>
      <c r="G49" s="241"/>
    </row>
    <row r="50" spans="1:7" ht="24.95" customHeight="1" x14ac:dyDescent="0.25">
      <c r="A50" s="395" t="s">
        <v>664</v>
      </c>
      <c r="B50" s="396"/>
      <c r="C50" s="238" t="s">
        <v>665</v>
      </c>
      <c r="D50" s="238"/>
      <c r="E50" s="239">
        <v>-16224330360</v>
      </c>
      <c r="F50" s="240">
        <v>-16799408925</v>
      </c>
      <c r="G50" s="241"/>
    </row>
    <row r="51" spans="1:7" ht="24.95" customHeight="1" x14ac:dyDescent="0.25">
      <c r="A51" s="395" t="s">
        <v>666</v>
      </c>
      <c r="B51" s="396"/>
      <c r="C51" s="238" t="s">
        <v>667</v>
      </c>
      <c r="D51" s="238"/>
      <c r="E51" s="239">
        <v>-252222392672</v>
      </c>
      <c r="F51" s="240">
        <v>204239309592</v>
      </c>
      <c r="G51" s="241"/>
    </row>
    <row r="52" spans="1:7" s="248" customFormat="1" ht="32.25" customHeight="1" x14ac:dyDescent="0.25">
      <c r="A52" s="395" t="s">
        <v>668</v>
      </c>
      <c r="B52" s="396"/>
      <c r="C52" s="238" t="s">
        <v>669</v>
      </c>
      <c r="D52" s="238"/>
      <c r="E52" s="239">
        <v>274448294478</v>
      </c>
      <c r="F52" s="240">
        <v>70208984886</v>
      </c>
      <c r="G52" s="241"/>
    </row>
    <row r="53" spans="1:7" ht="21" customHeight="1" x14ac:dyDescent="0.25">
      <c r="A53" s="387" t="s">
        <v>670</v>
      </c>
      <c r="B53" s="388"/>
      <c r="C53" s="242" t="s">
        <v>671</v>
      </c>
      <c r="D53" s="242"/>
      <c r="E53" s="243">
        <v>274448294478</v>
      </c>
      <c r="F53" s="244">
        <v>70208984886</v>
      </c>
      <c r="G53" s="241"/>
    </row>
    <row r="54" spans="1:7" ht="35.25" customHeight="1" x14ac:dyDescent="0.25">
      <c r="A54" s="399" t="s">
        <v>672</v>
      </c>
      <c r="B54" s="400"/>
      <c r="C54" s="249" t="s">
        <v>673</v>
      </c>
      <c r="D54" s="249"/>
      <c r="E54" s="250">
        <v>274448294478</v>
      </c>
      <c r="F54" s="251">
        <v>70208984886</v>
      </c>
      <c r="G54" s="241"/>
    </row>
    <row r="55" spans="1:7" s="253" customFormat="1" ht="21" customHeight="1" x14ac:dyDescent="0.25">
      <c r="A55" s="399" t="s">
        <v>674</v>
      </c>
      <c r="B55" s="400"/>
      <c r="C55" s="249" t="s">
        <v>675</v>
      </c>
      <c r="D55" s="249"/>
      <c r="E55" s="250">
        <v>274448294478</v>
      </c>
      <c r="F55" s="251">
        <v>70208984886</v>
      </c>
      <c r="G55" s="252"/>
    </row>
    <row r="56" spans="1:7" s="253" customFormat="1" ht="21" customHeight="1" x14ac:dyDescent="0.25">
      <c r="A56" s="399" t="s">
        <v>676</v>
      </c>
      <c r="B56" s="400"/>
      <c r="C56" s="249" t="s">
        <v>677</v>
      </c>
      <c r="D56" s="249"/>
      <c r="E56" s="250">
        <v>0</v>
      </c>
      <c r="F56" s="251">
        <v>0</v>
      </c>
      <c r="G56" s="252"/>
    </row>
    <row r="57" spans="1:7" ht="21" customHeight="1" x14ac:dyDescent="0.25">
      <c r="A57" s="387" t="s">
        <v>678</v>
      </c>
      <c r="B57" s="388"/>
      <c r="C57" s="242" t="s">
        <v>679</v>
      </c>
      <c r="D57" s="242"/>
      <c r="E57" s="243">
        <v>0</v>
      </c>
      <c r="F57" s="244">
        <v>0</v>
      </c>
      <c r="G57" s="241"/>
    </row>
    <row r="58" spans="1:7" ht="21" customHeight="1" x14ac:dyDescent="0.25">
      <c r="A58" s="387" t="s">
        <v>680</v>
      </c>
      <c r="B58" s="388"/>
      <c r="C58" s="242" t="s">
        <v>681</v>
      </c>
      <c r="D58" s="242"/>
      <c r="E58" s="243">
        <v>0</v>
      </c>
      <c r="F58" s="244">
        <v>0</v>
      </c>
      <c r="G58" s="241"/>
    </row>
    <row r="59" spans="1:7" ht="21" customHeight="1" x14ac:dyDescent="0.25">
      <c r="A59" s="387" t="s">
        <v>682</v>
      </c>
      <c r="B59" s="388"/>
      <c r="C59" s="242" t="s">
        <v>683</v>
      </c>
      <c r="D59" s="242"/>
      <c r="E59" s="243">
        <v>22225901806</v>
      </c>
      <c r="F59" s="244">
        <v>274448294478</v>
      </c>
      <c r="G59" s="241"/>
    </row>
    <row r="60" spans="1:7" ht="21" customHeight="1" x14ac:dyDescent="0.25">
      <c r="A60" s="387" t="s">
        <v>684</v>
      </c>
      <c r="B60" s="388"/>
      <c r="C60" s="242" t="s">
        <v>685</v>
      </c>
      <c r="D60" s="242"/>
      <c r="E60" s="243">
        <v>22225901806</v>
      </c>
      <c r="F60" s="244">
        <v>274448294478</v>
      </c>
      <c r="G60" s="241"/>
    </row>
    <row r="61" spans="1:7" ht="33" customHeight="1" x14ac:dyDescent="0.25">
      <c r="A61" s="399" t="s">
        <v>672</v>
      </c>
      <c r="B61" s="400"/>
      <c r="C61" s="249" t="s">
        <v>686</v>
      </c>
      <c r="D61" s="249"/>
      <c r="E61" s="250">
        <v>22225901806</v>
      </c>
      <c r="F61" s="251">
        <v>274448294478</v>
      </c>
      <c r="G61" s="241"/>
    </row>
    <row r="62" spans="1:7" s="253" customFormat="1" ht="21" customHeight="1" x14ac:dyDescent="0.25">
      <c r="A62" s="399" t="s">
        <v>674</v>
      </c>
      <c r="B62" s="400"/>
      <c r="C62" s="249" t="s">
        <v>687</v>
      </c>
      <c r="D62" s="249"/>
      <c r="E62" s="250">
        <v>22225901806</v>
      </c>
      <c r="F62" s="251">
        <v>274448294478</v>
      </c>
      <c r="G62" s="252"/>
    </row>
    <row r="63" spans="1:7" s="253" customFormat="1" ht="21" customHeight="1" x14ac:dyDescent="0.25">
      <c r="A63" s="399" t="s">
        <v>688</v>
      </c>
      <c r="B63" s="400"/>
      <c r="C63" s="249" t="s">
        <v>689</v>
      </c>
      <c r="D63" s="249"/>
      <c r="E63" s="250">
        <v>0</v>
      </c>
      <c r="F63" s="251">
        <v>0</v>
      </c>
      <c r="G63" s="252"/>
    </row>
    <row r="64" spans="1:7" ht="21" customHeight="1" x14ac:dyDescent="0.25">
      <c r="A64" s="387" t="s">
        <v>690</v>
      </c>
      <c r="B64" s="388"/>
      <c r="C64" s="242" t="s">
        <v>691</v>
      </c>
      <c r="D64" s="242"/>
      <c r="E64" s="243">
        <v>0</v>
      </c>
      <c r="F64" s="244">
        <v>0</v>
      </c>
      <c r="G64" s="241"/>
    </row>
    <row r="65" spans="1:7" ht="24.95" customHeight="1" x14ac:dyDescent="0.25">
      <c r="A65" s="395" t="s">
        <v>692</v>
      </c>
      <c r="B65" s="396"/>
      <c r="C65" s="238" t="s">
        <v>693</v>
      </c>
      <c r="D65" s="238"/>
      <c r="E65" s="239">
        <v>0</v>
      </c>
      <c r="F65" s="240">
        <v>0</v>
      </c>
      <c r="G65" s="241"/>
    </row>
    <row r="66" spans="1:7" ht="45" customHeight="1" x14ac:dyDescent="0.25">
      <c r="A66" s="395" t="s">
        <v>694</v>
      </c>
      <c r="B66" s="396"/>
      <c r="C66" s="238" t="s">
        <v>695</v>
      </c>
      <c r="D66" s="238"/>
      <c r="E66" s="239">
        <v>-252222392672</v>
      </c>
      <c r="F66" s="240">
        <v>204239309592</v>
      </c>
      <c r="G66" s="241"/>
    </row>
    <row r="67" spans="1:7" ht="24.95" customHeight="1" x14ac:dyDescent="0.25">
      <c r="A67" s="401" t="s">
        <v>696</v>
      </c>
      <c r="B67" s="402"/>
      <c r="C67" s="254" t="s">
        <v>697</v>
      </c>
      <c r="D67" s="254"/>
      <c r="E67" s="255"/>
      <c r="F67" s="256"/>
      <c r="G67" s="241"/>
    </row>
    <row r="68" spans="1:7" ht="10.5" customHeight="1" x14ac:dyDescent="0.25">
      <c r="A68" s="257"/>
      <c r="B68" s="257"/>
      <c r="C68" s="258"/>
      <c r="D68" s="258"/>
      <c r="E68" s="259"/>
      <c r="F68" s="259"/>
      <c r="G68" s="241"/>
    </row>
    <row r="69" spans="1:7" ht="11.25" customHeight="1" x14ac:dyDescent="0.25">
      <c r="A69" s="260" t="s">
        <v>601</v>
      </c>
      <c r="B69" s="405" t="s">
        <v>1140</v>
      </c>
      <c r="C69" s="405"/>
      <c r="D69" s="405"/>
      <c r="E69" s="405" t="s">
        <v>227</v>
      </c>
      <c r="F69" s="405"/>
      <c r="G69" s="241"/>
    </row>
    <row r="70" spans="1:7" s="262" customFormat="1" ht="16.5" customHeight="1" x14ac:dyDescent="0.25">
      <c r="A70" s="261" t="s">
        <v>602</v>
      </c>
      <c r="B70" s="403" t="s">
        <v>602</v>
      </c>
      <c r="C70" s="403"/>
      <c r="D70" s="403"/>
      <c r="E70" s="403" t="s">
        <v>602</v>
      </c>
      <c r="F70" s="403"/>
      <c r="G70" s="241"/>
    </row>
    <row r="71" spans="1:7" ht="10.5" customHeight="1" x14ac:dyDescent="0.25">
      <c r="A71" s="263"/>
      <c r="B71" s="263"/>
      <c r="C71" s="264"/>
      <c r="D71" s="264"/>
      <c r="E71" s="264"/>
      <c r="F71" s="265"/>
    </row>
    <row r="72" spans="1:7" ht="90" customHeight="1" x14ac:dyDescent="0.25">
      <c r="A72" s="264"/>
      <c r="B72" s="264"/>
      <c r="C72" s="264"/>
      <c r="D72" s="264"/>
      <c r="E72" s="233"/>
      <c r="F72" s="233"/>
    </row>
    <row r="73" spans="1:7" ht="16.5" customHeight="1" x14ac:dyDescent="0.15">
      <c r="A73" s="266" t="s">
        <v>604</v>
      </c>
      <c r="B73" s="404" t="s">
        <v>1141</v>
      </c>
      <c r="C73" s="404"/>
      <c r="D73" s="404"/>
      <c r="E73" s="404" t="s">
        <v>229</v>
      </c>
      <c r="F73" s="404"/>
    </row>
  </sheetData>
  <mergeCells count="84">
    <mergeCell ref="A50:B50"/>
    <mergeCell ref="A67:B67"/>
    <mergeCell ref="B70:D70"/>
    <mergeCell ref="E70:F70"/>
    <mergeCell ref="B73:D73"/>
    <mergeCell ref="E73:F73"/>
    <mergeCell ref="B69:D69"/>
    <mergeCell ref="E69:F69"/>
    <mergeCell ref="A62:B62"/>
    <mergeCell ref="A63:B63"/>
    <mergeCell ref="A64:B64"/>
    <mergeCell ref="A65:B65"/>
    <mergeCell ref="A66:B66"/>
    <mergeCell ref="A56:B56"/>
    <mergeCell ref="A57:B57"/>
    <mergeCell ref="A58:B58"/>
    <mergeCell ref="A59:B59"/>
    <mergeCell ref="A60:B60"/>
    <mergeCell ref="A61:B61"/>
    <mergeCell ref="A51:B51"/>
    <mergeCell ref="A52:B52"/>
    <mergeCell ref="A53:B53"/>
    <mergeCell ref="A54:B54"/>
    <mergeCell ref="A55:B55"/>
    <mergeCell ref="A45:B45"/>
    <mergeCell ref="A46:B46"/>
    <mergeCell ref="A47:B47"/>
    <mergeCell ref="A48:B48"/>
    <mergeCell ref="A49:B49"/>
    <mergeCell ref="A44:B44"/>
    <mergeCell ref="A33:B33"/>
    <mergeCell ref="A34:B34"/>
    <mergeCell ref="A35:B35"/>
    <mergeCell ref="A36:B36"/>
    <mergeCell ref="A37:B37"/>
    <mergeCell ref="A38:B38"/>
    <mergeCell ref="A39:B39"/>
    <mergeCell ref="A40:B40"/>
    <mergeCell ref="A41:B41"/>
    <mergeCell ref="A42:B42"/>
    <mergeCell ref="A43:B43"/>
    <mergeCell ref="A32:B32"/>
    <mergeCell ref="A21:B21"/>
    <mergeCell ref="A22:B22"/>
    <mergeCell ref="A23:B23"/>
    <mergeCell ref="A24:B24"/>
    <mergeCell ref="A25:B25"/>
    <mergeCell ref="A26:B26"/>
    <mergeCell ref="A27:B27"/>
    <mergeCell ref="A28:B28"/>
    <mergeCell ref="A29:B29"/>
    <mergeCell ref="A30:B30"/>
    <mergeCell ref="A31:B31"/>
    <mergeCell ref="A20:B20"/>
    <mergeCell ref="A13:C13"/>
    <mergeCell ref="D13:F13"/>
    <mergeCell ref="A14:C14"/>
    <mergeCell ref="D14:F14"/>
    <mergeCell ref="A15:C15"/>
    <mergeCell ref="D15:F15"/>
    <mergeCell ref="B16:C16"/>
    <mergeCell ref="D16:F16"/>
    <mergeCell ref="A17:B17"/>
    <mergeCell ref="A18:B18"/>
    <mergeCell ref="A19:B19"/>
    <mergeCell ref="A10:C10"/>
    <mergeCell ref="D10:F10"/>
    <mergeCell ref="A11:C11"/>
    <mergeCell ref="D11:F11"/>
    <mergeCell ref="A12:C12"/>
    <mergeCell ref="D12:F12"/>
    <mergeCell ref="A9:C9"/>
    <mergeCell ref="D9:F9"/>
    <mergeCell ref="B1:F1"/>
    <mergeCell ref="A2:F2"/>
    <mergeCell ref="B3:C3"/>
    <mergeCell ref="D3:F3"/>
    <mergeCell ref="A4:F4"/>
    <mergeCell ref="A5:F5"/>
    <mergeCell ref="A6:F6"/>
    <mergeCell ref="B7:C7"/>
    <mergeCell ref="D7:F7"/>
    <mergeCell ref="A8:C8"/>
    <mergeCell ref="D8:F8"/>
  </mergeCells>
  <printOptions horizontalCentered="1"/>
  <pageMargins left="0" right="0" top="0.5899999737739563" bottom="0.5899999737739563" header="0.5" footer="0.5"/>
  <pageSetup paperSize="9"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YWeW/Pp4hbKiwBPp+c2XM9bNeBY=</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yDdMyqYtJ7Od4tOPSXgkluuzUO0=</DigestValue>
    </Reference>
  </SignedInfo>
  <SignatureValue>wayCF22LoShKB2kUf0fuCG4BF3nRGLd+zcIxOGdpS+tDwxpg46WG+uo9/YeEkBKjwEIFQ9Zxk2Py
wCXo6gR2Lczc7u/+vXEW4uD8nPY1ZbIIZPQJCPU6bXQZh4SiNk3Q0m1XPIX7DUph0+I5x7Ik0Nki
43qX0YcLSUa4pnKJbJXXsmrgKOQ2Ia1n4ovDpKOx/yxMlMOku4vEnnW/FopX4R5zIh0ojfIc4CvL
13gFFXZ6MuSuiTT3gqXjgMBt9E+aZFKEBDl6hXuM5JWM06vixMk9K+erCYHeSfxs9c1fQNYh+Ko8
l0ihWEh8KOrLuUbg1ztQcD9G9W8afE/9qB/3gQ==</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4.bin?ContentType=application/vnd.openxmlformats-officedocument.spreadsheetml.printerSettings">
        <DigestMethod Algorithm="http://www.w3.org/2000/09/xmldsig#sha1"/>
        <DigestValue>KHe0axIziFA0hv2Vp6XmrOX0bcE=</DigestValue>
      </Reference>
      <Reference URI="/xl/worksheets/sheet7.xml?ContentType=application/vnd.openxmlformats-officedocument.spreadsheetml.worksheet+xml">
        <DigestMethod Algorithm="http://www.w3.org/2000/09/xmldsig#sha1"/>
        <DigestValue>Y9WmpVpCcoPlD4keQR6Xwg60sfk=</DigestValue>
      </Reference>
      <Reference URI="/xl/worksheets/sheet6.xml?ContentType=application/vnd.openxmlformats-officedocument.spreadsheetml.worksheet+xml">
        <DigestMethod Algorithm="http://www.w3.org/2000/09/xmldsig#sha1"/>
        <DigestValue>7FE0QIb1PWS/waZkgX7UoYDpWj4=</DigestValue>
      </Reference>
      <Reference URI="/xl/worksheets/sheet5.xml?ContentType=application/vnd.openxmlformats-officedocument.spreadsheetml.worksheet+xml">
        <DigestMethod Algorithm="http://www.w3.org/2000/09/xmldsig#sha1"/>
        <DigestValue>lDsBrVdlApZSvTnPjWO8G9T+KAY=</DigestValue>
      </Reference>
      <Reference URI="/xl/drawings/drawing6.xml?ContentType=application/vnd.openxmlformats-officedocument.drawing+xml">
        <DigestMethod Algorithm="http://www.w3.org/2000/09/xmldsig#sha1"/>
        <DigestValue>kUqNASSoMknoozSAh5iu7cbcp7A=</DigestValue>
      </Reference>
      <Reference URI="/xl/worksheets/sheet9.xml?ContentType=application/vnd.openxmlformats-officedocument.spreadsheetml.worksheet+xml">
        <DigestMethod Algorithm="http://www.w3.org/2000/09/xmldsig#sha1"/>
        <DigestValue>9iGrBQWKAlESDlDJwNfGsPjn+Jw=</DigestValue>
      </Reference>
      <Reference URI="/xl/worksheets/sheet10.xml?ContentType=application/vnd.openxmlformats-officedocument.spreadsheetml.worksheet+xml">
        <DigestMethod Algorithm="http://www.w3.org/2000/09/xmldsig#sha1"/>
        <DigestValue>KyjZdgMblkPrmY/Y+DBEsKRQEBA=</DigestValue>
      </Reference>
      <Reference URI="/xl/printerSettings/printerSettings2.bin?ContentType=application/vnd.openxmlformats-officedocument.spreadsheetml.printerSettings">
        <DigestMethod Algorithm="http://www.w3.org/2000/09/xmldsig#sha1"/>
        <DigestValue>a3rgpnuAp0ee6RAz9cfOS/NaX1U=</DigestValue>
      </Reference>
      <Reference URI="/xl/sharedStrings.xml?ContentType=application/vnd.openxmlformats-officedocument.spreadsheetml.sharedStrings+xml">
        <DigestMethod Algorithm="http://www.w3.org/2000/09/xmldsig#sha1"/>
        <DigestValue>QOdQ50fy5fEfp9makeTKWv0SNbI=</DigestValue>
      </Reference>
      <Reference URI="/xl/drawings/drawing2.xml?ContentType=application/vnd.openxmlformats-officedocument.drawing+xml">
        <DigestMethod Algorithm="http://www.w3.org/2000/09/xmldsig#sha1"/>
        <DigestValue>BAKU2hM+Lh3JRROgRfhWxV+qivQ=</DigestValue>
      </Reference>
      <Reference URI="/xl/worksheets/sheet8.xml?ContentType=application/vnd.openxmlformats-officedocument.spreadsheetml.worksheet+xml">
        <DigestMethod Algorithm="http://www.w3.org/2000/09/xmldsig#sha1"/>
        <DigestValue>bta4nFZaZ8zpVjAx5qAgibtBWeQ=</DigestValue>
      </Reference>
      <Reference URI="/xl/drawings/drawing5.xml?ContentType=application/vnd.openxmlformats-officedocument.drawing+xml">
        <DigestMethod Algorithm="http://www.w3.org/2000/09/xmldsig#sha1"/>
        <DigestValue>5Wco0l2E9FKwT0O1or5z7D4eGhQ=</DigestValue>
      </Reference>
      <Reference URI="/xl/printerSettings/printerSettings9.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6.bin?ContentType=application/vnd.openxmlformats-officedocument.spreadsheetml.printerSettings">
        <DigestMethod Algorithm="http://www.w3.org/2000/09/xmldsig#sha1"/>
        <DigestValue>a3rgpnuAp0ee6RAz9cfOS/NaX1U=</DigestValue>
      </Reference>
      <Reference URI="/xl/calcChain.xml?ContentType=application/vnd.openxmlformats-officedocument.spreadsheetml.calcChain+xml">
        <DigestMethod Algorithm="http://www.w3.org/2000/09/xmldsig#sha1"/>
        <DigestValue>5b9VvAXHt+VIOU62Tc+Sas3J9+o=</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10.bin?ContentType=application/vnd.openxmlformats-officedocument.spreadsheetml.printerSettings">
        <DigestMethod Algorithm="http://www.w3.org/2000/09/xmldsig#sha1"/>
        <DigestValue>KHe0axIziFA0hv2Vp6XmrOX0bcE=</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1.bin?ContentType=application/vnd.openxmlformats-officedocument.spreadsheetml.printerSettings">
        <DigestMethod Algorithm="http://www.w3.org/2000/09/xmldsig#sha1"/>
        <DigestValue>a3rgpnuAp0ee6RAz9cfOS/NaX1U=</DigestValue>
      </Reference>
      <Reference URI="/xl/styles.xml?ContentType=application/vnd.openxmlformats-officedocument.spreadsheetml.styles+xml">
        <DigestMethod Algorithm="http://www.w3.org/2000/09/xmldsig#sha1"/>
        <DigestValue>AlJDR+NYyb5Mz5WHmccP+fLfwzU=</DigestValue>
      </Reference>
      <Reference URI="/xl/drawings/drawing1.xml?ContentType=application/vnd.openxmlformats-officedocument.drawing+xml">
        <DigestMethod Algorithm="http://www.w3.org/2000/09/xmldsig#sha1"/>
        <DigestValue>wYAQZxo6V/BwmudUtXdrohE5ttE=</DigestValue>
      </Reference>
      <Reference URI="/xl/drawings/drawing3.xml?ContentType=application/vnd.openxmlformats-officedocument.drawing+xml">
        <DigestMethod Algorithm="http://www.w3.org/2000/09/xmldsig#sha1"/>
        <DigestValue>1OLqdflmSN+mB1Q6YtYmIuX15Ls=</DigestValue>
      </Reference>
      <Reference URI="/xl/drawings/drawing9.xml?ContentType=application/vnd.openxmlformats-officedocument.drawing+xml">
        <DigestMethod Algorithm="http://www.w3.org/2000/09/xmldsig#sha1"/>
        <DigestValue>HGHpkNkdcjFLZTxHuowaz8zsQaU=</DigestValue>
      </Reference>
      <Reference URI="/xl/drawings/drawing8.xml?ContentType=application/vnd.openxmlformats-officedocument.drawing+xml">
        <DigestMethod Algorithm="http://www.w3.org/2000/09/xmldsig#sha1"/>
        <DigestValue>zcKKBgJ/G7nGLBY4ky77Y6p5KCU=</DigestValue>
      </Reference>
      <Reference URI="/xl/worksheets/sheet1.xml?ContentType=application/vnd.openxmlformats-officedocument.spreadsheetml.worksheet+xml">
        <DigestMethod Algorithm="http://www.w3.org/2000/09/xmldsig#sha1"/>
        <DigestValue>TgJCiMXtBM8D9tbk2JFHyIPjYHU=</DigestValue>
      </Reference>
      <Reference URI="/xl/drawings/drawing7.xml?ContentType=application/vnd.openxmlformats-officedocument.drawing+xml">
        <DigestMethod Algorithm="http://www.w3.org/2000/09/xmldsig#sha1"/>
        <DigestValue>wYAQZxo6V/BwmudUtXdrohE5ttE=</DigestValue>
      </Reference>
      <Reference URI="/xl/worksheets/sheet3.xml?ContentType=application/vnd.openxmlformats-officedocument.spreadsheetml.worksheet+xml">
        <DigestMethod Algorithm="http://www.w3.org/2000/09/xmldsig#sha1"/>
        <DigestValue>O64aSXgFAZNWWkZDwSvA6t8JIo4=</DigestValue>
      </Reference>
      <Reference URI="/xl/worksheets/sheet2.xml?ContentType=application/vnd.openxmlformats-officedocument.spreadsheetml.worksheet+xml">
        <DigestMethod Algorithm="http://www.w3.org/2000/09/xmldsig#sha1"/>
        <DigestValue>47TniQlOG8MgiMsgI3pA7oQttpM=</DigestValue>
      </Reference>
      <Reference URI="/xl/media/image1.jpeg?ContentType=image/jpeg">
        <DigestMethod Algorithm="http://www.w3.org/2000/09/xmldsig#sha1"/>
        <DigestValue>u6Y0gsycq9pFQWl/wORUQuesxDE=</DigestValue>
      </Reference>
      <Reference URI="/xl/workbook.xml?ContentType=application/vnd.openxmlformats-officedocument.spreadsheetml.sheet.main+xml">
        <DigestMethod Algorithm="http://www.w3.org/2000/09/xmldsig#sha1"/>
        <DigestValue>2fKPHCa3V7VpX3MuHoyKY5Bvrp0=</DigestValue>
      </Reference>
      <Reference URI="/xl/drawings/drawing4.xml?ContentType=application/vnd.openxmlformats-officedocument.drawing+xml">
        <DigestMethod Algorithm="http://www.w3.org/2000/09/xmldsig#sha1"/>
        <DigestValue>Ve2+Z9PtmCnyaCzUspafHOq1440=</DigestValue>
      </Reference>
      <Reference URI="/xl/worksheets/sheet4.xml?ContentType=application/vnd.openxmlformats-officedocument.spreadsheetml.worksheet+xml">
        <DigestMethod Algorithm="http://www.w3.org/2000/09/xmldsig#sha1"/>
        <DigestValue>uAjLeU/YYDC3ow1H3gR/IynHx5U=</DigestValue>
      </Reference>
      <Reference URI="/xl/theme/theme1.xml?ContentType=application/vnd.openxmlformats-officedocument.theme+xml">
        <DigestMethod Algorithm="http://www.w3.org/2000/09/xmldsig#sha1"/>
        <DigestValue>ws0gcdu2aM8dJ36PXh4TC2naUx4=</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2024-01-18T02:40:18Z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2024-01-18T02:40:18Z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2024-01-17T09:40:04Z</dcterms:modified>
</cp:coreProperties>
</file>