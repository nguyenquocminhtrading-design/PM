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alcChain.xml" ContentType="application/vnd.openxmlformats-officedocument.spreadsheetml.calcChain+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W:\GTO_SSO_FUNDSERVICES_GSSCKL\10. CLIENT PORTFOLIO-NAV recalculation\KYSO\2024\10. Oct\04.10\"/>
    </mc:Choice>
  </mc:AlternateContent>
  <xr:revisionPtr revIDLastSave="0" documentId="13_ncr:1_{4F902627-03E5-4645-A596-AF85FA87D1FD}" xr6:coauthVersionLast="47" xr6:coauthVersionMax="47" xr10:uidLastSave="{00000000-0000-0000-0000-000000000000}"/>
  <bookViews>
    <workbookView xWindow="-110" yWindow="-110" windowWidth="19420" windowHeight="10420" firstSheet="4" activeTab="5" xr2:uid="{00000000-000D-0000-FFFF-FFFF00000000}"/>
  </bookViews>
  <sheets>
    <sheet name="TONGQUAN" sheetId="1" r:id="rId1"/>
    <sheet name="BCTaiSan_06027" sheetId="43" r:id="rId2"/>
    <sheet name="BCKetQuaHoatDong_06028" sheetId="29" r:id="rId3"/>
    <sheet name="BCDanhMucDauTu_06029" sheetId="44" r:id="rId4"/>
    <sheet name="BCThuNhap_06203" sheetId="34" r:id="rId5"/>
    <sheet name="Khac_06030" sheetId="32" r:id="rId6"/>
    <sheet name="BCTinhHinhTaiChinh_06105" sheetId="42" r:id="rId7"/>
    <sheet name="BCHoatDongVay_06026" sheetId="45" r:id="rId8"/>
    <sheet name="LogoFMS" sheetId="25" state="hidden" r:id="rId9"/>
  </sheets>
  <definedNames>
    <definedName name="_xlnm._FilterDatabase" localSheetId="3" hidden="1">BCDanhMucDauTu_06029!$A$18:$J$18</definedName>
    <definedName name="_xlnm._FilterDatabase" localSheetId="2" hidden="1">BCKetQuaHoatDong_06028!$A$18:$H$89</definedName>
    <definedName name="_xlnm._FilterDatabase" localSheetId="1" hidden="1">BCTaiSan_06027!$A$18:$F$18</definedName>
    <definedName name="_xlnm._FilterDatabase" localSheetId="4" hidden="1">BCThuNhap_06203!$A$16:$J$77</definedName>
    <definedName name="_xlnm._FilterDatabase" localSheetId="6" hidden="1">BCTinhHinhTaiChinh_06105!$A$16:$H$120</definedName>
    <definedName name="_xlnm._FilterDatabase" localSheetId="5" hidden="1">Khac_06030!$A$18:$F$18</definedName>
    <definedName name="addlogo">INDEX(LogoFMS!$C$3:$C$76,MATCH(LogoFMS!$D$1,LogoFMS!$A$3:$A$76,0))</definedName>
    <definedName name="_xlnm.Print_Area" localSheetId="0">TONGQUAN!$A$1:$K$34</definedName>
    <definedName name="_xlnm.Print_Titles" localSheetId="3">BCDanhMucDauTu_06029!$18:$18</definedName>
    <definedName name="_xlnm.Print_Titles" localSheetId="2">BCKetQuaHoatDong_06028!$18:$18</definedName>
    <definedName name="_xlnm.Print_Titles" localSheetId="1">BCTaiSan_06027!$18:$18</definedName>
    <definedName name="_xlnm.Print_Titles" localSheetId="4">BCThuNhap_06203!$16:$17</definedName>
    <definedName name="_xlnm.Print_Titles" localSheetId="6">BCTinhHinhTaiChinh_06105!$16:$16</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9" i="1" l="1"/>
</calcChain>
</file>

<file path=xl/sharedStrings.xml><?xml version="1.0" encoding="utf-8"?>
<sst xmlns="http://schemas.openxmlformats.org/spreadsheetml/2006/main" count="1799" uniqueCount="1390">
  <si>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</si>
  <si>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</si>
  <si>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</si>
  <si>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</si>
  <si>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</si>
  <si>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</si>
  <si>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</si>
  <si>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</si>
  <si>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</si>
  <si>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</si>
  <si>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</si>
  <si>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</si>
  <si>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</si>
  <si>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</si>
  <si>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</si>
  <si>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</si>
  <si>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</si>
  <si>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</si>
  <si>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</si>
  <si>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</si>
  <si>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</si>
  <si>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</si>
  <si>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</si>
  <si>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</si>
  <si>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</si>
  <si>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</si>
  <si>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</si>
  <si>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</si>
  <si>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</si>
  <si>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</si>
  <si>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</si>
  <si>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</si>
  <si>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</si>
  <si>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</si>
  <si>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</si>
  <si>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</si>
  <si>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</si>
  <si>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</si>
  <si>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</si>
  <si>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</si>
  <si>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</si>
  <si>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</si>
  <si>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</si>
  <si>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</si>
  <si>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</si>
  <si>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</si>
  <si>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</si>
  <si>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</si>
  <si>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</si>
  <si>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</si>
  <si>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</si>
  <si>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</si>
  <si>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</si>
  <si>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</si>
  <si>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</si>
  <si>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</si>
  <si>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</si>
  <si>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</si>
  <si>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</si>
  <si>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</si>
  <si>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</si>
  <si>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</si>
  <si>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</si>
  <si>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</si>
  <si>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</si>
  <si>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</si>
  <si>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</si>
  <si>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</si>
  <si>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</si>
  <si>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</si>
  <si>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</si>
  <si>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</si>
  <si>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</si>
  <si>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</si>
  <si>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</si>
  <si>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</si>
  <si>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</si>
  <si>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</si>
  <si>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</si>
  <si>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</si>
  <si>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</si>
  <si>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</si>
  <si>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</si>
  <si>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</si>
  <si>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</si>
  <si>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</si>
  <si>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</si>
  <si>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</si>
  <si>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</si>
  <si>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</si>
  <si>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</si>
  <si>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</si>
  <si>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</si>
  <si>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</si>
  <si>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</si>
  <si>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</si>
  <si>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</si>
  <si>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</si>
  <si>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</si>
  <si>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</si>
  <si>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</si>
  <si>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</si>
  <si>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</si>
  <si>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</si>
  <si>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</si>
  <si>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</si>
  <si>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</si>
  <si>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</si>
  <si>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</si>
  <si>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</si>
  <si>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</si>
  <si>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</si>
  <si>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</si>
  <si>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</si>
  <si>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</si>
  <si>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</si>
  <si>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</si>
  <si>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</si>
  <si>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</si>
  <si>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</si>
  <si>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</si>
  <si>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</si>
  <si>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</si>
  <si>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</si>
  <si>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</si>
  <si>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</si>
  <si>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</si>
  <si>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</si>
  <si>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</si>
  <si>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</si>
  <si>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</si>
  <si>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</si>
  <si>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</si>
  <si>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</si>
  <si>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</si>
  <si>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</si>
  <si>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</si>
  <si>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</si>
  <si>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</si>
  <si>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</si>
  <si>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</si>
  <si>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</si>
  <si>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</si>
  <si>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</si>
  <si>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</si>
  <si>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</si>
  <si>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</si>
  <si>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</si>
  <si>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</si>
  <si>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</si>
  <si>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</si>
  <si>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</si>
  <si>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</si>
  <si>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</si>
  <si>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</si>
  <si>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</si>
  <si>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</si>
  <si>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</si>
  <si>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</si>
  <si>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</si>
  <si>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</si>
  <si>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</si>
  <si>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</si>
  <si>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</si>
  <si>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</si>
  <si>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</si>
  <si>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</si>
  <si>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</si>
  <si>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</si>
  <si>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</si>
  <si>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</si>
  <si>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</si>
  <si>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</si>
  <si>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</si>
  <si>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</si>
  <si>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</si>
  <si>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</si>
  <si>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</si>
  <si>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</si>
  <si>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</si>
  <si>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</si>
  <si>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</si>
  <si>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</si>
  <si>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</si>
  <si>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</si>
  <si>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</si>
  <si>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</si>
  <si>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</si>
  <si>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</si>
  <si>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</si>
  <si>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</si>
  <si>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</si>
  <si>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</si>
  <si>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</si>
  <si>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</si>
  <si>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</si>
  <si>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</si>
  <si>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</si>
  <si>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</si>
  <si>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</si>
  <si>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</si>
  <si>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</si>
  <si>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</si>
  <si>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</si>
  <si>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</si>
  <si>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</si>
  <si>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</si>
  <si>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</si>
  <si>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</si>
  <si>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</si>
  <si>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</si>
  <si>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</si>
  <si>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</si>
  <si>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</si>
  <si>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</si>
  <si>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</si>
  <si>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</si>
  <si>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</si>
  <si>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</si>
  <si>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</si>
  <si>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</si>
  <si>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</si>
  <si>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</si>
  <si>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</si>
  <si>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</si>
  <si>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</si>
  <si>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</si>
  <si>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</si>
  <si>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</si>
  <si>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</si>
  <si>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</si>
  <si>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</si>
  <si>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</si>
  <si>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</si>
  <si>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</si>
  <si>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</si>
  <si>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</si>
  <si>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FUNDCODE</t>
  </si>
  <si>
    <t>FUNDNAME</t>
  </si>
  <si>
    <t>LOGO</t>
  </si>
  <si>
    <t>VFMVF1</t>
  </si>
  <si>
    <t>VFMVF4</t>
  </si>
  <si>
    <t>VFMVFA</t>
  </si>
  <si>
    <t>Quỹ Đầu tư Năng Động Việt Nam</t>
  </si>
  <si>
    <t>VFMVFB</t>
  </si>
  <si>
    <t>VFMVFC</t>
  </si>
  <si>
    <t>TCBF</t>
  </si>
  <si>
    <t>TCEF1</t>
  </si>
  <si>
    <t>Quỹ Đầu tư Cổ phiếu Techcom</t>
  </si>
  <si>
    <t>MBEF1</t>
  </si>
  <si>
    <t>Quỹ Đầu tư JAPAN ASIA MB CAPITAL</t>
  </si>
  <si>
    <t>MBVF</t>
  </si>
  <si>
    <t>Quỹ Đầu tư Giá trị MB Capital</t>
  </si>
  <si>
    <t>SSISCA</t>
  </si>
  <si>
    <t>Quỹ Đầu tư Lợi thế Cạnh tranh Bền vững SSI</t>
  </si>
  <si>
    <t>VCBBCF</t>
  </si>
  <si>
    <t>Quỹ Đầu tư Cổ Phiếu Hàng Đầu VCBF</t>
  </si>
  <si>
    <t>VCBFIF</t>
  </si>
  <si>
    <t xml:space="preserve">Quỹ Đầu Tư Trái Phiếu VCBF </t>
  </si>
  <si>
    <t>VCBTBF</t>
  </si>
  <si>
    <t>Quỹ Đầu tư Cân Bằng Chiến Lược VCBF</t>
  </si>
  <si>
    <t>VEOF</t>
  </si>
  <si>
    <t>Quỹ Đầu tư Cổ Phiếu Hưng Thịnh VinaWealth</t>
  </si>
  <si>
    <t>VESAF</t>
  </si>
  <si>
    <t>Quỹ Đầu tư Cổ Phiếu Tiếp Cận Thị Trường Việt Nam</t>
  </si>
  <si>
    <t>VFF</t>
  </si>
  <si>
    <t>Quỹ Đầu tư Trái Phiếu Bảo Thịnh VinaWealth</t>
  </si>
  <si>
    <t>VIBF</t>
  </si>
  <si>
    <t>Quỹ Đầu Tư Cân Bằng Tuệ Sáng VinaCapital</t>
  </si>
  <si>
    <t>VCAMBF</t>
  </si>
  <si>
    <t>Quỹ Đầu tư Cân bằng Bản Việt</t>
  </si>
  <si>
    <t>VFVN30</t>
  </si>
  <si>
    <t>Quỹ ETF VFMVN30</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</si>
  <si>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</si>
  <si>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</si>
  <si>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</si>
  <si>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</si>
  <si>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</si>
  <si>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</si>
  <si>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</si>
  <si>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AM16</t>
  </si>
  <si>
    <t>AIA Dividend Portfolio</t>
  </si>
  <si>
    <t>AM19</t>
  </si>
  <si>
    <t>Tổng công ty cổ phần bảo hiểm Bưu điện</t>
  </si>
  <si>
    <t>AM20</t>
  </si>
  <si>
    <t>FRANKLIN TEMPLETON CAPITAL HOLDINGS PRIVATE LIMITED (FTCHPL)</t>
  </si>
  <si>
    <t>AM28</t>
  </si>
  <si>
    <t>Tổng Công ty Cổ Phần Tái Bảo Hiểm Quốc Gia Việt Nam ("VINARE") VINARE-04</t>
  </si>
  <si>
    <t>AM29</t>
  </si>
  <si>
    <t>Tổng Công ty Cổ Phần Tái Bảo Hiểm Quốc Gia Việt Nam ("VINARE") VINARE-05</t>
  </si>
  <si>
    <t>AM30</t>
  </si>
  <si>
    <t>Tổng Công ty Cổ Phần Tái Bảo Hiểm Quốc Gia Việt Nam ("VINARE") -VINARE EQUITY PORTFOLIO 6</t>
  </si>
  <si>
    <t>AM31</t>
  </si>
  <si>
    <t>Tổng công ty cổ phần bảo hiểm Petrolimex</t>
  </si>
  <si>
    <t>AMI01</t>
  </si>
  <si>
    <t>Ông Huỳnh Văn Loanh</t>
  </si>
  <si>
    <t>CBPF</t>
  </si>
  <si>
    <t>Quỹ Đầu tư Trái phiếu Mở rộng Chubb</t>
  </si>
  <si>
    <t>NA</t>
  </si>
  <si>
    <t>VVBALF</t>
  </si>
  <si>
    <t>Quỹ Prulink Cân bằng</t>
  </si>
  <si>
    <t>VVBALG</t>
  </si>
  <si>
    <t>Quỹ Prulink Tăng trưởng</t>
  </si>
  <si>
    <t>VVEQUI</t>
  </si>
  <si>
    <t>VVUPG1</t>
  </si>
  <si>
    <t>Quỹ Prulink Trái phiếu Việt Nam</t>
  </si>
  <si>
    <t>VVUSTA</t>
  </si>
  <si>
    <t>Quỹ Prulink Bền vững</t>
  </si>
  <si>
    <t>VVUWB1</t>
  </si>
  <si>
    <t>Quỹ Prulink cổ phiếu Việt Nam</t>
  </si>
  <si>
    <t>MAGEF</t>
  </si>
  <si>
    <t>Quỹ đầu tư cổ phiếu tăng trưởng Mira asset Việt Nam</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</si>
  <si>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</si>
  <si>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</si>
  <si>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</si>
  <si>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</si>
  <si>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</si>
  <si>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</si>
  <si>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</si>
  <si>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</si>
  <si>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</si>
  <si>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</si>
  <si>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</si>
  <si>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</si>
  <si>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</si>
  <si>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</si>
  <si>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</si>
  <si>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</si>
  <si>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</si>
  <si>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</si>
  <si>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</si>
  <si>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</si>
  <si>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</si>
  <si>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</si>
  <si>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</si>
  <si>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</si>
  <si>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</si>
  <si>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</si>
  <si>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</si>
  <si>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</si>
  <si>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</si>
  <si>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</si>
  <si>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</si>
  <si>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</si>
  <si>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</si>
  <si>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</si>
  <si>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</si>
  <si>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</si>
  <si>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</si>
  <si>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</si>
  <si>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</si>
  <si>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</si>
  <si>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</si>
  <si>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</si>
  <si>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</si>
  <si>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</si>
  <si>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</si>
  <si>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</si>
  <si>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</si>
  <si>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</si>
  <si>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</si>
  <si>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</si>
  <si>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</si>
  <si>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</si>
  <si>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</si>
  <si>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</si>
  <si>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</si>
  <si>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</si>
  <si>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</si>
  <si>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</si>
  <si>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</si>
  <si>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</si>
  <si>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</si>
  <si>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</si>
  <si>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</si>
  <si>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</si>
  <si>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</si>
  <si>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</si>
  <si>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</si>
  <si>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</si>
  <si>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</si>
  <si>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</si>
  <si>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</si>
  <si>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</si>
  <si>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</si>
  <si>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</si>
  <si>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</si>
  <si>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</si>
  <si>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</si>
  <si>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</si>
  <si>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</si>
  <si>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</si>
  <si>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</si>
  <si>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</si>
  <si>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</si>
  <si>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</si>
  <si>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</si>
  <si>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</si>
  <si>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</si>
  <si>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</si>
  <si>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</si>
  <si>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</si>
  <si>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</si>
  <si>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</si>
  <si>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</si>
  <si>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</si>
  <si>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</si>
  <si>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</si>
  <si>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</si>
  <si>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</si>
  <si>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</si>
  <si>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</si>
  <si>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</si>
  <si>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</si>
  <si>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</si>
  <si>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</si>
  <si>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</si>
  <si>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</si>
  <si>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</si>
  <si>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</si>
  <si>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</si>
  <si>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</si>
  <si>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</si>
  <si>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</si>
  <si>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</si>
  <si>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</si>
  <si>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</si>
  <si>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</si>
  <si>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</si>
  <si>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</si>
  <si>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</si>
  <si>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</si>
  <si>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</si>
  <si>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</si>
  <si>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</si>
  <si>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</si>
  <si>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</si>
  <si>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</si>
  <si>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</si>
  <si>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</si>
  <si>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</si>
  <si>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</si>
  <si>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</si>
  <si>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</si>
  <si>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</si>
  <si>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</si>
  <si>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</si>
  <si>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</si>
  <si>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</si>
  <si>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</si>
  <si>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</si>
  <si>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</si>
  <si>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</si>
  <si>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</si>
  <si>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</si>
  <si>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</si>
  <si>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</si>
  <si>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</si>
  <si>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</si>
  <si>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</si>
  <si>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</si>
  <si>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</si>
  <si>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</si>
  <si>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</si>
  <si>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</si>
  <si>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</si>
  <si>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</si>
  <si>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</si>
  <si>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</si>
  <si>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</si>
  <si>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</si>
  <si>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</si>
  <si>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</si>
  <si>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</si>
  <si>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</si>
  <si>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</si>
  <si>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</si>
  <si>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</si>
  <si>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</si>
  <si>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</si>
  <si>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</si>
  <si>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</si>
  <si>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</si>
  <si>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</si>
  <si>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</si>
  <si>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</si>
  <si>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</si>
  <si>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</si>
  <si>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</si>
  <si>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</si>
  <si>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</si>
  <si>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</si>
  <si>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</si>
  <si>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</si>
  <si>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</si>
  <si>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</si>
  <si>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</si>
  <si>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</si>
  <si>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</si>
  <si>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</si>
  <si>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</si>
  <si>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</si>
  <si>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</si>
  <si>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</si>
  <si>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</si>
  <si>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</si>
  <si>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</si>
  <si>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</si>
  <si>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</si>
  <si>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</si>
  <si>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</si>
  <si>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</si>
  <si>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</si>
  <si>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</si>
  <si>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</si>
  <si>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</si>
  <si>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</si>
  <si>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</si>
  <si>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</si>
  <si>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</si>
  <si>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</si>
  <si>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</si>
  <si>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</si>
  <si>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</si>
  <si>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</si>
  <si>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</si>
  <si>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</si>
  <si>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</si>
  <si>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</si>
  <si>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</si>
  <si>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</si>
  <si>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</si>
  <si>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</si>
  <si>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</si>
  <si>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</si>
  <si>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</si>
  <si>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</si>
  <si>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</si>
  <si>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</si>
  <si>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</si>
  <si>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</si>
  <si>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</si>
  <si>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</si>
  <si>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</si>
  <si>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</si>
  <si>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</si>
  <si>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</si>
  <si>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</si>
  <si>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</si>
  <si>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</si>
  <si>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</si>
  <si>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</si>
  <si>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</si>
  <si>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</si>
  <si>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</si>
  <si>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</si>
  <si>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</si>
  <si>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</si>
  <si>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</si>
  <si>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</si>
  <si>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</si>
  <si>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</si>
  <si>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</si>
  <si>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</si>
  <si>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</si>
  <si>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</si>
  <si>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</si>
  <si>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</si>
  <si>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</si>
  <si>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</si>
  <si>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</si>
  <si>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</si>
  <si>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</si>
  <si>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</si>
  <si>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</si>
  <si>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</si>
  <si>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</si>
  <si>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</si>
  <si>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</si>
  <si>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</si>
  <si>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</si>
  <si>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</si>
  <si>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</si>
  <si>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</si>
  <si>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</si>
  <si>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</si>
  <si>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</si>
  <si>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t>
  </si>
  <si>
    <t>_______________________________________</t>
  </si>
  <si>
    <t>VFMVSF</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</si>
  <si>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</si>
  <si>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</si>
  <si>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</si>
  <si>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</si>
  <si>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</si>
  <si>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</si>
  <si>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</si>
  <si>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</si>
  <si>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</si>
  <si>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</si>
  <si>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</si>
  <si>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</si>
  <si>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</si>
  <si>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</si>
  <si>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</si>
  <si>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</si>
  <si>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</si>
  <si>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</si>
  <si>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</si>
  <si>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</si>
  <si>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</si>
  <si>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</si>
  <si>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</si>
  <si>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</si>
  <si>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</si>
  <si>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</si>
  <si>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</si>
  <si>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</si>
  <si>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</si>
  <si>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</si>
  <si>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</si>
  <si>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</si>
  <si>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</si>
  <si>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</si>
  <si>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</si>
  <si>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</si>
  <si>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</si>
  <si>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</si>
  <si>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</si>
  <si>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</si>
  <si>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</si>
  <si>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</si>
  <si>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</si>
  <si>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</si>
  <si>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</si>
  <si>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</si>
  <si>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</si>
  <si>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</si>
  <si>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</si>
  <si>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</si>
  <si>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</si>
  <si>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</si>
  <si>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</si>
  <si>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</si>
  <si>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</si>
  <si>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</si>
  <si>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L0021</t>
  </si>
  <si>
    <t>Quỹ cổ phiếu hàng đầu</t>
  </si>
  <si>
    <t>L0022</t>
  </si>
  <si>
    <t>Quỹ tăng trưởng</t>
  </si>
  <si>
    <t>L0023</t>
  </si>
  <si>
    <t>Quỹ Bền vững</t>
  </si>
  <si>
    <t>PA1</t>
  </si>
  <si>
    <t>Quỹ hưu trí tự nguyện Phúc An</t>
  </si>
  <si>
    <t>TA1</t>
  </si>
  <si>
    <t>Quỹ hưu trí tự nguyện Thịnh An</t>
  </si>
  <si>
    <t>VA1</t>
  </si>
  <si>
    <t>Quỹ hưu trí tự nguyện Vĩnh An</t>
  </si>
  <si>
    <t>MAAF</t>
  </si>
  <si>
    <t>Quỹ Tăng Trưởng</t>
  </si>
  <si>
    <t>MABF</t>
  </si>
  <si>
    <t>Quỹ cân bằng</t>
  </si>
  <si>
    <t>MAPF</t>
  </si>
  <si>
    <t>Quỹ bền vững</t>
  </si>
  <si>
    <t>VLGF</t>
  </si>
  <si>
    <t>Quỹ Đầu tư Tăng Trưởng Dài Hạn Việt Nam</t>
  </si>
  <si>
    <t>UVEEF</t>
  </si>
  <si>
    <t>VFMMID</t>
  </si>
  <si>
    <t>Quỹ ETF DCVFMVNMIDCAP</t>
  </si>
  <si>
    <t>VCBMGF</t>
  </si>
  <si>
    <t>Quỹ Đầu Tư Cổ phiếu Tăng trưởng VCBF</t>
  </si>
  <si>
    <t>AM33</t>
  </si>
  <si>
    <t>AM34</t>
  </si>
  <si>
    <t>AM35</t>
  </si>
  <si>
    <t>AM36</t>
  </si>
  <si>
    <t>Tổng công ty cổ phần bảo hiểm Petrolimex - PJICO EQUITY PORTFOLIO 04</t>
  </si>
  <si>
    <t>AM37</t>
  </si>
  <si>
    <t>AM38</t>
  </si>
  <si>
    <t>AM39</t>
  </si>
  <si>
    <t>AM40</t>
  </si>
  <si>
    <t>AM41</t>
  </si>
  <si>
    <t>AM42</t>
  </si>
  <si>
    <t>AM43</t>
  </si>
  <si>
    <t>AM44</t>
  </si>
  <si>
    <t>AM45</t>
  </si>
  <si>
    <t>AM46</t>
  </si>
  <si>
    <t>AM47</t>
  </si>
  <si>
    <t>AM48</t>
  </si>
  <si>
    <t>AM49</t>
  </si>
  <si>
    <t>AM50</t>
  </si>
  <si>
    <t>Quỹ Đầu tư Chứng khoán Năng động DC</t>
  </si>
  <si>
    <t>Quỹ Đầu tư Doanh nghiệp Hàng đầu DC</t>
  </si>
  <si>
    <t>Quỹ Đầu tư Trái phiếu DC</t>
  </si>
  <si>
    <t>Quỹ Đầu tư Trái phiếu Gia tăng Thu nhập Cố định DC</t>
  </si>
  <si>
    <t>Quỹ Đầu Tư Cổ Phiếu Việt Nam Chọn Lọc</t>
  </si>
  <si>
    <t>QUỸ ĐẦU TƯ CỔ PHIẾU UNITED ESG VIỆT NAM</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</si>
  <si>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</si>
  <si>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</si>
  <si>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</si>
  <si>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</si>
  <si>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</si>
  <si>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</si>
  <si>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</si>
  <si>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</si>
  <si>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VMPF</t>
  </si>
  <si>
    <t>Quỹ Đầu Tư Cổ Phiếu Hiệu Suất Thị Trường Việt Nam VinaCapital (VinaCapital-VMPF)</t>
  </si>
  <si>
    <t>ENF</t>
  </si>
  <si>
    <t>EVESG</t>
  </si>
  <si>
    <t>Công cụ thị trường tiền tệ
Money market instruments</t>
  </si>
  <si>
    <t>Lãi công cụ thị trường tiền tệ
Interest income from Money market instruments</t>
  </si>
  <si>
    <t>Phí môi giới, chuyển nhượng
Brokerage &amp; transfer fee</t>
  </si>
  <si>
    <t>Phải thu lãi công cụ thị trường tiền tệ
Interest receivables from Money market instruments</t>
  </si>
  <si>
    <t>Dự thu lãi công cụ thị trường tiền tệ
Interest accrual from Money market instruments</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</si>
  <si>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</si>
  <si>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</si>
  <si>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</si>
  <si>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</si>
  <si>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</si>
  <si>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UVDIF</t>
  </si>
  <si>
    <t>VDEF</t>
  </si>
  <si>
    <t>VCBAIF</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</si>
  <si>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</si>
  <si>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</si>
  <si>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</si>
  <si>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</si>
  <si>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</si>
  <si>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</si>
  <si>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</si>
  <si>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</si>
  <si>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</si>
  <si>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</si>
  <si>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</si>
  <si>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ACV</t>
  </si>
  <si>
    <t>2246.2</t>
  </si>
  <si>
    <t>3</t>
  </si>
  <si>
    <t>BAF</t>
  </si>
  <si>
    <t>2246.3</t>
  </si>
  <si>
    <t>4</t>
  </si>
  <si>
    <t>BID</t>
  </si>
  <si>
    <t>2246.4</t>
  </si>
  <si>
    <t>5</t>
  </si>
  <si>
    <t>BMP</t>
  </si>
  <si>
    <t>2246.5</t>
  </si>
  <si>
    <t>6</t>
  </si>
  <si>
    <t>BWE</t>
  </si>
  <si>
    <t>2246.6</t>
  </si>
  <si>
    <t>7</t>
  </si>
  <si>
    <t>CTD</t>
  </si>
  <si>
    <t>2246.7</t>
  </si>
  <si>
    <t>8</t>
  </si>
  <si>
    <t>CTG</t>
  </si>
  <si>
    <t>2246.8</t>
  </si>
  <si>
    <t>9</t>
  </si>
  <si>
    <t>CTR</t>
  </si>
  <si>
    <t>2246.9</t>
  </si>
  <si>
    <t>10</t>
  </si>
  <si>
    <t>DBC</t>
  </si>
  <si>
    <t>2246.10</t>
  </si>
  <si>
    <t>11</t>
  </si>
  <si>
    <t>DCM</t>
  </si>
  <si>
    <t>2246.11</t>
  </si>
  <si>
    <t>12</t>
  </si>
  <si>
    <t>DGC</t>
  </si>
  <si>
    <t>2246.12</t>
  </si>
  <si>
    <t>13</t>
  </si>
  <si>
    <t>DGW</t>
  </si>
  <si>
    <t>2246.13</t>
  </si>
  <si>
    <t>14</t>
  </si>
  <si>
    <t>DPG</t>
  </si>
  <si>
    <t>2246.14</t>
  </si>
  <si>
    <t>15</t>
  </si>
  <si>
    <t>DPM</t>
  </si>
  <si>
    <t>2246.15</t>
  </si>
  <si>
    <t>16</t>
  </si>
  <si>
    <t>DXG</t>
  </si>
  <si>
    <t>2246.16</t>
  </si>
  <si>
    <t>17</t>
  </si>
  <si>
    <t>FOX</t>
  </si>
  <si>
    <t>2246.17</t>
  </si>
  <si>
    <t>18</t>
  </si>
  <si>
    <t>FPT</t>
  </si>
  <si>
    <t>2246.18</t>
  </si>
  <si>
    <t>19</t>
  </si>
  <si>
    <t>FRT</t>
  </si>
  <si>
    <t>2246.19</t>
  </si>
  <si>
    <t>20</t>
  </si>
  <si>
    <t>GMD</t>
  </si>
  <si>
    <t>2246.20</t>
  </si>
  <si>
    <t>21</t>
  </si>
  <si>
    <t>HDB</t>
  </si>
  <si>
    <t>2246.21</t>
  </si>
  <si>
    <t>22</t>
  </si>
  <si>
    <t>HDG</t>
  </si>
  <si>
    <t>2246.22</t>
  </si>
  <si>
    <t>23</t>
  </si>
  <si>
    <t>HHV</t>
  </si>
  <si>
    <t>2246.23</t>
  </si>
  <si>
    <t>24</t>
  </si>
  <si>
    <t>HPG</t>
  </si>
  <si>
    <t>2246.24</t>
  </si>
  <si>
    <t>25</t>
  </si>
  <si>
    <t>HSG</t>
  </si>
  <si>
    <t>2246.25</t>
  </si>
  <si>
    <t>26</t>
  </si>
  <si>
    <t>HVN</t>
  </si>
  <si>
    <t>2246.26</t>
  </si>
  <si>
    <t>27</t>
  </si>
  <si>
    <t>IDC</t>
  </si>
  <si>
    <t>2246.27</t>
  </si>
  <si>
    <t>28</t>
  </si>
  <si>
    <t>KDH</t>
  </si>
  <si>
    <t>2246.28</t>
  </si>
  <si>
    <t>29</t>
  </si>
  <si>
    <t>LHG</t>
  </si>
  <si>
    <t>2246.29</t>
  </si>
  <si>
    <t>30</t>
  </si>
  <si>
    <t>LPB</t>
  </si>
  <si>
    <t>2246.30</t>
  </si>
  <si>
    <t>31</t>
  </si>
  <si>
    <t>MBB</t>
  </si>
  <si>
    <t>2246.31</t>
  </si>
  <si>
    <t>32</t>
  </si>
  <si>
    <t>MBS</t>
  </si>
  <si>
    <t>2246.32</t>
  </si>
  <si>
    <t>33</t>
  </si>
  <si>
    <t>MCH</t>
  </si>
  <si>
    <t>2246.33</t>
  </si>
  <si>
    <t>34</t>
  </si>
  <si>
    <t>MWG</t>
  </si>
  <si>
    <t>2246.34</t>
  </si>
  <si>
    <t>35</t>
  </si>
  <si>
    <t>NKG</t>
  </si>
  <si>
    <t>2246.35</t>
  </si>
  <si>
    <t>36</t>
  </si>
  <si>
    <t>NLG</t>
  </si>
  <si>
    <t>2246.36</t>
  </si>
  <si>
    <t>37</t>
  </si>
  <si>
    <t>OIL</t>
  </si>
  <si>
    <t>2246.37</t>
  </si>
  <si>
    <t>38</t>
  </si>
  <si>
    <t>PC1</t>
  </si>
  <si>
    <t>2246.38</t>
  </si>
  <si>
    <t>39</t>
  </si>
  <si>
    <t>PDR</t>
  </si>
  <si>
    <t>2246.39</t>
  </si>
  <si>
    <t>40</t>
  </si>
  <si>
    <t>PNJ</t>
  </si>
  <si>
    <t>2246.40</t>
  </si>
  <si>
    <t>41</t>
  </si>
  <si>
    <t>PTB</t>
  </si>
  <si>
    <t>2246.41</t>
  </si>
  <si>
    <t>42</t>
  </si>
  <si>
    <t>PVD</t>
  </si>
  <si>
    <t>2246.42</t>
  </si>
  <si>
    <t>43</t>
  </si>
  <si>
    <t>PVS</t>
  </si>
  <si>
    <t>2246.43</t>
  </si>
  <si>
    <t>44</t>
  </si>
  <si>
    <t>PVT</t>
  </si>
  <si>
    <t>2246.44</t>
  </si>
  <si>
    <t>45</t>
  </si>
  <si>
    <t>SAB</t>
  </si>
  <si>
    <t>2246.45</t>
  </si>
  <si>
    <t>46</t>
  </si>
  <si>
    <t>SSI</t>
  </si>
  <si>
    <t>2246.46</t>
  </si>
  <si>
    <t>47</t>
  </si>
  <si>
    <t>STB</t>
  </si>
  <si>
    <t>2246.47</t>
  </si>
  <si>
    <t>48</t>
  </si>
  <si>
    <t>TCB</t>
  </si>
  <si>
    <t>2246.48</t>
  </si>
  <si>
    <t>49</t>
  </si>
  <si>
    <t>TCH</t>
  </si>
  <si>
    <t>2246.49</t>
  </si>
  <si>
    <t>50</t>
  </si>
  <si>
    <t>TDC</t>
  </si>
  <si>
    <t>2246.50</t>
  </si>
  <si>
    <t>51</t>
  </si>
  <si>
    <t>TNG</t>
  </si>
  <si>
    <t>2246.51</t>
  </si>
  <si>
    <t>52</t>
  </si>
  <si>
    <t>VCB</t>
  </si>
  <si>
    <t>2246.52</t>
  </si>
  <si>
    <t>53</t>
  </si>
  <si>
    <t>VCI</t>
  </si>
  <si>
    <t>2246.53</t>
  </si>
  <si>
    <t>54</t>
  </si>
  <si>
    <t>VDS</t>
  </si>
  <si>
    <t>2246.54</t>
  </si>
  <si>
    <t>55</t>
  </si>
  <si>
    <t>VEA</t>
  </si>
  <si>
    <t>2246.55</t>
  </si>
  <si>
    <t>56</t>
  </si>
  <si>
    <t>VGS</t>
  </si>
  <si>
    <t>2246.56</t>
  </si>
  <si>
    <t>57</t>
  </si>
  <si>
    <t>VHM</t>
  </si>
  <si>
    <t>2246.57</t>
  </si>
  <si>
    <t>58</t>
  </si>
  <si>
    <t>VNM</t>
  </si>
  <si>
    <t>2246.58</t>
  </si>
  <si>
    <t>59</t>
  </si>
  <si>
    <t>VPB</t>
  </si>
  <si>
    <t>2246.59</t>
  </si>
  <si>
    <t>60</t>
  </si>
  <si>
    <t>VTP</t>
  </si>
  <si>
    <t>2246.60</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</si>
  <si>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</si>
  <si>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</si>
  <si>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</si>
  <si>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</si>
  <si>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</si>
  <si>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</si>
  <si>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</si>
  <si>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</si>
  <si>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</si>
  <si>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</si>
  <si>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</si>
  <si>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</si>
  <si>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</si>
  <si>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</si>
  <si>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Unlisted Bonds</t>
  </si>
  <si>
    <t>2251.2</t>
  </si>
  <si>
    <t>TỔNG
	TOTAL</t>
  </si>
  <si>
    <t>2252</t>
  </si>
  <si>
    <t>V</t>
  </si>
  <si>
    <t>CÁC LOẠI CHỨNG KHOÁN KHÁC
	OTHER SECURITIES</t>
  </si>
  <si>
    <t>2253</t>
  </si>
  <si>
    <t>1</t>
  </si>
  <si>
    <t>Quyền mua chứng khoán
Investment - Rights</t>
  </si>
  <si>
    <t>2253.1</t>
  </si>
  <si>
    <t>1.1</t>
  </si>
  <si>
    <t>SSI SECURITIES CORP</t>
  </si>
  <si>
    <t>2253.1.1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</si>
  <si>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</si>
  <si>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</si>
  <si>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</si>
  <si>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</si>
  <si>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</si>
  <si>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</si>
  <si>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</si>
  <si>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</si>
  <si>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</si>
  <si>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</si>
  <si>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</si>
  <si>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</si>
  <si>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</si>
  <si>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</si>
  <si>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</si>
  <si>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</si>
  <si>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</si>
  <si>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</si>
  <si>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</si>
  <si>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</si>
  <si>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</si>
  <si>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</si>
  <si>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</si>
  <si>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</si>
  <si>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</si>
  <si>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</si>
  <si>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</si>
  <si>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</si>
  <si>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</si>
  <si>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</si>
  <si>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</si>
  <si>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</si>
  <si>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</si>
  <si>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</si>
  <si>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</si>
  <si>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</si>
  <si>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</si>
  <si>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</si>
  <si>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</si>
  <si>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</si>
  <si>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</si>
  <si>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</si>
  <si>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</si>
  <si>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</si>
  <si>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</si>
  <si>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</si>
  <si>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</si>
  <si>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</si>
  <si>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</si>
  <si>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</si>
  <si>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</si>
  <si>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</si>
  <si>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</si>
  <si>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</si>
  <si>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</si>
  <si>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</si>
  <si>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</si>
  <si>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</si>
  <si>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</si>
  <si>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</si>
  <si>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</si>
  <si>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</si>
  <si>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</si>
  <si>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</si>
  <si>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</si>
  <si>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</si>
  <si>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</si>
  <si>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</si>
  <si>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</si>
  <si>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</si>
  <si>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</si>
  <si>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</si>
  <si>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</si>
  <si>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</si>
  <si>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</si>
  <si>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</si>
  <si>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</si>
  <si>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</si>
  <si>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</si>
  <si>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</si>
  <si>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</si>
  <si>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</si>
  <si>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</si>
  <si>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</si>
  <si>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</si>
  <si>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</si>
  <si>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</si>
  <si>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</si>
  <si>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</si>
  <si>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</si>
  <si>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</si>
  <si>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</si>
  <si>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</si>
  <si>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</si>
  <si>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</si>
  <si>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</si>
  <si>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</si>
  <si>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</si>
  <si>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</si>
  <si>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</si>
  <si>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</si>
  <si>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</si>
  <si>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</si>
  <si>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</si>
  <si>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</si>
  <si>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</si>
  <si>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</si>
  <si>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</si>
  <si>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</si>
  <si>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</si>
  <si>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</si>
  <si>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</si>
  <si>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</si>
  <si>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</si>
  <si>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</si>
  <si>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</si>
  <si>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</si>
  <si>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</si>
  <si>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</si>
  <si>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</si>
  <si>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</si>
  <si>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</si>
  <si>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</si>
  <si>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</si>
  <si>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</si>
  <si>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</si>
  <si>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</si>
  <si>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</si>
  <si>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</si>
  <si>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</si>
  <si>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</si>
  <si>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</si>
  <si>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</si>
  <si>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</si>
  <si>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</si>
  <si>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</si>
  <si>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</si>
  <si>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</si>
  <si>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</si>
  <si>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</si>
  <si>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</si>
  <si>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</si>
  <si>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</si>
  <si>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</si>
  <si>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</si>
  <si>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</si>
  <si>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</si>
  <si>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</si>
  <si>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</si>
  <si>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</si>
  <si>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</si>
  <si>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</si>
  <si>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</si>
  <si>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</si>
  <si>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</si>
  <si>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</si>
  <si>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</si>
  <si>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</si>
  <si>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</si>
  <si>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</si>
  <si>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</si>
  <si>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</si>
  <si>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</si>
  <si>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</si>
  <si>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</si>
  <si>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</si>
  <si>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</si>
  <si>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</si>
  <si>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</si>
  <si>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</si>
  <si>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</si>
  <si>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</si>
  <si>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</si>
  <si>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</si>
  <si>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</si>
  <si>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</si>
  <si>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</si>
  <si>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</si>
  <si>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</si>
  <si>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</si>
  <si>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</si>
  <si>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</si>
  <si>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</si>
  <si>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</si>
  <si>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</si>
  <si>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</si>
  <si>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</si>
  <si>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</si>
  <si>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</si>
  <si>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</si>
  <si>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</si>
  <si>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</si>
  <si>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</si>
  <si>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</si>
  <si>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</si>
  <si>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</si>
  <si>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</si>
  <si>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</si>
  <si>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</si>
  <si>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</si>
  <si>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</si>
  <si>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</si>
  <si>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</si>
  <si>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</si>
  <si>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</si>
  <si>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</si>
  <si>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</si>
  <si>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</si>
  <si>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</si>
  <si>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</si>
  <si>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</si>
  <si>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</si>
  <si>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</si>
  <si>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</si>
  <si>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</si>
  <si>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</si>
  <si>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</si>
  <si>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</si>
  <si>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</si>
  <si>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</si>
  <si>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</si>
  <si>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</si>
  <si>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</si>
  <si>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</si>
  <si>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</si>
  <si>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</si>
  <si>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</si>
  <si>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</si>
  <si>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</si>
  <si>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</si>
  <si>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</si>
  <si>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</si>
  <si>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</si>
  <si>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</si>
  <si>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</si>
  <si>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</si>
  <si>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</si>
  <si>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</si>
  <si>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</si>
  <si>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</si>
  <si>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</si>
  <si>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</si>
  <si>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</si>
  <si>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</si>
  <si>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</si>
  <si>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</si>
  <si>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</si>
  <si>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</si>
  <si>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</si>
  <si>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</si>
  <si>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</si>
  <si>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</si>
  <si>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</si>
  <si>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</si>
  <si>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</si>
  <si>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</si>
  <si>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</si>
  <si>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</si>
  <si>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</si>
  <si>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</si>
  <si>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</si>
  <si>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</si>
  <si>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</si>
  <si>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</si>
  <si>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</si>
  <si>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</si>
  <si>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</si>
  <si>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</si>
  <si>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</si>
  <si>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</si>
  <si>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</si>
  <si>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</si>
  <si>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</si>
  <si>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</si>
  <si>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</si>
  <si>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</si>
  <si>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</si>
  <si>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</si>
  <si>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</si>
  <si>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</si>
  <si>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</si>
  <si>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</si>
  <si>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</si>
  <si>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</si>
  <si>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</si>
  <si>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</si>
  <si>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</si>
  <si>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</si>
  <si>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</si>
  <si>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</si>
  <si>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</si>
  <si>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</si>
  <si>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</si>
  <si>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</si>
  <si>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</si>
  <si>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</si>
  <si>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</si>
  <si>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</si>
  <si>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</si>
  <si>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</si>
  <si>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</si>
  <si>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</si>
  <si>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</si>
  <si>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</si>
  <si>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</si>
  <si>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</si>
  <si>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</si>
  <si>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</si>
  <si>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</si>
  <si>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</si>
  <si>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</si>
  <si>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</si>
  <si>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</si>
  <si>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</si>
  <si>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</si>
  <si>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</si>
  <si>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</si>
  <si>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</si>
  <si>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</si>
  <si>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</si>
  <si>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</si>
  <si>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</si>
  <si>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</si>
  <si>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</si>
  <si>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</si>
  <si>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</si>
  <si>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</si>
  <si>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</si>
  <si>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</si>
  <si>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</si>
  <si>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</si>
  <si>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</si>
  <si>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</si>
  <si>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</si>
  <si>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</si>
  <si>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</si>
  <si>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</si>
  <si>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</si>
  <si>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</si>
  <si>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</si>
  <si>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</si>
  <si>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</si>
  <si>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</si>
  <si>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</si>
  <si>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</si>
  <si>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</si>
  <si>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</si>
  <si>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</si>
  <si>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</si>
  <si>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</si>
  <si>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</si>
  <si>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</si>
  <si>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</si>
  <si>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</si>
  <si>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</si>
  <si>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</si>
  <si>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</si>
  <si>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</si>
  <si>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</si>
  <si>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</si>
  <si>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</si>
  <si>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</si>
  <si>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</si>
  <si>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</si>
  <si>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</si>
  <si>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</si>
  <si>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</si>
  <si>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</si>
  <si>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</si>
  <si>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</si>
  <si>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</si>
  <si>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</si>
  <si>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</si>
  <si>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</si>
  <si>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</si>
  <si>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</si>
  <si>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</si>
  <si>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</si>
  <si>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</si>
  <si>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</si>
  <si>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</si>
  <si>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</si>
  <si>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</si>
  <si>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</si>
  <si>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</si>
  <si>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</si>
  <si>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</si>
  <si>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</si>
  <si>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</si>
  <si>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</si>
  <si>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</si>
  <si>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</si>
  <si>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</si>
  <si>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</si>
  <si>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</si>
  <si>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</si>
  <si>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</si>
  <si>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</si>
  <si>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</si>
  <si>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</si>
  <si>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</si>
  <si>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</si>
  <si>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</si>
  <si>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</si>
  <si>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</si>
  <si>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</si>
  <si>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</si>
  <si>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</si>
  <si>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</si>
  <si>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</si>
  <si>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</si>
  <si>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</si>
  <si>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</si>
  <si>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</si>
  <si>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</si>
  <si>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</si>
  <si>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</si>
  <si>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</si>
  <si>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</si>
  <si>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</si>
  <si>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</si>
  <si>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</si>
  <si>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</si>
  <si>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</si>
  <si>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</si>
  <si>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30 tháng 09 năm 2024
/ As at 30 Sep 2024</t>
  </si>
  <si>
    <t>Tháng 09 năm 2024
/ Sep 2024</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</si>
  <si>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</si>
  <si>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</si>
  <si>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</si>
  <si>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</si>
  <si>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01 tháng 10 năm 2024</t>
  </si>
  <si>
    <t>01 Oct 2024</t>
  </si>
  <si>
    <t>Vũ Quang Phan</t>
  </si>
  <si>
    <t>Lê Hoàng Anh</t>
  </si>
  <si>
    <t>Phó phòng Dịch vụ nghiệp vụ giám sát Quỹ</t>
  </si>
  <si>
    <t>Quyền Giám đốc nghiệp vụ hỗ trợ đầu tư</t>
  </si>
  <si>
    <t>Ngày 30 tháng 09 năm 2024
 As at 30 Sep 2024</t>
  </si>
  <si>
    <t>Ngày 31 tháng 08 năm 2024
 As at 31 Aug 2024</t>
  </si>
  <si>
    <t>Tháng 09 năm 2024
Sep 2024</t>
  </si>
  <si>
    <t>Tháng 08 năm 2024
Aug 2024</t>
  </si>
  <si>
    <t>Năm 2024
Year 2024</t>
  </si>
  <si>
    <t>Năm 2023
Year 2023</t>
  </si>
  <si>
    <t>Tháng 09 năm 2023
Sep 2023</t>
  </si>
  <si>
    <t>Ninh Thị Tuệ Minh</t>
  </si>
  <si>
    <t>Kế toán Quỹ</t>
  </si>
  <si>
    <t>Trưởng phòng Kế toán Quỹ</t>
  </si>
  <si>
    <t>DC Dynamic Securities Fund (DCDS)</t>
  </si>
  <si>
    <t>Nguyễn Kiều Trúc Ly</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</si>
  <si>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</si>
  <si>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 xml:space="preserve">       _________________________________________________________</t>
  </si>
  <si>
    <t xml:space="preserve">  __________________________________________</t>
  </si>
  <si>
    <t>__________________________________________________</t>
  </si>
  <si>
    <t>___________________________________</t>
  </si>
  <si>
    <t xml:space="preserve">  Quyền Giám đốc nghiệp vụ hỗ trợ đầu tư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</si>
</sst>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4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
      <b/>
      <sz val="12"/>
      <color theme="1"/>
      <name val="Tahoma"/>
      <family val="2"/>
    </font>
    <font>
      <sz val="12"/>
      <color theme="1"/>
      <name val="Arial"/>
      <family val="2"/>
    </font>
    <font>
      <i/>
      <sz val="12"/>
      <color theme="1"/>
      <name val="Tahoma"/>
      <family val="2"/>
    </font>
    <font>
      <sz val="12"/>
      <color theme="1"/>
      <name val="Tahoma"/>
      <family val="2"/>
    </font>
    <font>
      <b/>
      <sz val="12"/>
      <color indexed="30"/>
      <name val="Tahoma"/>
      <family val="2"/>
    </font>
    <font>
      <b/>
      <sz val="12"/>
      <name val="Tahoma"/>
      <family val="2"/>
    </font>
    <font>
      <sz val="12"/>
      <name val="Arial"/>
      <family val="2"/>
    </font>
    <font>
      <sz val="12"/>
      <name val="Tahoma"/>
      <family val="2"/>
    </font>
    <font>
      <b/>
      <sz val="12"/>
      <color theme="1"/>
      <name val="Arial"/>
      <family val="2"/>
    </font>
    <font>
      <i/>
      <sz val="12"/>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262">
    <xf numFmtId="0" fontId="0" fillId="0" borderId="0" xfId="0"/>
    <xf numFmtId="0" fontId="4" fillId="3" borderId="0" xfId="0" applyFont="1" applyFill="1"/>
    <xf numFmtId="0" fontId="5" fillId="3" borderId="0" xfId="0" applyFont="1" applyFill="1"/>
    <xf numFmtId="0" fontId="5" fillId="0" borderId="0" xfId="0" applyFont="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5"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5"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0" fontId="6" fillId="3" borderId="8" xfId="0" applyFont="1" applyFill="1" applyBorder="1" applyAlignment="1">
      <alignment vertical="center"/>
    </xf>
    <xf numFmtId="49" fontId="13" fillId="3" borderId="9" xfId="0" applyNumberFormat="1" applyFont="1" applyFill="1" applyBorder="1" applyAlignment="1">
      <alignment horizontal="center" vertical="center"/>
    </xf>
    <xf numFmtId="0" fontId="8" fillId="2" borderId="9" xfId="6" applyFont="1" applyFill="1" applyBorder="1" applyAlignment="1" applyProtection="1">
      <alignment horizontal="left" vertical="center" wrapText="1"/>
    </xf>
    <xf numFmtId="165"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6" fontId="7" fillId="3" borderId="14" xfId="0" applyNumberFormat="1" applyFont="1" applyFill="1" applyBorder="1" applyAlignment="1" applyProtection="1">
      <alignment horizontal="right" vertical="center" wrapText="1"/>
      <protection locked="0"/>
    </xf>
    <xf numFmtId="166" fontId="8" fillId="2" borderId="9" xfId="7" applyNumberFormat="1" applyFont="1" applyFill="1" applyBorder="1" applyAlignment="1" applyProtection="1">
      <alignment horizontal="right" vertical="center" wrapText="1"/>
      <protection locked="0"/>
    </xf>
    <xf numFmtId="165"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5" fontId="6" fillId="3" borderId="0" xfId="13" applyNumberFormat="1" applyFont="1" applyFill="1" applyProtection="1">
      <protection locked="0"/>
    </xf>
    <xf numFmtId="165" fontId="13" fillId="3" borderId="0" xfId="13" applyNumberFormat="1" applyFont="1" applyFill="1" applyProtection="1">
      <protection locked="0"/>
    </xf>
    <xf numFmtId="0" fontId="12" fillId="3" borderId="0" xfId="11" applyFont="1" applyFill="1"/>
    <xf numFmtId="165"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43" fontId="8" fillId="3" borderId="15" xfId="7" applyFont="1" applyFill="1" applyBorder="1" applyAlignment="1" applyProtection="1">
      <alignment horizontal="right" vertical="center" wrapText="1"/>
      <protection locked="0"/>
    </xf>
    <xf numFmtId="43"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41"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applyAlignment="1">
      <alignment wrapText="1"/>
    </xf>
    <xf numFmtId="0" fontId="12" fillId="0" borderId="0" xfId="0" applyFont="1" applyFill="1" applyAlignment="1">
      <alignment wrapText="1"/>
    </xf>
    <xf numFmtId="0" fontId="12" fillId="0" borderId="0" xfId="0" applyFont="1" applyFill="1" applyAlignment="1"/>
    <xf numFmtId="0" fontId="13" fillId="0" borderId="0" xfId="0" applyFont="1" applyFill="1"/>
    <xf numFmtId="0" fontId="12" fillId="0" borderId="0" xfId="0" applyFont="1" applyFill="1"/>
    <xf numFmtId="0" fontId="10" fillId="3" borderId="0" xfId="0" applyFont="1" applyFill="1" applyBorder="1" applyAlignment="1">
      <alignment horizontal="left" vertical="center"/>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165"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41" fontId="8" fillId="7" borderId="9" xfId="22" applyNumberFormat="1" applyFont="1" applyFill="1" applyBorder="1" applyAlignment="1">
      <alignment horizontal="left"/>
    </xf>
    <xf numFmtId="41" fontId="7" fillId="5" borderId="9" xfId="22" applyNumberFormat="1" applyFont="1" applyBorder="1"/>
    <xf numFmtId="41" fontId="7" fillId="0" borderId="9" xfId="0" applyNumberFormat="1" applyFont="1" applyBorder="1" applyAlignment="1">
      <alignment horizontal="left"/>
    </xf>
    <xf numFmtId="41"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41" fontId="8" fillId="7" borderId="9" xfId="22" applyNumberFormat="1" applyFont="1" applyFill="1" applyBorder="1"/>
    <xf numFmtId="0" fontId="6" fillId="3" borderId="0" xfId="12" applyFont="1" applyFill="1" applyAlignment="1"/>
    <xf numFmtId="0" fontId="6" fillId="3" borderId="0" xfId="12" applyFont="1" applyFill="1" applyAlignment="1">
      <alignment horizontal="center"/>
    </xf>
    <xf numFmtId="0" fontId="13" fillId="3" borderId="0" xfId="12" applyFont="1" applyFill="1" applyAlignment="1"/>
    <xf numFmtId="0" fontId="13" fillId="3" borderId="5" xfId="12" applyFont="1" applyFill="1" applyBorder="1"/>
    <xf numFmtId="0" fontId="6" fillId="3" borderId="5" xfId="12"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5"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5" fontId="28" fillId="16" borderId="26" xfId="0" applyNumberFormat="1" applyFont="1" applyFill="1" applyBorder="1" applyAlignment="1" applyProtection="1">
      <alignment horizontal="right" vertical="center" wrapText="1"/>
      <protection locked="0"/>
    </xf>
    <xf numFmtId="43"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0" fontId="13" fillId="3" borderId="0" xfId="0" applyFont="1" applyFill="1" applyBorder="1" applyAlignment="1">
      <alignment horizontal="center" vertical="center"/>
    </xf>
    <xf numFmtId="0" fontId="13" fillId="3" borderId="0" xfId="0" applyFont="1" applyFill="1" applyBorder="1" applyAlignment="1">
      <alignment vertical="center"/>
    </xf>
    <xf numFmtId="0" fontId="32" fillId="0" borderId="0" xfId="0" applyFont="1" applyFill="1"/>
    <xf numFmtId="0" fontId="34" fillId="3" borderId="0" xfId="0" applyFont="1" applyFill="1" applyAlignment="1">
      <alignment vertical="center"/>
    </xf>
    <xf numFmtId="0" fontId="35" fillId="3" borderId="0" xfId="0" applyFont="1" applyFill="1" applyBorder="1" applyAlignment="1">
      <alignment horizontal="left" vertical="center" wrapText="1"/>
    </xf>
    <xf numFmtId="0" fontId="34" fillId="3" borderId="0" xfId="0" applyFont="1" applyFill="1" applyAlignment="1">
      <alignment vertical="center" wrapText="1"/>
    </xf>
    <xf numFmtId="0" fontId="36" fillId="2" borderId="9" xfId="0" applyNumberFormat="1" applyFont="1" applyFill="1" applyBorder="1" applyAlignment="1" applyProtection="1">
      <alignment horizontal="center" vertical="center" wrapText="1"/>
    </xf>
    <xf numFmtId="49" fontId="36" fillId="2" borderId="9" xfId="0" applyNumberFormat="1" applyFont="1" applyFill="1" applyBorder="1" applyAlignment="1" applyProtection="1">
      <alignment horizontal="center" vertical="center" wrapText="1"/>
    </xf>
    <xf numFmtId="165" fontId="36" fillId="2" borderId="9" xfId="7" applyNumberFormat="1" applyFont="1" applyFill="1" applyBorder="1" applyAlignment="1" applyProtection="1">
      <alignment horizontal="center" vertical="center" wrapText="1"/>
      <protection locked="0"/>
    </xf>
    <xf numFmtId="0" fontId="36" fillId="2" borderId="9" xfId="4" applyFont="1" applyFill="1" applyBorder="1" applyAlignment="1" applyProtection="1">
      <alignment horizontal="left" vertical="center" wrapText="1"/>
    </xf>
    <xf numFmtId="49" fontId="36" fillId="2" borderId="9" xfId="4" applyNumberFormat="1" applyFont="1" applyFill="1" applyBorder="1" applyAlignment="1" applyProtection="1">
      <alignment horizontal="center" vertical="center" wrapText="1"/>
    </xf>
    <xf numFmtId="0" fontId="38" fillId="2" borderId="9" xfId="4" applyNumberFormat="1" applyFont="1" applyFill="1" applyBorder="1" applyAlignment="1" applyProtection="1">
      <alignment horizontal="center" vertical="center" wrapText="1"/>
    </xf>
    <xf numFmtId="165" fontId="36" fillId="2" borderId="9" xfId="7" applyNumberFormat="1" applyFont="1" applyFill="1" applyBorder="1" applyAlignment="1" applyProtection="1">
      <alignment horizontal="right" vertical="center" wrapText="1"/>
      <protection locked="0"/>
    </xf>
    <xf numFmtId="0" fontId="39" fillId="0" borderId="0" xfId="0" applyFont="1" applyFill="1"/>
    <xf numFmtId="0" fontId="38" fillId="3" borderId="9" xfId="4" applyFont="1" applyFill="1" applyBorder="1" applyAlignment="1" applyProtection="1">
      <alignment horizontal="left" vertical="center" wrapText="1"/>
    </xf>
    <xf numFmtId="49" fontId="38" fillId="0" borderId="9" xfId="4" applyNumberFormat="1" applyFont="1" applyFill="1" applyBorder="1" applyAlignment="1" applyProtection="1">
      <alignment horizontal="center" vertical="center" wrapText="1"/>
    </xf>
    <xf numFmtId="0" fontId="38" fillId="0" borderId="9" xfId="4" applyNumberFormat="1" applyFont="1" applyFill="1" applyBorder="1" applyAlignment="1" applyProtection="1">
      <alignment horizontal="center" vertical="center" wrapText="1"/>
    </xf>
    <xf numFmtId="165" fontId="38" fillId="3" borderId="9" xfId="7" applyNumberFormat="1" applyFont="1" applyFill="1" applyBorder="1" applyAlignment="1" applyProtection="1">
      <alignment horizontal="right" vertical="center" wrapText="1"/>
      <protection locked="0"/>
    </xf>
    <xf numFmtId="0" fontId="38" fillId="3" borderId="9" xfId="4" applyNumberFormat="1" applyFont="1" applyFill="1" applyBorder="1" applyAlignment="1" applyProtection="1">
      <alignment horizontal="center" vertical="center" wrapText="1"/>
    </xf>
    <xf numFmtId="49" fontId="38" fillId="3" borderId="9" xfId="4" applyNumberFormat="1" applyFont="1" applyFill="1" applyBorder="1" applyAlignment="1" applyProtection="1">
      <alignment horizontal="center" vertical="center" wrapText="1"/>
    </xf>
    <xf numFmtId="0" fontId="38" fillId="0" borderId="9" xfId="4" applyFont="1" applyFill="1" applyBorder="1" applyAlignment="1" applyProtection="1">
      <alignment horizontal="left" vertical="center" wrapText="1"/>
    </xf>
    <xf numFmtId="0" fontId="40" fillId="0" borderId="9" xfId="6" applyFont="1" applyFill="1" applyBorder="1" applyAlignment="1" applyProtection="1">
      <alignment horizontal="left" vertical="center" wrapText="1"/>
    </xf>
    <xf numFmtId="49" fontId="40" fillId="0" borderId="9" xfId="4" applyNumberFormat="1" applyFont="1" applyFill="1" applyBorder="1" applyAlignment="1" applyProtection="1">
      <alignment horizontal="center" vertical="center" wrapText="1"/>
    </xf>
    <xf numFmtId="0" fontId="40" fillId="0" borderId="9" xfId="4" applyFont="1" applyFill="1" applyBorder="1" applyAlignment="1" applyProtection="1">
      <alignment horizontal="left" vertical="center" wrapText="1"/>
    </xf>
    <xf numFmtId="49" fontId="38" fillId="0" borderId="9" xfId="4" quotePrefix="1" applyNumberFormat="1" applyFont="1" applyFill="1" applyBorder="1" applyAlignment="1" applyProtection="1">
      <alignment horizontal="center" vertical="center" wrapText="1"/>
    </xf>
    <xf numFmtId="49" fontId="40" fillId="0" borderId="9" xfId="4" quotePrefix="1" applyNumberFormat="1" applyFont="1" applyFill="1" applyBorder="1" applyAlignment="1" applyProtection="1">
      <alignment horizontal="center" vertical="center" wrapText="1"/>
    </xf>
    <xf numFmtId="0" fontId="31" fillId="3" borderId="0" xfId="0" applyFont="1" applyFill="1" applyAlignment="1">
      <alignment horizontal="center" vertical="center"/>
    </xf>
    <xf numFmtId="0" fontId="34" fillId="3" borderId="0" xfId="0" applyFont="1" applyFill="1" applyBorder="1" applyAlignment="1">
      <alignment vertical="center"/>
    </xf>
    <xf numFmtId="0" fontId="31" fillId="3" borderId="0" xfId="0" applyFont="1" applyFill="1" applyBorder="1" applyAlignment="1">
      <alignment horizontal="center" vertical="center"/>
    </xf>
    <xf numFmtId="0" fontId="34" fillId="3" borderId="0" xfId="0" applyFont="1" applyFill="1" applyAlignment="1">
      <alignment horizontal="center" vertical="center"/>
    </xf>
    <xf numFmtId="0" fontId="4" fillId="3" borderId="0" xfId="0" applyFont="1" applyFill="1" applyAlignment="1">
      <alignment horizontal="center"/>
    </xf>
    <xf numFmtId="0" fontId="13" fillId="3" borderId="5" xfId="17" applyFont="1" applyFill="1" applyBorder="1" applyAlignment="1">
      <alignment vertical="center"/>
    </xf>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10" fillId="3" borderId="0" xfId="0" applyFont="1" applyFill="1" applyBorder="1" applyAlignment="1">
      <alignment horizontal="left" vertical="center" wrapText="1"/>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6" fillId="3" borderId="0" xfId="0" applyFont="1" applyFill="1" applyAlignment="1">
      <alignment horizontal="left" vertical="center"/>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10" fillId="3" borderId="0" xfId="0" applyFont="1" applyFill="1" applyBorder="1" applyAlignment="1">
      <alignment horizontal="left" vertical="center"/>
    </xf>
    <xf numFmtId="0" fontId="34" fillId="3" borderId="0" xfId="0" applyFont="1" applyFill="1" applyAlignment="1">
      <alignment horizontal="left" vertical="center" wrapText="1"/>
    </xf>
    <xf numFmtId="0" fontId="31" fillId="3" borderId="0" xfId="0" applyFont="1" applyFill="1" applyAlignment="1">
      <alignment horizontal="right" vertical="center" wrapText="1"/>
    </xf>
    <xf numFmtId="0" fontId="33" fillId="3" borderId="0" xfId="0" applyFont="1" applyFill="1" applyAlignment="1">
      <alignment horizontal="right" vertical="center" wrapText="1"/>
    </xf>
    <xf numFmtId="0" fontId="31" fillId="3" borderId="0" xfId="0" applyFont="1" applyFill="1" applyAlignment="1">
      <alignment horizontal="center" vertical="center" wrapText="1"/>
    </xf>
    <xf numFmtId="0" fontId="33" fillId="3" borderId="0" xfId="0" applyFont="1" applyFill="1" applyAlignment="1">
      <alignment horizontal="center" vertical="center"/>
    </xf>
    <xf numFmtId="0" fontId="35" fillId="3" borderId="0" xfId="0" applyFont="1" applyFill="1" applyBorder="1" applyAlignment="1">
      <alignment horizontal="left" vertical="center" wrapText="1"/>
    </xf>
    <xf numFmtId="0" fontId="31" fillId="3" borderId="0" xfId="0" applyFont="1" applyFill="1" applyAlignment="1">
      <alignment horizontal="center" vertical="center"/>
    </xf>
    <xf numFmtId="0" fontId="36" fillId="2" borderId="12" xfId="0" applyFont="1" applyFill="1" applyBorder="1" applyAlignment="1" applyProtection="1">
      <alignment horizontal="center" vertical="center" wrapText="1"/>
    </xf>
    <xf numFmtId="0" fontId="36" fillId="2" borderId="13" xfId="0" applyFont="1" applyFill="1" applyBorder="1" applyAlignment="1" applyProtection="1">
      <alignment horizontal="center" vertical="center" wrapText="1"/>
    </xf>
    <xf numFmtId="49" fontId="36" fillId="2" borderId="12" xfId="0" applyNumberFormat="1" applyFont="1" applyFill="1" applyBorder="1" applyAlignment="1" applyProtection="1">
      <alignment horizontal="center" vertical="center" wrapText="1"/>
    </xf>
    <xf numFmtId="49" fontId="36" fillId="2" borderId="13" xfId="0" applyNumberFormat="1" applyFont="1" applyFill="1" applyBorder="1" applyAlignment="1" applyProtection="1">
      <alignment horizontal="center" vertical="center" wrapText="1"/>
    </xf>
    <xf numFmtId="0" fontId="37" fillId="2" borderId="13" xfId="0" applyFont="1" applyFill="1" applyBorder="1" applyAlignment="1">
      <alignment vertical="center"/>
    </xf>
    <xf numFmtId="165" fontId="36" fillId="2" borderId="10" xfId="7" applyNumberFormat="1" applyFont="1" applyFill="1" applyBorder="1" applyAlignment="1" applyProtection="1">
      <alignment horizontal="center" vertical="center" wrapText="1"/>
      <protection locked="0"/>
    </xf>
    <xf numFmtId="165" fontId="36" fillId="2" borderId="11" xfId="7" applyNumberFormat="1" applyFont="1" applyFill="1" applyBorder="1" applyAlignment="1" applyProtection="1">
      <alignment horizontal="center" vertical="center" wrapText="1"/>
      <protection locked="0"/>
    </xf>
    <xf numFmtId="0" fontId="34" fillId="3" borderId="0" xfId="0" applyFont="1" applyFill="1" applyBorder="1" applyAlignment="1">
      <alignment horizontal="center" vertical="center"/>
    </xf>
    <xf numFmtId="0" fontId="31" fillId="3" borderId="0" xfId="0" applyFont="1" applyFill="1" applyBorder="1" applyAlignment="1">
      <alignment horizontal="center" vertical="center"/>
    </xf>
    <xf numFmtId="0" fontId="34" fillId="3" borderId="0" xfId="0" applyFont="1" applyFill="1" applyAlignment="1">
      <alignment horizontal="center" vertical="center"/>
    </xf>
    <xf numFmtId="0" fontId="6" fillId="3" borderId="0" xfId="0" applyFont="1" applyFill="1" applyAlignment="1">
      <alignment horizontal="left" vertical="center" wrapText="1"/>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6" fillId="3" borderId="0" xfId="0" applyFont="1" applyFill="1" applyAlignment="1">
      <alignment horizontal="center" vertical="center"/>
    </xf>
    <xf numFmtId="0" fontId="13" fillId="3" borderId="0" xfId="0" applyFont="1" applyFill="1" applyAlignment="1">
      <alignment horizontal="center" vertical="center"/>
    </xf>
    <xf numFmtId="0" fontId="13" fillId="3" borderId="0" xfId="0" applyFont="1" applyFill="1" applyBorder="1" applyAlignment="1">
      <alignment horizontal="center" vertical="center"/>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xf numFmtId="0" fontId="15" fillId="3" borderId="0" xfId="11" applyFont="1" applyFill="1" applyAlignment="1">
      <alignment horizontal="left" vertical="center" wrapText="1"/>
    </xf>
    <xf numFmtId="0" fontId="7" fillId="3" borderId="0" xfId="11" applyFont="1" applyFill="1" applyAlignment="1">
      <alignment horizontal="left" vertical="center" wrapText="1"/>
    </xf>
    <xf numFmtId="0" fontId="16" fillId="3" borderId="0" xfId="11" applyFont="1" applyFill="1" applyAlignment="1">
      <alignment horizontal="left" vertical="center" wrapText="1"/>
    </xf>
    <xf numFmtId="0" fontId="10" fillId="3" borderId="0" xfId="11" applyFont="1" applyFill="1" applyAlignment="1">
      <alignment horizontal="left" vertical="top"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jpeg"/><Relationship Id="rId3" Type="http://schemas.openxmlformats.org/officeDocument/2006/relationships/image" Target="../media/image5.jpeg"/><Relationship Id="rId7" Type="http://schemas.openxmlformats.org/officeDocument/2006/relationships/image" Target="../media/image9.png"/><Relationship Id="rId12" Type="http://schemas.openxmlformats.org/officeDocument/2006/relationships/image" Target="../media/image14.jpeg"/><Relationship Id="rId2" Type="http://schemas.openxmlformats.org/officeDocument/2006/relationships/image" Target="../media/image4.png"/><Relationship Id="rId16" Type="http://schemas.openxmlformats.org/officeDocument/2006/relationships/image" Target="../media/image17.png"/><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image" Target="../media/image13.jpeg"/><Relationship Id="rId5" Type="http://schemas.openxmlformats.org/officeDocument/2006/relationships/image" Target="../media/image7.jpeg"/><Relationship Id="rId15" Type="http://schemas.openxmlformats.org/officeDocument/2006/relationships/image" Target="cid:image001.png@01D924FE.E96A4810" TargetMode="External"/><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 Id="rId14" Type="http://schemas.openxmlformats.org/officeDocument/2006/relationships/image" Target="../media/image1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78"/>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94"/>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98"/>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23"/>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87"/>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609"/>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48"/>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xdr:oneCellAnchor>
    <xdr:from>
      <xdr:col>2</xdr:col>
      <xdr:colOff>419100</xdr:colOff>
      <xdr:row>5</xdr:row>
      <xdr:rowOff>95250</xdr:rowOff>
    </xdr:from>
    <xdr:ext cx="1411605" cy="412325"/>
    <xdr:pic>
      <xdr:nvPicPr>
        <xdr:cNvPr id="100" name="Picture 99" descr="vfm-logo_915970.jpg">
          <a:extLst>
            <a:ext uri="{FF2B5EF4-FFF2-40B4-BE49-F238E27FC236}">
              <a16:creationId xmlns:a16="http://schemas.microsoft.com/office/drawing/2014/main" id="{00000000-0008-0000-0D00-000064000000}"/>
            </a:ext>
          </a:extLst>
        </xdr:cNvPr>
        <xdr:cNvPicPr>
          <a:picLocks noChangeAspect="1"/>
        </xdr:cNvPicPr>
      </xdr:nvPicPr>
      <xdr:blipFill>
        <a:blip xmlns:r="http://schemas.openxmlformats.org/officeDocument/2006/relationships" r:embed="rId1" cstate="print"/>
        <a:stretch>
          <a:fillRect/>
        </a:stretch>
      </xdr:blipFill>
      <xdr:spPr>
        <a:xfrm>
          <a:off x="4480560" y="3402330"/>
          <a:ext cx="1411605" cy="412325"/>
        </a:xfrm>
        <a:prstGeom prst="rect">
          <a:avLst/>
        </a:prstGeom>
      </xdr:spPr>
    </xdr:pic>
    <xdr:clientData/>
  </xdr:oneCellAnchor>
  <xdr:twoCellAnchor editAs="oneCell">
    <xdr:from>
      <xdr:col>2</xdr:col>
      <xdr:colOff>285751</xdr:colOff>
      <xdr:row>8</xdr:row>
      <xdr:rowOff>238125</xdr:rowOff>
    </xdr:from>
    <xdr:to>
      <xdr:col>3</xdr:col>
      <xdr:colOff>6921</xdr:colOff>
      <xdr:row>8</xdr:row>
      <xdr:rowOff>607644</xdr:rowOff>
    </xdr:to>
    <xdr:pic>
      <xdr:nvPicPr>
        <xdr:cNvPr id="103" name="Picture 102">
          <a:extLst>
            <a:ext uri="{FF2B5EF4-FFF2-40B4-BE49-F238E27FC236}">
              <a16:creationId xmlns:a16="http://schemas.microsoft.com/office/drawing/2014/main" id="{00000000-0008-0000-0D00-000067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38626" y="5905500"/>
          <a:ext cx="1946910" cy="369519"/>
        </a:xfrm>
        <a:prstGeom prst="rect">
          <a:avLst/>
        </a:prstGeom>
        <a:noFill/>
      </xdr:spPr>
    </xdr:pic>
    <xdr:clientData/>
  </xdr:twoCellAnchor>
  <xdr:twoCellAnchor editAs="oneCell">
    <xdr:from>
      <xdr:col>2</xdr:col>
      <xdr:colOff>590551</xdr:colOff>
      <xdr:row>12</xdr:row>
      <xdr:rowOff>142876</xdr:rowOff>
    </xdr:from>
    <xdr:to>
      <xdr:col>2</xdr:col>
      <xdr:colOff>1706881</xdr:colOff>
      <xdr:row>12</xdr:row>
      <xdr:rowOff>535994</xdr:rowOff>
    </xdr:to>
    <xdr:pic>
      <xdr:nvPicPr>
        <xdr:cNvPr id="107" name="Picture 106">
          <a:extLst>
            <a:ext uri="{FF2B5EF4-FFF2-40B4-BE49-F238E27FC236}">
              <a16:creationId xmlns:a16="http://schemas.microsoft.com/office/drawing/2014/main" id="{00000000-0008-0000-0D00-00006B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652011" y="8890636"/>
          <a:ext cx="1116330" cy="393118"/>
        </a:xfrm>
        <a:prstGeom prst="rect">
          <a:avLst/>
        </a:prstGeom>
      </xdr:spPr>
    </xdr:pic>
    <xdr:clientData/>
  </xdr:twoCellAnchor>
  <xdr:twoCellAnchor editAs="oneCell">
    <xdr:from>
      <xdr:col>2</xdr:col>
      <xdr:colOff>533401</xdr:colOff>
      <xdr:row>13</xdr:row>
      <xdr:rowOff>95250</xdr:rowOff>
    </xdr:from>
    <xdr:to>
      <xdr:col>2</xdr:col>
      <xdr:colOff>1767841</xdr:colOff>
      <xdr:row>13</xdr:row>
      <xdr:rowOff>557814</xdr:rowOff>
    </xdr:to>
    <xdr:pic>
      <xdr:nvPicPr>
        <xdr:cNvPr id="108" name="Picture 107">
          <a:extLst>
            <a:ext uri="{FF2B5EF4-FFF2-40B4-BE49-F238E27FC236}">
              <a16:creationId xmlns:a16="http://schemas.microsoft.com/office/drawing/2014/main" id="{00000000-0008-0000-0D00-00006C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9620250"/>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14</xdr:row>
      <xdr:rowOff>142875</xdr:rowOff>
    </xdr:from>
    <xdr:to>
      <xdr:col>2</xdr:col>
      <xdr:colOff>1767841</xdr:colOff>
      <xdr:row>14</xdr:row>
      <xdr:rowOff>605439</xdr:rowOff>
    </xdr:to>
    <xdr:pic>
      <xdr:nvPicPr>
        <xdr:cNvPr id="109" name="Picture 108">
          <a:extLst>
            <a:ext uri="{FF2B5EF4-FFF2-40B4-BE49-F238E27FC236}">
              <a16:creationId xmlns:a16="http://schemas.microsoft.com/office/drawing/2014/main" id="{00000000-0008-0000-0D00-00006D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10445115"/>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15</xdr:row>
      <xdr:rowOff>142875</xdr:rowOff>
    </xdr:from>
    <xdr:to>
      <xdr:col>2</xdr:col>
      <xdr:colOff>1767841</xdr:colOff>
      <xdr:row>15</xdr:row>
      <xdr:rowOff>605439</xdr:rowOff>
    </xdr:to>
    <xdr:pic>
      <xdr:nvPicPr>
        <xdr:cNvPr id="110" name="Picture 109">
          <a:extLst>
            <a:ext uri="{FF2B5EF4-FFF2-40B4-BE49-F238E27FC236}">
              <a16:creationId xmlns:a16="http://schemas.microsoft.com/office/drawing/2014/main" id="{00000000-0008-0000-0D00-00006E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11222355"/>
          <a:ext cx="1234440" cy="462564"/>
        </a:xfrm>
        <a:prstGeom prst="rect">
          <a:avLst/>
        </a:prstGeom>
        <a:noFill/>
        <a:ln w="1">
          <a:noFill/>
          <a:miter lim="800000"/>
          <a:headEnd/>
          <a:tailEnd type="none" w="med" len="med"/>
        </a:ln>
        <a:effectLst/>
      </xdr:spPr>
    </xdr:pic>
    <xdr:clientData/>
  </xdr:twoCellAnchor>
  <xdr:twoCellAnchor editAs="oneCell">
    <xdr:from>
      <xdr:col>2</xdr:col>
      <xdr:colOff>247650</xdr:colOff>
      <xdr:row>16</xdr:row>
      <xdr:rowOff>209550</xdr:rowOff>
    </xdr:from>
    <xdr:to>
      <xdr:col>2</xdr:col>
      <xdr:colOff>2093595</xdr:colOff>
      <xdr:row>16</xdr:row>
      <xdr:rowOff>537986</xdr:rowOff>
    </xdr:to>
    <xdr:pic>
      <xdr:nvPicPr>
        <xdr:cNvPr id="111" name="Picture 110" descr="6098e4vinacapital-010.jpg">
          <a:extLst>
            <a:ext uri="{FF2B5EF4-FFF2-40B4-BE49-F238E27FC236}">
              <a16:creationId xmlns:a16="http://schemas.microsoft.com/office/drawing/2014/main" id="{00000000-0008-0000-0D00-00006F000000}"/>
            </a:ext>
          </a:extLst>
        </xdr:cNvPr>
        <xdr:cNvPicPr>
          <a:picLocks noChangeAspect="1"/>
        </xdr:cNvPicPr>
      </xdr:nvPicPr>
      <xdr:blipFill>
        <a:blip xmlns:r="http://schemas.openxmlformats.org/officeDocument/2006/relationships" r:embed="rId5" cstate="print"/>
        <a:stretch>
          <a:fillRect/>
        </a:stretch>
      </xdr:blipFill>
      <xdr:spPr>
        <a:xfrm>
          <a:off x="4309110" y="12066270"/>
          <a:ext cx="1845945" cy="328436"/>
        </a:xfrm>
        <a:prstGeom prst="rect">
          <a:avLst/>
        </a:prstGeom>
      </xdr:spPr>
    </xdr:pic>
    <xdr:clientData/>
  </xdr:twoCellAnchor>
  <xdr:twoCellAnchor editAs="oneCell">
    <xdr:from>
      <xdr:col>2</xdr:col>
      <xdr:colOff>276225</xdr:colOff>
      <xdr:row>17</xdr:row>
      <xdr:rowOff>228600</xdr:rowOff>
    </xdr:from>
    <xdr:to>
      <xdr:col>2</xdr:col>
      <xdr:colOff>2122170</xdr:colOff>
      <xdr:row>17</xdr:row>
      <xdr:rowOff>557036</xdr:rowOff>
    </xdr:to>
    <xdr:pic>
      <xdr:nvPicPr>
        <xdr:cNvPr id="112" name="Picture 111" descr="6098e4vinacapital-010.jpg">
          <a:extLst>
            <a:ext uri="{FF2B5EF4-FFF2-40B4-BE49-F238E27FC236}">
              <a16:creationId xmlns:a16="http://schemas.microsoft.com/office/drawing/2014/main" id="{00000000-0008-0000-0D00-000070000000}"/>
            </a:ext>
          </a:extLst>
        </xdr:cNvPr>
        <xdr:cNvPicPr>
          <a:picLocks noChangeAspect="1"/>
        </xdr:cNvPicPr>
      </xdr:nvPicPr>
      <xdr:blipFill>
        <a:blip xmlns:r="http://schemas.openxmlformats.org/officeDocument/2006/relationships" r:embed="rId5" cstate="print"/>
        <a:stretch>
          <a:fillRect/>
        </a:stretch>
      </xdr:blipFill>
      <xdr:spPr>
        <a:xfrm>
          <a:off x="4337685" y="12862560"/>
          <a:ext cx="1845945" cy="328436"/>
        </a:xfrm>
        <a:prstGeom prst="rect">
          <a:avLst/>
        </a:prstGeom>
      </xdr:spPr>
    </xdr:pic>
    <xdr:clientData/>
  </xdr:twoCellAnchor>
  <xdr:twoCellAnchor editAs="oneCell">
    <xdr:from>
      <xdr:col>2</xdr:col>
      <xdr:colOff>276225</xdr:colOff>
      <xdr:row>18</xdr:row>
      <xdr:rowOff>228600</xdr:rowOff>
    </xdr:from>
    <xdr:to>
      <xdr:col>2</xdr:col>
      <xdr:colOff>2122170</xdr:colOff>
      <xdr:row>18</xdr:row>
      <xdr:rowOff>557036</xdr:rowOff>
    </xdr:to>
    <xdr:pic>
      <xdr:nvPicPr>
        <xdr:cNvPr id="113" name="Picture 112" descr="6098e4vinacapital-010.jpg">
          <a:extLst>
            <a:ext uri="{FF2B5EF4-FFF2-40B4-BE49-F238E27FC236}">
              <a16:creationId xmlns:a16="http://schemas.microsoft.com/office/drawing/2014/main" id="{00000000-0008-0000-0D00-000071000000}"/>
            </a:ext>
          </a:extLst>
        </xdr:cNvPr>
        <xdr:cNvPicPr>
          <a:picLocks noChangeAspect="1"/>
        </xdr:cNvPicPr>
      </xdr:nvPicPr>
      <xdr:blipFill>
        <a:blip xmlns:r="http://schemas.openxmlformats.org/officeDocument/2006/relationships" r:embed="rId5" cstate="print"/>
        <a:stretch>
          <a:fillRect/>
        </a:stretch>
      </xdr:blipFill>
      <xdr:spPr>
        <a:xfrm>
          <a:off x="4337685" y="13639800"/>
          <a:ext cx="1845945" cy="328436"/>
        </a:xfrm>
        <a:prstGeom prst="rect">
          <a:avLst/>
        </a:prstGeom>
      </xdr:spPr>
    </xdr:pic>
    <xdr:clientData/>
  </xdr:twoCellAnchor>
  <xdr:twoCellAnchor editAs="oneCell">
    <xdr:from>
      <xdr:col>2</xdr:col>
      <xdr:colOff>257175</xdr:colOff>
      <xdr:row>19</xdr:row>
      <xdr:rowOff>285750</xdr:rowOff>
    </xdr:from>
    <xdr:to>
      <xdr:col>2</xdr:col>
      <xdr:colOff>2103120</xdr:colOff>
      <xdr:row>19</xdr:row>
      <xdr:rowOff>614186</xdr:rowOff>
    </xdr:to>
    <xdr:pic>
      <xdr:nvPicPr>
        <xdr:cNvPr id="114" name="Picture 113" descr="6098e4vinacapital-010.jpg">
          <a:extLst>
            <a:ext uri="{FF2B5EF4-FFF2-40B4-BE49-F238E27FC236}">
              <a16:creationId xmlns:a16="http://schemas.microsoft.com/office/drawing/2014/main" id="{00000000-0008-0000-0D00-000072000000}"/>
            </a:ext>
          </a:extLst>
        </xdr:cNvPr>
        <xdr:cNvPicPr>
          <a:picLocks noChangeAspect="1"/>
        </xdr:cNvPicPr>
      </xdr:nvPicPr>
      <xdr:blipFill>
        <a:blip xmlns:r="http://schemas.openxmlformats.org/officeDocument/2006/relationships" r:embed="rId5" cstate="print"/>
        <a:stretch>
          <a:fillRect/>
        </a:stretch>
      </xdr:blipFill>
      <xdr:spPr>
        <a:xfrm>
          <a:off x="4318635" y="14474190"/>
          <a:ext cx="1845945" cy="328436"/>
        </a:xfrm>
        <a:prstGeom prst="rect">
          <a:avLst/>
        </a:prstGeom>
      </xdr:spPr>
    </xdr:pic>
    <xdr:clientData/>
  </xdr:twoCellAnchor>
  <xdr:twoCellAnchor>
    <xdr:from>
      <xdr:col>2</xdr:col>
      <xdr:colOff>504825</xdr:colOff>
      <xdr:row>20</xdr:row>
      <xdr:rowOff>190500</xdr:rowOff>
    </xdr:from>
    <xdr:to>
      <xdr:col>2</xdr:col>
      <xdr:colOff>1981200</xdr:colOff>
      <xdr:row>20</xdr:row>
      <xdr:rowOff>581167</xdr:rowOff>
    </xdr:to>
    <xdr:pic>
      <xdr:nvPicPr>
        <xdr:cNvPr id="115" name="Picture 114" descr="Adobe Systems">
          <a:extLst>
            <a:ext uri="{FF2B5EF4-FFF2-40B4-BE49-F238E27FC236}">
              <a16:creationId xmlns:a16="http://schemas.microsoft.com/office/drawing/2014/main" id="{00000000-0008-0000-0D00-00007300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4566285" y="15156180"/>
          <a:ext cx="1476375" cy="390667"/>
        </a:xfrm>
        <a:prstGeom prst="rect">
          <a:avLst/>
        </a:prstGeom>
        <a:noFill/>
        <a:ln w="9525">
          <a:noFill/>
          <a:miter lim="800000"/>
          <a:headEnd/>
          <a:tailEnd/>
        </a:ln>
      </xdr:spPr>
    </xdr:pic>
    <xdr:clientData/>
  </xdr:twoCellAnchor>
  <xdr:twoCellAnchor editAs="oneCell">
    <xdr:from>
      <xdr:col>2</xdr:col>
      <xdr:colOff>209551</xdr:colOff>
      <xdr:row>9</xdr:row>
      <xdr:rowOff>220980</xdr:rowOff>
    </xdr:from>
    <xdr:to>
      <xdr:col>2</xdr:col>
      <xdr:colOff>2156461</xdr:colOff>
      <xdr:row>9</xdr:row>
      <xdr:rowOff>590499</xdr:rowOff>
    </xdr:to>
    <xdr:pic>
      <xdr:nvPicPr>
        <xdr:cNvPr id="21" name="Picture 20">
          <a:extLst>
            <a:ext uri="{FF2B5EF4-FFF2-40B4-BE49-F238E27FC236}">
              <a16:creationId xmlns:a16="http://schemas.microsoft.com/office/drawing/2014/main" id="{00000000-0008-0000-0D00-000015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71011" y="7414260"/>
          <a:ext cx="1946910" cy="369519"/>
        </a:xfrm>
        <a:prstGeom prst="rect">
          <a:avLst/>
        </a:prstGeom>
        <a:noFill/>
      </xdr:spPr>
    </xdr:pic>
    <xdr:clientData/>
  </xdr:twoCellAnchor>
  <xdr:twoCellAnchor editAs="oneCell">
    <xdr:from>
      <xdr:col>2</xdr:col>
      <xdr:colOff>561975</xdr:colOff>
      <xdr:row>21</xdr:row>
      <xdr:rowOff>161925</xdr:rowOff>
    </xdr:from>
    <xdr:to>
      <xdr:col>2</xdr:col>
      <xdr:colOff>1958738</xdr:colOff>
      <xdr:row>21</xdr:row>
      <xdr:rowOff>628559</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00900" y="15982950"/>
          <a:ext cx="1396763" cy="466634"/>
        </a:xfrm>
        <a:prstGeom prst="rect">
          <a:avLst/>
        </a:prstGeom>
      </xdr:spPr>
    </xdr:pic>
    <xdr:clientData/>
  </xdr:twoCellAnchor>
  <xdr:twoCellAnchor editAs="oneCell">
    <xdr:from>
      <xdr:col>2</xdr:col>
      <xdr:colOff>714375</xdr:colOff>
      <xdr:row>22</xdr:row>
      <xdr:rowOff>180975</xdr:rowOff>
    </xdr:from>
    <xdr:to>
      <xdr:col>2</xdr:col>
      <xdr:colOff>2111138</xdr:colOff>
      <xdr:row>22</xdr:row>
      <xdr:rowOff>647609</xdr:rowOff>
    </xdr:to>
    <xdr:pic>
      <xdr:nvPicPr>
        <xdr:cNvPr id="23" name="Picture 22">
          <a:extLst>
            <a:ext uri="{FF2B5EF4-FFF2-40B4-BE49-F238E27FC236}">
              <a16:creationId xmlns:a16="http://schemas.microsoft.com/office/drawing/2014/main" id="{00000000-0008-0000-0D00-00001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53300" y="16783050"/>
          <a:ext cx="1396763" cy="466634"/>
        </a:xfrm>
        <a:prstGeom prst="rect">
          <a:avLst/>
        </a:prstGeom>
      </xdr:spPr>
    </xdr:pic>
    <xdr:clientData/>
  </xdr:twoCellAnchor>
  <xdr:twoCellAnchor editAs="oneCell">
    <xdr:from>
      <xdr:col>2</xdr:col>
      <xdr:colOff>600489</xdr:colOff>
      <xdr:row>23</xdr:row>
      <xdr:rowOff>165652</xdr:rowOff>
    </xdr:from>
    <xdr:to>
      <xdr:col>2</xdr:col>
      <xdr:colOff>1997252</xdr:colOff>
      <xdr:row>23</xdr:row>
      <xdr:rowOff>632286</xdr:rowOff>
    </xdr:to>
    <xdr:pic>
      <xdr:nvPicPr>
        <xdr:cNvPr id="24" name="Picture 23">
          <a:extLst>
            <a:ext uri="{FF2B5EF4-FFF2-40B4-BE49-F238E27FC236}">
              <a16:creationId xmlns:a16="http://schemas.microsoft.com/office/drawing/2014/main" id="{00000000-0008-0000-0D00-00001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47282" y="17683369"/>
          <a:ext cx="1396763" cy="466634"/>
        </a:xfrm>
        <a:prstGeom prst="rect">
          <a:avLst/>
        </a:prstGeom>
      </xdr:spPr>
    </xdr:pic>
    <xdr:clientData/>
  </xdr:twoCellAnchor>
  <xdr:twoCellAnchor editAs="oneCell">
    <xdr:from>
      <xdr:col>2</xdr:col>
      <xdr:colOff>579782</xdr:colOff>
      <xdr:row>24</xdr:row>
      <xdr:rowOff>186358</xdr:rowOff>
    </xdr:from>
    <xdr:to>
      <xdr:col>2</xdr:col>
      <xdr:colOff>1976545</xdr:colOff>
      <xdr:row>24</xdr:row>
      <xdr:rowOff>652992</xdr:rowOff>
    </xdr:to>
    <xdr:pic>
      <xdr:nvPicPr>
        <xdr:cNvPr id="25" name="Picture 24">
          <a:extLst>
            <a:ext uri="{FF2B5EF4-FFF2-40B4-BE49-F238E27FC236}">
              <a16:creationId xmlns:a16="http://schemas.microsoft.com/office/drawing/2014/main" id="{00000000-0008-0000-0D00-00001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26575" y="18490923"/>
          <a:ext cx="1396763" cy="466634"/>
        </a:xfrm>
        <a:prstGeom prst="rect">
          <a:avLst/>
        </a:prstGeom>
      </xdr:spPr>
    </xdr:pic>
    <xdr:clientData/>
  </xdr:twoCellAnchor>
  <xdr:twoCellAnchor editAs="oneCell">
    <xdr:from>
      <xdr:col>2</xdr:col>
      <xdr:colOff>683316</xdr:colOff>
      <xdr:row>25</xdr:row>
      <xdr:rowOff>124239</xdr:rowOff>
    </xdr:from>
    <xdr:to>
      <xdr:col>2</xdr:col>
      <xdr:colOff>2080079</xdr:colOff>
      <xdr:row>25</xdr:row>
      <xdr:rowOff>590873</xdr:rowOff>
    </xdr:to>
    <xdr:pic>
      <xdr:nvPicPr>
        <xdr:cNvPr id="26" name="Picture 25">
          <a:extLst>
            <a:ext uri="{FF2B5EF4-FFF2-40B4-BE49-F238E27FC236}">
              <a16:creationId xmlns:a16="http://schemas.microsoft.com/office/drawing/2014/main" id="{00000000-0008-0000-0D00-00001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twoCellAnchor>
  <xdr:oneCellAnchor>
    <xdr:from>
      <xdr:col>2</xdr:col>
      <xdr:colOff>683316</xdr:colOff>
      <xdr:row>26</xdr:row>
      <xdr:rowOff>124239</xdr:rowOff>
    </xdr:from>
    <xdr:ext cx="1396763" cy="466634"/>
    <xdr:pic>
      <xdr:nvPicPr>
        <xdr:cNvPr id="27" name="Picture 26">
          <a:extLst>
            <a:ext uri="{FF2B5EF4-FFF2-40B4-BE49-F238E27FC236}">
              <a16:creationId xmlns:a16="http://schemas.microsoft.com/office/drawing/2014/main" id="{00000000-0008-0000-0D00-00001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27</xdr:row>
      <xdr:rowOff>124239</xdr:rowOff>
    </xdr:from>
    <xdr:ext cx="1396763" cy="466634"/>
    <xdr:pic>
      <xdr:nvPicPr>
        <xdr:cNvPr id="28" name="Picture 27">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28</xdr:row>
      <xdr:rowOff>124239</xdr:rowOff>
    </xdr:from>
    <xdr:ext cx="1396763" cy="466634"/>
    <xdr:pic>
      <xdr:nvPicPr>
        <xdr:cNvPr id="29" name="Picture 28">
          <a:extLst>
            <a:ext uri="{FF2B5EF4-FFF2-40B4-BE49-F238E27FC236}">
              <a16:creationId xmlns:a16="http://schemas.microsoft.com/office/drawing/2014/main" id="{00000000-0008-0000-0D00-00001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31</xdr:row>
      <xdr:rowOff>124239</xdr:rowOff>
    </xdr:from>
    <xdr:ext cx="1396763" cy="466634"/>
    <xdr:pic>
      <xdr:nvPicPr>
        <xdr:cNvPr id="32" name="Picture 31">
          <a:extLst>
            <a:ext uri="{FF2B5EF4-FFF2-40B4-BE49-F238E27FC236}">
              <a16:creationId xmlns:a16="http://schemas.microsoft.com/office/drawing/2014/main" id="{00000000-0008-0000-0D00-00002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32</xdr:row>
      <xdr:rowOff>124239</xdr:rowOff>
    </xdr:from>
    <xdr:ext cx="1396763" cy="466634"/>
    <xdr:pic>
      <xdr:nvPicPr>
        <xdr:cNvPr id="33" name="Picture 32">
          <a:extLst>
            <a:ext uri="{FF2B5EF4-FFF2-40B4-BE49-F238E27FC236}">
              <a16:creationId xmlns:a16="http://schemas.microsoft.com/office/drawing/2014/main" id="{00000000-0008-0000-0D00-00002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33</xdr:row>
      <xdr:rowOff>124239</xdr:rowOff>
    </xdr:from>
    <xdr:ext cx="1396763" cy="466634"/>
    <xdr:pic>
      <xdr:nvPicPr>
        <xdr:cNvPr id="34" name="Picture 33">
          <a:extLst>
            <a:ext uri="{FF2B5EF4-FFF2-40B4-BE49-F238E27FC236}">
              <a16:creationId xmlns:a16="http://schemas.microsoft.com/office/drawing/2014/main" id="{00000000-0008-0000-0D00-00002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34</xdr:row>
      <xdr:rowOff>124239</xdr:rowOff>
    </xdr:from>
    <xdr:ext cx="1396763" cy="466634"/>
    <xdr:pic>
      <xdr:nvPicPr>
        <xdr:cNvPr id="35" name="Picture 34">
          <a:extLst>
            <a:ext uri="{FF2B5EF4-FFF2-40B4-BE49-F238E27FC236}">
              <a16:creationId xmlns:a16="http://schemas.microsoft.com/office/drawing/2014/main" id="{00000000-0008-0000-0D00-00002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35</xdr:row>
      <xdr:rowOff>124239</xdr:rowOff>
    </xdr:from>
    <xdr:ext cx="1396763" cy="466634"/>
    <xdr:pic>
      <xdr:nvPicPr>
        <xdr:cNvPr id="36" name="Picture 35">
          <a:extLst>
            <a:ext uri="{FF2B5EF4-FFF2-40B4-BE49-F238E27FC236}">
              <a16:creationId xmlns:a16="http://schemas.microsoft.com/office/drawing/2014/main" id="{00000000-0008-0000-0D00-00002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36</xdr:row>
      <xdr:rowOff>124239</xdr:rowOff>
    </xdr:from>
    <xdr:ext cx="1396763" cy="466634"/>
    <xdr:pic>
      <xdr:nvPicPr>
        <xdr:cNvPr id="37" name="Picture 36">
          <a:extLst>
            <a:ext uri="{FF2B5EF4-FFF2-40B4-BE49-F238E27FC236}">
              <a16:creationId xmlns:a16="http://schemas.microsoft.com/office/drawing/2014/main" id="{00000000-0008-0000-0D00-00002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twoCellAnchor editAs="oneCell">
    <xdr:from>
      <xdr:col>2</xdr:col>
      <xdr:colOff>728954</xdr:colOff>
      <xdr:row>37</xdr:row>
      <xdr:rowOff>23329</xdr:rowOff>
    </xdr:from>
    <xdr:to>
      <xdr:col>2</xdr:col>
      <xdr:colOff>2037184</xdr:colOff>
      <xdr:row>37</xdr:row>
      <xdr:rowOff>729631</xdr:rowOff>
    </xdr:to>
    <xdr:pic>
      <xdr:nvPicPr>
        <xdr:cNvPr id="39" name="Picture 38" descr="chubb_logo_detail_0.png">
          <a:extLst>
            <a:ext uri="{FF2B5EF4-FFF2-40B4-BE49-F238E27FC236}">
              <a16:creationId xmlns:a16="http://schemas.microsoft.com/office/drawing/2014/main" id="{00000000-0008-0000-0D00-000027000000}"/>
            </a:ext>
          </a:extLst>
        </xdr:cNvPr>
        <xdr:cNvPicPr>
          <a:picLocks noChangeAspect="1"/>
        </xdr:cNvPicPr>
      </xdr:nvPicPr>
      <xdr:blipFill>
        <a:blip xmlns:r="http://schemas.openxmlformats.org/officeDocument/2006/relationships" r:embed="rId8" cstate="print"/>
        <a:stretch>
          <a:fillRect/>
        </a:stretch>
      </xdr:blipFill>
      <xdr:spPr>
        <a:xfrm>
          <a:off x="7367296" y="27373686"/>
          <a:ext cx="1308230" cy="706302"/>
        </a:xfrm>
        <a:prstGeom prst="rect">
          <a:avLst/>
        </a:prstGeom>
      </xdr:spPr>
    </xdr:pic>
    <xdr:clientData/>
  </xdr:twoCellAnchor>
  <xdr:twoCellAnchor editAs="oneCell">
    <xdr:from>
      <xdr:col>2</xdr:col>
      <xdr:colOff>295469</xdr:colOff>
      <xdr:row>38</xdr:row>
      <xdr:rowOff>155510</xdr:rowOff>
    </xdr:from>
    <xdr:to>
      <xdr:col>2</xdr:col>
      <xdr:colOff>2098868</xdr:colOff>
      <xdr:row>38</xdr:row>
      <xdr:rowOff>636840</xdr:rowOff>
    </xdr:to>
    <xdr:pic>
      <xdr:nvPicPr>
        <xdr:cNvPr id="40" name="Picture 39">
          <a:extLst>
            <a:ext uri="{FF2B5EF4-FFF2-40B4-BE49-F238E27FC236}">
              <a16:creationId xmlns:a16="http://schemas.microsoft.com/office/drawing/2014/main" id="{00000000-0008-0000-0D00-000028000000}"/>
            </a:ext>
          </a:extLst>
        </xdr:cNvPr>
        <xdr:cNvPicPr>
          <a:picLocks noChangeAspect="1"/>
        </xdr:cNvPicPr>
      </xdr:nvPicPr>
      <xdr:blipFill>
        <a:blip xmlns:r="http://schemas.openxmlformats.org/officeDocument/2006/relationships" r:embed="rId9" cstate="print"/>
        <a:stretch>
          <a:fillRect/>
        </a:stretch>
      </xdr:blipFill>
      <xdr:spPr>
        <a:xfrm>
          <a:off x="7122367" y="29119286"/>
          <a:ext cx="1803399" cy="481330"/>
        </a:xfrm>
        <a:prstGeom prst="rect">
          <a:avLst/>
        </a:prstGeom>
      </xdr:spPr>
    </xdr:pic>
    <xdr:clientData/>
  </xdr:twoCellAnchor>
  <xdr:twoCellAnchor editAs="oneCell">
    <xdr:from>
      <xdr:col>2</xdr:col>
      <xdr:colOff>524847</xdr:colOff>
      <xdr:row>29</xdr:row>
      <xdr:rowOff>9719</xdr:rowOff>
    </xdr:from>
    <xdr:to>
      <xdr:col>2</xdr:col>
      <xdr:colOff>1833077</xdr:colOff>
      <xdr:row>29</xdr:row>
      <xdr:rowOff>754898</xdr:rowOff>
    </xdr:to>
    <xdr:pic>
      <xdr:nvPicPr>
        <xdr:cNvPr id="41" name="Picture 40" descr="chubb_logo_detail_0.png">
          <a:extLst>
            <a:ext uri="{FF2B5EF4-FFF2-40B4-BE49-F238E27FC236}">
              <a16:creationId xmlns:a16="http://schemas.microsoft.com/office/drawing/2014/main" id="{00000000-0008-0000-0D00-000029000000}"/>
            </a:ext>
          </a:extLst>
        </xdr:cNvPr>
        <xdr:cNvPicPr>
          <a:picLocks noChangeAspect="1"/>
        </xdr:cNvPicPr>
      </xdr:nvPicPr>
      <xdr:blipFill>
        <a:blip xmlns:r="http://schemas.openxmlformats.org/officeDocument/2006/relationships" r:embed="rId8" cstate="print"/>
        <a:stretch>
          <a:fillRect/>
        </a:stretch>
      </xdr:blipFill>
      <xdr:spPr>
        <a:xfrm>
          <a:off x="7163189" y="21139668"/>
          <a:ext cx="1308230" cy="745179"/>
        </a:xfrm>
        <a:prstGeom prst="rect">
          <a:avLst/>
        </a:prstGeom>
      </xdr:spPr>
    </xdr:pic>
    <xdr:clientData/>
  </xdr:twoCellAnchor>
  <xdr:twoCellAnchor editAs="oneCell">
    <xdr:from>
      <xdr:col>2</xdr:col>
      <xdr:colOff>182842</xdr:colOff>
      <xdr:row>10</xdr:row>
      <xdr:rowOff>37089</xdr:rowOff>
    </xdr:from>
    <xdr:to>
      <xdr:col>2</xdr:col>
      <xdr:colOff>2089747</xdr:colOff>
      <xdr:row>10</xdr:row>
      <xdr:rowOff>599064</xdr:rowOff>
    </xdr:to>
    <xdr:pic>
      <xdr:nvPicPr>
        <xdr:cNvPr id="42" name="Picture 41">
          <a:extLst>
            <a:ext uri="{FF2B5EF4-FFF2-40B4-BE49-F238E27FC236}">
              <a16:creationId xmlns:a16="http://schemas.microsoft.com/office/drawing/2014/main" id="{00000000-0008-0000-0D00-00002A000000}"/>
            </a:ext>
          </a:extLst>
        </xdr:cNvPr>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821184" y="6393569"/>
          <a:ext cx="1906905" cy="561975"/>
        </a:xfrm>
        <a:prstGeom prst="rect">
          <a:avLst/>
        </a:prstGeom>
      </xdr:spPr>
    </xdr:pic>
    <xdr:clientData/>
  </xdr:twoCellAnchor>
  <xdr:twoCellAnchor editAs="oneCell">
    <xdr:from>
      <xdr:col>2</xdr:col>
      <xdr:colOff>179732</xdr:colOff>
      <xdr:row>11</xdr:row>
      <xdr:rowOff>14540</xdr:rowOff>
    </xdr:from>
    <xdr:to>
      <xdr:col>2</xdr:col>
      <xdr:colOff>2086637</xdr:colOff>
      <xdr:row>11</xdr:row>
      <xdr:rowOff>576515</xdr:rowOff>
    </xdr:to>
    <xdr:pic>
      <xdr:nvPicPr>
        <xdr:cNvPr id="43" name="Picture 42">
          <a:extLst>
            <a:ext uri="{FF2B5EF4-FFF2-40B4-BE49-F238E27FC236}">
              <a16:creationId xmlns:a16="http://schemas.microsoft.com/office/drawing/2014/main" id="{00000000-0008-0000-0D00-00002B000000}"/>
            </a:ext>
          </a:extLst>
        </xdr:cNvPr>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818074" y="7148571"/>
          <a:ext cx="1906905" cy="561975"/>
        </a:xfrm>
        <a:prstGeom prst="rect">
          <a:avLst/>
        </a:prstGeom>
      </xdr:spPr>
    </xdr:pic>
    <xdr:clientData/>
  </xdr:twoCellAnchor>
  <xdr:oneCellAnchor>
    <xdr:from>
      <xdr:col>2</xdr:col>
      <xdr:colOff>349898</xdr:colOff>
      <xdr:row>39</xdr:row>
      <xdr:rowOff>194388</xdr:rowOff>
    </xdr:from>
    <xdr:ext cx="1396763" cy="466634"/>
    <xdr:pic>
      <xdr:nvPicPr>
        <xdr:cNvPr id="44" name="Picture 43">
          <a:extLst>
            <a:ext uri="{FF2B5EF4-FFF2-40B4-BE49-F238E27FC236}">
              <a16:creationId xmlns:a16="http://schemas.microsoft.com/office/drawing/2014/main" id="{00000000-0008-0000-0D00-00002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988240" y="29099847"/>
          <a:ext cx="1396763" cy="466634"/>
        </a:xfrm>
        <a:prstGeom prst="rect">
          <a:avLst/>
        </a:prstGeom>
      </xdr:spPr>
    </xdr:pic>
    <xdr:clientData/>
  </xdr:oneCellAnchor>
  <xdr:oneCellAnchor>
    <xdr:from>
      <xdr:col>2</xdr:col>
      <xdr:colOff>367393</xdr:colOff>
      <xdr:row>40</xdr:row>
      <xdr:rowOff>217714</xdr:rowOff>
    </xdr:from>
    <xdr:ext cx="1396763" cy="466634"/>
    <xdr:pic>
      <xdr:nvPicPr>
        <xdr:cNvPr id="45" name="Picture 44">
          <a:extLst>
            <a:ext uri="{FF2B5EF4-FFF2-40B4-BE49-F238E27FC236}">
              <a16:creationId xmlns:a16="http://schemas.microsoft.com/office/drawing/2014/main" id="{00000000-0008-0000-0D00-00002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007679" y="29826857"/>
          <a:ext cx="1396763" cy="466634"/>
        </a:xfrm>
        <a:prstGeom prst="rect">
          <a:avLst/>
        </a:prstGeom>
      </xdr:spPr>
    </xdr:pic>
    <xdr:clientData/>
  </xdr:oneCellAnchor>
  <xdr:oneCellAnchor>
    <xdr:from>
      <xdr:col>2</xdr:col>
      <xdr:colOff>449036</xdr:colOff>
      <xdr:row>41</xdr:row>
      <xdr:rowOff>95251</xdr:rowOff>
    </xdr:from>
    <xdr:ext cx="1396763" cy="466634"/>
    <xdr:pic>
      <xdr:nvPicPr>
        <xdr:cNvPr id="46" name="Picture 45">
          <a:extLst>
            <a:ext uri="{FF2B5EF4-FFF2-40B4-BE49-F238E27FC236}">
              <a16:creationId xmlns:a16="http://schemas.microsoft.com/office/drawing/2014/main" id="{00000000-0008-0000-0D00-00002E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089322" y="30480001"/>
          <a:ext cx="1396763" cy="466634"/>
        </a:xfrm>
        <a:prstGeom prst="rect">
          <a:avLst/>
        </a:prstGeom>
      </xdr:spPr>
    </xdr:pic>
    <xdr:clientData/>
  </xdr:oneCellAnchor>
  <xdr:oneCellAnchor>
    <xdr:from>
      <xdr:col>2</xdr:col>
      <xdr:colOff>0</xdr:colOff>
      <xdr:row>42</xdr:row>
      <xdr:rowOff>0</xdr:rowOff>
    </xdr:from>
    <xdr:ext cx="1396763" cy="466634"/>
    <xdr:pic>
      <xdr:nvPicPr>
        <xdr:cNvPr id="47" name="Picture 46">
          <a:extLst>
            <a:ext uri="{FF2B5EF4-FFF2-40B4-BE49-F238E27FC236}">
              <a16:creationId xmlns:a16="http://schemas.microsoft.com/office/drawing/2014/main" id="{00000000-0008-0000-0D00-00002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1160357"/>
          <a:ext cx="1396763" cy="466634"/>
        </a:xfrm>
        <a:prstGeom prst="rect">
          <a:avLst/>
        </a:prstGeom>
      </xdr:spPr>
    </xdr:pic>
    <xdr:clientData/>
  </xdr:oneCellAnchor>
  <xdr:oneCellAnchor>
    <xdr:from>
      <xdr:col>2</xdr:col>
      <xdr:colOff>0</xdr:colOff>
      <xdr:row>43</xdr:row>
      <xdr:rowOff>0</xdr:rowOff>
    </xdr:from>
    <xdr:ext cx="1396763" cy="466634"/>
    <xdr:pic>
      <xdr:nvPicPr>
        <xdr:cNvPr id="48" name="Picture 47">
          <a:extLst>
            <a:ext uri="{FF2B5EF4-FFF2-40B4-BE49-F238E27FC236}">
              <a16:creationId xmlns:a16="http://schemas.microsoft.com/office/drawing/2014/main" id="{00000000-0008-0000-0D00-00003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1935964"/>
          <a:ext cx="1396763" cy="466634"/>
        </a:xfrm>
        <a:prstGeom prst="rect">
          <a:avLst/>
        </a:prstGeom>
      </xdr:spPr>
    </xdr:pic>
    <xdr:clientData/>
  </xdr:oneCellAnchor>
  <xdr:oneCellAnchor>
    <xdr:from>
      <xdr:col>2</xdr:col>
      <xdr:colOff>0</xdr:colOff>
      <xdr:row>44</xdr:row>
      <xdr:rowOff>0</xdr:rowOff>
    </xdr:from>
    <xdr:ext cx="1396763" cy="466634"/>
    <xdr:pic>
      <xdr:nvPicPr>
        <xdr:cNvPr id="49" name="Picture 48">
          <a:extLst>
            <a:ext uri="{FF2B5EF4-FFF2-40B4-BE49-F238E27FC236}">
              <a16:creationId xmlns:a16="http://schemas.microsoft.com/office/drawing/2014/main" id="{00000000-0008-0000-0D00-00003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2711571"/>
          <a:ext cx="1396763" cy="466634"/>
        </a:xfrm>
        <a:prstGeom prst="rect">
          <a:avLst/>
        </a:prstGeom>
      </xdr:spPr>
    </xdr:pic>
    <xdr:clientData/>
  </xdr:oneCellAnchor>
  <xdr:oneCellAnchor>
    <xdr:from>
      <xdr:col>2</xdr:col>
      <xdr:colOff>0</xdr:colOff>
      <xdr:row>45</xdr:row>
      <xdr:rowOff>0</xdr:rowOff>
    </xdr:from>
    <xdr:ext cx="1396763" cy="466634"/>
    <xdr:pic>
      <xdr:nvPicPr>
        <xdr:cNvPr id="50" name="Picture 49">
          <a:extLst>
            <a:ext uri="{FF2B5EF4-FFF2-40B4-BE49-F238E27FC236}">
              <a16:creationId xmlns:a16="http://schemas.microsoft.com/office/drawing/2014/main" id="{00000000-0008-0000-0D00-00003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3487179"/>
          <a:ext cx="1396763" cy="466634"/>
        </a:xfrm>
        <a:prstGeom prst="rect">
          <a:avLst/>
        </a:prstGeom>
      </xdr:spPr>
    </xdr:pic>
    <xdr:clientData/>
  </xdr:oneCellAnchor>
  <xdr:oneCellAnchor>
    <xdr:from>
      <xdr:col>2</xdr:col>
      <xdr:colOff>0</xdr:colOff>
      <xdr:row>46</xdr:row>
      <xdr:rowOff>0</xdr:rowOff>
    </xdr:from>
    <xdr:ext cx="1396763" cy="466634"/>
    <xdr:pic>
      <xdr:nvPicPr>
        <xdr:cNvPr id="51" name="Picture 50">
          <a:extLst>
            <a:ext uri="{FF2B5EF4-FFF2-40B4-BE49-F238E27FC236}">
              <a16:creationId xmlns:a16="http://schemas.microsoft.com/office/drawing/2014/main" id="{00000000-0008-0000-0D00-00003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4262786"/>
          <a:ext cx="1396763" cy="466634"/>
        </a:xfrm>
        <a:prstGeom prst="rect">
          <a:avLst/>
        </a:prstGeom>
      </xdr:spPr>
    </xdr:pic>
    <xdr:clientData/>
  </xdr:oneCellAnchor>
  <xdr:oneCellAnchor>
    <xdr:from>
      <xdr:col>2</xdr:col>
      <xdr:colOff>0</xdr:colOff>
      <xdr:row>47</xdr:row>
      <xdr:rowOff>0</xdr:rowOff>
    </xdr:from>
    <xdr:ext cx="1396763" cy="466634"/>
    <xdr:pic>
      <xdr:nvPicPr>
        <xdr:cNvPr id="52" name="Picture 51">
          <a:extLst>
            <a:ext uri="{FF2B5EF4-FFF2-40B4-BE49-F238E27FC236}">
              <a16:creationId xmlns:a16="http://schemas.microsoft.com/office/drawing/2014/main" id="{00000000-0008-0000-0D00-00003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5038393"/>
          <a:ext cx="1396763" cy="466634"/>
        </a:xfrm>
        <a:prstGeom prst="rect">
          <a:avLst/>
        </a:prstGeom>
      </xdr:spPr>
    </xdr:pic>
    <xdr:clientData/>
  </xdr:oneCellAnchor>
  <xdr:oneCellAnchor>
    <xdr:from>
      <xdr:col>2</xdr:col>
      <xdr:colOff>0</xdr:colOff>
      <xdr:row>52</xdr:row>
      <xdr:rowOff>0</xdr:rowOff>
    </xdr:from>
    <xdr:ext cx="1396763" cy="466634"/>
    <xdr:pic>
      <xdr:nvPicPr>
        <xdr:cNvPr id="57" name="Picture 56">
          <a:extLst>
            <a:ext uri="{FF2B5EF4-FFF2-40B4-BE49-F238E27FC236}">
              <a16:creationId xmlns:a16="http://schemas.microsoft.com/office/drawing/2014/main" id="{00000000-0008-0000-0D00-00003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8916429"/>
          <a:ext cx="1396763" cy="466634"/>
        </a:xfrm>
        <a:prstGeom prst="rect">
          <a:avLst/>
        </a:prstGeom>
      </xdr:spPr>
    </xdr:pic>
    <xdr:clientData/>
  </xdr:oneCellAnchor>
  <xdr:oneCellAnchor>
    <xdr:from>
      <xdr:col>2</xdr:col>
      <xdr:colOff>0</xdr:colOff>
      <xdr:row>53</xdr:row>
      <xdr:rowOff>0</xdr:rowOff>
    </xdr:from>
    <xdr:ext cx="1396763" cy="466634"/>
    <xdr:pic>
      <xdr:nvPicPr>
        <xdr:cNvPr id="58" name="Picture 57">
          <a:extLst>
            <a:ext uri="{FF2B5EF4-FFF2-40B4-BE49-F238E27FC236}">
              <a16:creationId xmlns:a16="http://schemas.microsoft.com/office/drawing/2014/main" id="{00000000-0008-0000-0D00-00003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9692036"/>
          <a:ext cx="1396763" cy="466634"/>
        </a:xfrm>
        <a:prstGeom prst="rect">
          <a:avLst/>
        </a:prstGeom>
      </xdr:spPr>
    </xdr:pic>
    <xdr:clientData/>
  </xdr:oneCellAnchor>
  <xdr:oneCellAnchor>
    <xdr:from>
      <xdr:col>2</xdr:col>
      <xdr:colOff>0</xdr:colOff>
      <xdr:row>54</xdr:row>
      <xdr:rowOff>0</xdr:rowOff>
    </xdr:from>
    <xdr:ext cx="1396763" cy="466634"/>
    <xdr:pic>
      <xdr:nvPicPr>
        <xdr:cNvPr id="59" name="Picture 58">
          <a:extLst>
            <a:ext uri="{FF2B5EF4-FFF2-40B4-BE49-F238E27FC236}">
              <a16:creationId xmlns:a16="http://schemas.microsoft.com/office/drawing/2014/main" id="{00000000-0008-0000-0D00-00003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0467643"/>
          <a:ext cx="1396763" cy="466634"/>
        </a:xfrm>
        <a:prstGeom prst="rect">
          <a:avLst/>
        </a:prstGeom>
      </xdr:spPr>
    </xdr:pic>
    <xdr:clientData/>
  </xdr:oneCellAnchor>
  <xdr:oneCellAnchor>
    <xdr:from>
      <xdr:col>2</xdr:col>
      <xdr:colOff>0</xdr:colOff>
      <xdr:row>55</xdr:row>
      <xdr:rowOff>0</xdr:rowOff>
    </xdr:from>
    <xdr:ext cx="1396763" cy="466634"/>
    <xdr:pic>
      <xdr:nvPicPr>
        <xdr:cNvPr id="60" name="Picture 59">
          <a:extLst>
            <a:ext uri="{FF2B5EF4-FFF2-40B4-BE49-F238E27FC236}">
              <a16:creationId xmlns:a16="http://schemas.microsoft.com/office/drawing/2014/main" id="{00000000-0008-0000-0D00-00003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1243250"/>
          <a:ext cx="1396763" cy="466634"/>
        </a:xfrm>
        <a:prstGeom prst="rect">
          <a:avLst/>
        </a:prstGeom>
      </xdr:spPr>
    </xdr:pic>
    <xdr:clientData/>
  </xdr:oneCellAnchor>
  <xdr:oneCellAnchor>
    <xdr:from>
      <xdr:col>2</xdr:col>
      <xdr:colOff>0</xdr:colOff>
      <xdr:row>56</xdr:row>
      <xdr:rowOff>0</xdr:rowOff>
    </xdr:from>
    <xdr:ext cx="1396763" cy="466634"/>
    <xdr:pic>
      <xdr:nvPicPr>
        <xdr:cNvPr id="61" name="Picture 60">
          <a:extLst>
            <a:ext uri="{FF2B5EF4-FFF2-40B4-BE49-F238E27FC236}">
              <a16:creationId xmlns:a16="http://schemas.microsoft.com/office/drawing/2014/main" id="{00000000-0008-0000-0D00-00003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2018857"/>
          <a:ext cx="1396763" cy="466634"/>
        </a:xfrm>
        <a:prstGeom prst="rect">
          <a:avLst/>
        </a:prstGeom>
      </xdr:spPr>
    </xdr:pic>
    <xdr:clientData/>
  </xdr:oneCellAnchor>
  <xdr:oneCellAnchor>
    <xdr:from>
      <xdr:col>2</xdr:col>
      <xdr:colOff>0</xdr:colOff>
      <xdr:row>57</xdr:row>
      <xdr:rowOff>0</xdr:rowOff>
    </xdr:from>
    <xdr:ext cx="1396763" cy="466634"/>
    <xdr:pic>
      <xdr:nvPicPr>
        <xdr:cNvPr id="62" name="Picture 61">
          <a:extLst>
            <a:ext uri="{FF2B5EF4-FFF2-40B4-BE49-F238E27FC236}">
              <a16:creationId xmlns:a16="http://schemas.microsoft.com/office/drawing/2014/main" id="{00000000-0008-0000-0D00-00003E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2794464"/>
          <a:ext cx="1396763" cy="466634"/>
        </a:xfrm>
        <a:prstGeom prst="rect">
          <a:avLst/>
        </a:prstGeom>
      </xdr:spPr>
    </xdr:pic>
    <xdr:clientData/>
  </xdr:oneCellAnchor>
  <xdr:oneCellAnchor>
    <xdr:from>
      <xdr:col>2</xdr:col>
      <xdr:colOff>0</xdr:colOff>
      <xdr:row>58</xdr:row>
      <xdr:rowOff>0</xdr:rowOff>
    </xdr:from>
    <xdr:ext cx="1396763" cy="466634"/>
    <xdr:pic>
      <xdr:nvPicPr>
        <xdr:cNvPr id="63" name="Picture 62">
          <a:extLst>
            <a:ext uri="{FF2B5EF4-FFF2-40B4-BE49-F238E27FC236}">
              <a16:creationId xmlns:a16="http://schemas.microsoft.com/office/drawing/2014/main" id="{00000000-0008-0000-0D00-00003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3570071"/>
          <a:ext cx="1396763" cy="466634"/>
        </a:xfrm>
        <a:prstGeom prst="rect">
          <a:avLst/>
        </a:prstGeom>
      </xdr:spPr>
    </xdr:pic>
    <xdr:clientData/>
  </xdr:oneCellAnchor>
  <xdr:oneCellAnchor>
    <xdr:from>
      <xdr:col>2</xdr:col>
      <xdr:colOff>0</xdr:colOff>
      <xdr:row>59</xdr:row>
      <xdr:rowOff>0</xdr:rowOff>
    </xdr:from>
    <xdr:ext cx="1396763" cy="466634"/>
    <xdr:pic>
      <xdr:nvPicPr>
        <xdr:cNvPr id="64" name="Picture 63">
          <a:extLst>
            <a:ext uri="{FF2B5EF4-FFF2-40B4-BE49-F238E27FC236}">
              <a16:creationId xmlns:a16="http://schemas.microsoft.com/office/drawing/2014/main" id="{00000000-0008-0000-0D00-00004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4345679"/>
          <a:ext cx="1396763" cy="466634"/>
        </a:xfrm>
        <a:prstGeom prst="rect">
          <a:avLst/>
        </a:prstGeom>
      </xdr:spPr>
    </xdr:pic>
    <xdr:clientData/>
  </xdr:oneCellAnchor>
  <xdr:oneCellAnchor>
    <xdr:from>
      <xdr:col>2</xdr:col>
      <xdr:colOff>0</xdr:colOff>
      <xdr:row>60</xdr:row>
      <xdr:rowOff>0</xdr:rowOff>
    </xdr:from>
    <xdr:ext cx="1396763" cy="466634"/>
    <xdr:pic>
      <xdr:nvPicPr>
        <xdr:cNvPr id="65" name="Picture 64">
          <a:extLst>
            <a:ext uri="{FF2B5EF4-FFF2-40B4-BE49-F238E27FC236}">
              <a16:creationId xmlns:a16="http://schemas.microsoft.com/office/drawing/2014/main" id="{00000000-0008-0000-0D00-00004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5121286"/>
          <a:ext cx="1396763" cy="466634"/>
        </a:xfrm>
        <a:prstGeom prst="rect">
          <a:avLst/>
        </a:prstGeom>
      </xdr:spPr>
    </xdr:pic>
    <xdr:clientData/>
  </xdr:oneCellAnchor>
  <xdr:oneCellAnchor>
    <xdr:from>
      <xdr:col>2</xdr:col>
      <xdr:colOff>0</xdr:colOff>
      <xdr:row>61</xdr:row>
      <xdr:rowOff>0</xdr:rowOff>
    </xdr:from>
    <xdr:ext cx="1396763" cy="466634"/>
    <xdr:pic>
      <xdr:nvPicPr>
        <xdr:cNvPr id="66" name="Picture 65">
          <a:extLst>
            <a:ext uri="{FF2B5EF4-FFF2-40B4-BE49-F238E27FC236}">
              <a16:creationId xmlns:a16="http://schemas.microsoft.com/office/drawing/2014/main" id="{00000000-0008-0000-0D00-00004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5896893"/>
          <a:ext cx="1396763" cy="466634"/>
        </a:xfrm>
        <a:prstGeom prst="rect">
          <a:avLst/>
        </a:prstGeom>
      </xdr:spPr>
    </xdr:pic>
    <xdr:clientData/>
  </xdr:oneCellAnchor>
  <xdr:oneCellAnchor>
    <xdr:from>
      <xdr:col>2</xdr:col>
      <xdr:colOff>0</xdr:colOff>
      <xdr:row>62</xdr:row>
      <xdr:rowOff>0</xdr:rowOff>
    </xdr:from>
    <xdr:ext cx="1396763" cy="466634"/>
    <xdr:pic>
      <xdr:nvPicPr>
        <xdr:cNvPr id="67" name="Picture 66">
          <a:extLst>
            <a:ext uri="{FF2B5EF4-FFF2-40B4-BE49-F238E27FC236}">
              <a16:creationId xmlns:a16="http://schemas.microsoft.com/office/drawing/2014/main" id="{00000000-0008-0000-0D00-00004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6672500"/>
          <a:ext cx="1396763" cy="466634"/>
        </a:xfrm>
        <a:prstGeom prst="rect">
          <a:avLst/>
        </a:prstGeom>
      </xdr:spPr>
    </xdr:pic>
    <xdr:clientData/>
  </xdr:oneCellAnchor>
  <xdr:oneCellAnchor>
    <xdr:from>
      <xdr:col>2</xdr:col>
      <xdr:colOff>0</xdr:colOff>
      <xdr:row>63</xdr:row>
      <xdr:rowOff>0</xdr:rowOff>
    </xdr:from>
    <xdr:ext cx="1396763" cy="466634"/>
    <xdr:pic>
      <xdr:nvPicPr>
        <xdr:cNvPr id="68" name="Picture 67">
          <a:extLst>
            <a:ext uri="{FF2B5EF4-FFF2-40B4-BE49-F238E27FC236}">
              <a16:creationId xmlns:a16="http://schemas.microsoft.com/office/drawing/2014/main" id="{00000000-0008-0000-0D00-00004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7448107"/>
          <a:ext cx="1396763" cy="466634"/>
        </a:xfrm>
        <a:prstGeom prst="rect">
          <a:avLst/>
        </a:prstGeom>
      </xdr:spPr>
    </xdr:pic>
    <xdr:clientData/>
  </xdr:oneCellAnchor>
  <xdr:oneCellAnchor>
    <xdr:from>
      <xdr:col>2</xdr:col>
      <xdr:colOff>0</xdr:colOff>
      <xdr:row>64</xdr:row>
      <xdr:rowOff>0</xdr:rowOff>
    </xdr:from>
    <xdr:ext cx="1396763" cy="466634"/>
    <xdr:pic>
      <xdr:nvPicPr>
        <xdr:cNvPr id="69" name="Picture 68">
          <a:extLst>
            <a:ext uri="{FF2B5EF4-FFF2-40B4-BE49-F238E27FC236}">
              <a16:creationId xmlns:a16="http://schemas.microsoft.com/office/drawing/2014/main" id="{00000000-0008-0000-0D00-00004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8223714"/>
          <a:ext cx="1396763" cy="466634"/>
        </a:xfrm>
        <a:prstGeom prst="rect">
          <a:avLst/>
        </a:prstGeom>
      </xdr:spPr>
    </xdr:pic>
    <xdr:clientData/>
  </xdr:oneCellAnchor>
  <xdr:oneCellAnchor>
    <xdr:from>
      <xdr:col>2</xdr:col>
      <xdr:colOff>0</xdr:colOff>
      <xdr:row>65</xdr:row>
      <xdr:rowOff>0</xdr:rowOff>
    </xdr:from>
    <xdr:ext cx="1396763" cy="466634"/>
    <xdr:pic>
      <xdr:nvPicPr>
        <xdr:cNvPr id="70" name="Picture 69">
          <a:extLst>
            <a:ext uri="{FF2B5EF4-FFF2-40B4-BE49-F238E27FC236}">
              <a16:creationId xmlns:a16="http://schemas.microsoft.com/office/drawing/2014/main" id="{00000000-0008-0000-0D00-000046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8999321"/>
          <a:ext cx="1396763" cy="466634"/>
        </a:xfrm>
        <a:prstGeom prst="rect">
          <a:avLst/>
        </a:prstGeom>
      </xdr:spPr>
    </xdr:pic>
    <xdr:clientData/>
  </xdr:oneCellAnchor>
  <xdr:oneCellAnchor>
    <xdr:from>
      <xdr:col>2</xdr:col>
      <xdr:colOff>0</xdr:colOff>
      <xdr:row>66</xdr:row>
      <xdr:rowOff>0</xdr:rowOff>
    </xdr:from>
    <xdr:ext cx="1396763" cy="466634"/>
    <xdr:pic>
      <xdr:nvPicPr>
        <xdr:cNvPr id="71" name="Picture 70">
          <a:extLst>
            <a:ext uri="{FF2B5EF4-FFF2-40B4-BE49-F238E27FC236}">
              <a16:creationId xmlns:a16="http://schemas.microsoft.com/office/drawing/2014/main" id="{00000000-0008-0000-0D00-00004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9774929"/>
          <a:ext cx="1396763" cy="466634"/>
        </a:xfrm>
        <a:prstGeom prst="rect">
          <a:avLst/>
        </a:prstGeom>
      </xdr:spPr>
    </xdr:pic>
    <xdr:clientData/>
  </xdr:oneCellAnchor>
  <xdr:oneCellAnchor>
    <xdr:from>
      <xdr:col>2</xdr:col>
      <xdr:colOff>0</xdr:colOff>
      <xdr:row>67</xdr:row>
      <xdr:rowOff>0</xdr:rowOff>
    </xdr:from>
    <xdr:ext cx="1396763" cy="466634"/>
    <xdr:pic>
      <xdr:nvPicPr>
        <xdr:cNvPr id="72" name="Picture 71">
          <a:extLst>
            <a:ext uri="{FF2B5EF4-FFF2-40B4-BE49-F238E27FC236}">
              <a16:creationId xmlns:a16="http://schemas.microsoft.com/office/drawing/2014/main" id="{00000000-0008-0000-0D00-00004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0550536"/>
          <a:ext cx="1396763" cy="466634"/>
        </a:xfrm>
        <a:prstGeom prst="rect">
          <a:avLst/>
        </a:prstGeom>
      </xdr:spPr>
    </xdr:pic>
    <xdr:clientData/>
  </xdr:oneCellAnchor>
  <xdr:oneCellAnchor>
    <xdr:from>
      <xdr:col>2</xdr:col>
      <xdr:colOff>0</xdr:colOff>
      <xdr:row>68</xdr:row>
      <xdr:rowOff>0</xdr:rowOff>
    </xdr:from>
    <xdr:ext cx="1396763" cy="466634"/>
    <xdr:pic>
      <xdr:nvPicPr>
        <xdr:cNvPr id="73" name="Picture 72">
          <a:extLst>
            <a:ext uri="{FF2B5EF4-FFF2-40B4-BE49-F238E27FC236}">
              <a16:creationId xmlns:a16="http://schemas.microsoft.com/office/drawing/2014/main" id="{00000000-0008-0000-0D00-00004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1326143"/>
          <a:ext cx="1396763" cy="466634"/>
        </a:xfrm>
        <a:prstGeom prst="rect">
          <a:avLst/>
        </a:prstGeom>
      </xdr:spPr>
    </xdr:pic>
    <xdr:clientData/>
  </xdr:oneCellAnchor>
  <xdr:oneCellAnchor>
    <xdr:from>
      <xdr:col>2</xdr:col>
      <xdr:colOff>0</xdr:colOff>
      <xdr:row>69</xdr:row>
      <xdr:rowOff>0</xdr:rowOff>
    </xdr:from>
    <xdr:ext cx="1396763" cy="466634"/>
    <xdr:pic>
      <xdr:nvPicPr>
        <xdr:cNvPr id="74" name="Picture 73">
          <a:extLst>
            <a:ext uri="{FF2B5EF4-FFF2-40B4-BE49-F238E27FC236}">
              <a16:creationId xmlns:a16="http://schemas.microsoft.com/office/drawing/2014/main" id="{00000000-0008-0000-0D00-00004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2101750"/>
          <a:ext cx="1396763" cy="466634"/>
        </a:xfrm>
        <a:prstGeom prst="rect">
          <a:avLst/>
        </a:prstGeom>
      </xdr:spPr>
    </xdr:pic>
    <xdr:clientData/>
  </xdr:oneCellAnchor>
  <xdr:twoCellAnchor editAs="oneCell">
    <xdr:from>
      <xdr:col>2</xdr:col>
      <xdr:colOff>387117</xdr:colOff>
      <xdr:row>48</xdr:row>
      <xdr:rowOff>93760</xdr:rowOff>
    </xdr:from>
    <xdr:to>
      <xdr:col>2</xdr:col>
      <xdr:colOff>1708854</xdr:colOff>
      <xdr:row>48</xdr:row>
      <xdr:rowOff>557893</xdr:rowOff>
    </xdr:to>
    <xdr:pic>
      <xdr:nvPicPr>
        <xdr:cNvPr id="75" name="Picture 74">
          <a:extLst>
            <a:ext uri="{FF2B5EF4-FFF2-40B4-BE49-F238E27FC236}">
              <a16:creationId xmlns:a16="http://schemas.microsoft.com/office/drawing/2014/main" id="{00000000-0008-0000-0D00-00004B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707760" y="35907760"/>
          <a:ext cx="1321737" cy="464133"/>
        </a:xfrm>
        <a:prstGeom prst="rect">
          <a:avLst/>
        </a:prstGeom>
      </xdr:spPr>
    </xdr:pic>
    <xdr:clientData/>
  </xdr:twoCellAnchor>
  <xdr:oneCellAnchor>
    <xdr:from>
      <xdr:col>2</xdr:col>
      <xdr:colOff>408215</xdr:colOff>
      <xdr:row>51</xdr:row>
      <xdr:rowOff>163285</xdr:rowOff>
    </xdr:from>
    <xdr:ext cx="1234440" cy="462564"/>
    <xdr:pic>
      <xdr:nvPicPr>
        <xdr:cNvPr id="76" name="Picture 75">
          <a:extLst>
            <a:ext uri="{FF2B5EF4-FFF2-40B4-BE49-F238E27FC236}">
              <a16:creationId xmlns:a16="http://schemas.microsoft.com/office/drawing/2014/main" id="{00000000-0008-0000-0D00-00004C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7728858" y="38304106"/>
          <a:ext cx="1234440" cy="462564"/>
        </a:xfrm>
        <a:prstGeom prst="rect">
          <a:avLst/>
        </a:prstGeom>
        <a:noFill/>
        <a:ln w="1">
          <a:noFill/>
          <a:miter lim="800000"/>
          <a:headEnd/>
          <a:tailEnd type="none" w="med" len="med"/>
        </a:ln>
        <a:effectLst/>
      </xdr:spPr>
    </xdr:pic>
    <xdr:clientData/>
  </xdr:oneCellAnchor>
  <xdr:twoCellAnchor editAs="oneCell">
    <xdr:from>
      <xdr:col>2</xdr:col>
      <xdr:colOff>503465</xdr:colOff>
      <xdr:row>50</xdr:row>
      <xdr:rowOff>98650</xdr:rowOff>
    </xdr:from>
    <xdr:to>
      <xdr:col>2</xdr:col>
      <xdr:colOff>1673679</xdr:colOff>
      <xdr:row>50</xdr:row>
      <xdr:rowOff>755899</xdr:rowOff>
    </xdr:to>
    <xdr:pic>
      <xdr:nvPicPr>
        <xdr:cNvPr id="77" name="Picture 76">
          <a:extLst>
            <a:ext uri="{FF2B5EF4-FFF2-40B4-BE49-F238E27FC236}">
              <a16:creationId xmlns:a16="http://schemas.microsoft.com/office/drawing/2014/main" id="{00000000-0008-0000-0D00-00004D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7824108" y="37463864"/>
          <a:ext cx="1170214" cy="657249"/>
        </a:xfrm>
        <a:prstGeom prst="rect">
          <a:avLst/>
        </a:prstGeom>
      </xdr:spPr>
    </xdr:pic>
    <xdr:clientData/>
  </xdr:twoCellAnchor>
  <xdr:oneCellAnchor>
    <xdr:from>
      <xdr:col>2</xdr:col>
      <xdr:colOff>619369</xdr:colOff>
      <xdr:row>3</xdr:row>
      <xdr:rowOff>49951</xdr:rowOff>
    </xdr:from>
    <xdr:ext cx="976068" cy="546468"/>
    <xdr:pic>
      <xdr:nvPicPr>
        <xdr:cNvPr id="80" name="Picture 79">
          <a:extLst>
            <a:ext uri="{FF2B5EF4-FFF2-40B4-BE49-F238E27FC236}">
              <a16:creationId xmlns:a16="http://schemas.microsoft.com/office/drawing/2014/main" id="{00000000-0008-0000-0D00-000050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29807" y="1573951"/>
          <a:ext cx="976068" cy="546468"/>
        </a:xfrm>
        <a:prstGeom prst="rect">
          <a:avLst/>
        </a:prstGeom>
      </xdr:spPr>
    </xdr:pic>
    <xdr:clientData/>
  </xdr:oneCellAnchor>
  <xdr:oneCellAnchor>
    <xdr:from>
      <xdr:col>2</xdr:col>
      <xdr:colOff>642937</xdr:colOff>
      <xdr:row>4</xdr:row>
      <xdr:rowOff>95250</xdr:rowOff>
    </xdr:from>
    <xdr:ext cx="976068" cy="546468"/>
    <xdr:pic>
      <xdr:nvPicPr>
        <xdr:cNvPr id="81" name="Picture 80">
          <a:extLst>
            <a:ext uri="{FF2B5EF4-FFF2-40B4-BE49-F238E27FC236}">
              <a16:creationId xmlns:a16="http://schemas.microsoft.com/office/drawing/2014/main" id="{00000000-0008-0000-0D00-000051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53375" y="2286000"/>
          <a:ext cx="976068" cy="546468"/>
        </a:xfrm>
        <a:prstGeom prst="rect">
          <a:avLst/>
        </a:prstGeom>
      </xdr:spPr>
    </xdr:pic>
    <xdr:clientData/>
  </xdr:oneCellAnchor>
  <xdr:oneCellAnchor>
    <xdr:from>
      <xdr:col>2</xdr:col>
      <xdr:colOff>642938</xdr:colOff>
      <xdr:row>6</xdr:row>
      <xdr:rowOff>142875</xdr:rowOff>
    </xdr:from>
    <xdr:ext cx="976068" cy="546468"/>
    <xdr:pic>
      <xdr:nvPicPr>
        <xdr:cNvPr id="82" name="Picture 81">
          <a:extLst>
            <a:ext uri="{FF2B5EF4-FFF2-40B4-BE49-F238E27FC236}">
              <a16:creationId xmlns:a16="http://schemas.microsoft.com/office/drawing/2014/main" id="{00000000-0008-0000-0D00-000052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53376" y="3857625"/>
          <a:ext cx="976068" cy="546468"/>
        </a:xfrm>
        <a:prstGeom prst="rect">
          <a:avLst/>
        </a:prstGeom>
      </xdr:spPr>
    </xdr:pic>
    <xdr:clientData/>
  </xdr:oneCellAnchor>
  <xdr:oneCellAnchor>
    <xdr:from>
      <xdr:col>2</xdr:col>
      <xdr:colOff>631031</xdr:colOff>
      <xdr:row>7</xdr:row>
      <xdr:rowOff>119062</xdr:rowOff>
    </xdr:from>
    <xdr:ext cx="976068" cy="546468"/>
    <xdr:pic>
      <xdr:nvPicPr>
        <xdr:cNvPr id="83" name="Picture 82">
          <a:extLst>
            <a:ext uri="{FF2B5EF4-FFF2-40B4-BE49-F238E27FC236}">
              <a16:creationId xmlns:a16="http://schemas.microsoft.com/office/drawing/2014/main" id="{00000000-0008-0000-0D00-000053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41469" y="4619625"/>
          <a:ext cx="976068" cy="546468"/>
        </a:xfrm>
        <a:prstGeom prst="rect">
          <a:avLst/>
        </a:prstGeom>
      </xdr:spPr>
    </xdr:pic>
    <xdr:clientData/>
  </xdr:oneCellAnchor>
  <xdr:oneCellAnchor>
    <xdr:from>
      <xdr:col>2</xdr:col>
      <xdr:colOff>678656</xdr:colOff>
      <xdr:row>2</xdr:row>
      <xdr:rowOff>142874</xdr:rowOff>
    </xdr:from>
    <xdr:ext cx="976068" cy="546468"/>
    <xdr:pic>
      <xdr:nvPicPr>
        <xdr:cNvPr id="84" name="Picture 83">
          <a:extLst>
            <a:ext uri="{FF2B5EF4-FFF2-40B4-BE49-F238E27FC236}">
              <a16:creationId xmlns:a16="http://schemas.microsoft.com/office/drawing/2014/main" id="{00000000-0008-0000-0D00-000054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89094" y="1131093"/>
          <a:ext cx="976068" cy="546468"/>
        </a:xfrm>
        <a:prstGeom prst="rect">
          <a:avLst/>
        </a:prstGeom>
      </xdr:spPr>
    </xdr:pic>
    <xdr:clientData/>
  </xdr:oneCellAnchor>
  <xdr:twoCellAnchor editAs="oneCell">
    <xdr:from>
      <xdr:col>4</xdr:col>
      <xdr:colOff>0</xdr:colOff>
      <xdr:row>29</xdr:row>
      <xdr:rowOff>0</xdr:rowOff>
    </xdr:from>
    <xdr:to>
      <xdr:col>6</xdr:col>
      <xdr:colOff>175182</xdr:colOff>
      <xdr:row>29</xdr:row>
      <xdr:rowOff>469809</xdr:rowOff>
    </xdr:to>
    <xdr:pic>
      <xdr:nvPicPr>
        <xdr:cNvPr id="96" name="Picture 95">
          <a:extLst>
            <a:ext uri="{FF2B5EF4-FFF2-40B4-BE49-F238E27FC236}">
              <a16:creationId xmlns:a16="http://schemas.microsoft.com/office/drawing/2014/main" id="{00000000-0008-0000-0D00-00006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58100"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98" name="Picture 97">
          <a:extLst>
            <a:ext uri="{FF2B5EF4-FFF2-40B4-BE49-F238E27FC236}">
              <a16:creationId xmlns:a16="http://schemas.microsoft.com/office/drawing/2014/main" id="{00000000-0008-0000-0D00-00006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810500"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4" name="Picture 103">
          <a:extLst>
            <a:ext uri="{FF2B5EF4-FFF2-40B4-BE49-F238E27FC236}">
              <a16:creationId xmlns:a16="http://schemas.microsoft.com/office/drawing/2014/main" id="{00000000-0008-0000-0D00-00006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96614"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5" name="Picture 104">
          <a:extLst>
            <a:ext uri="{FF2B5EF4-FFF2-40B4-BE49-F238E27FC236}">
              <a16:creationId xmlns:a16="http://schemas.microsoft.com/office/drawing/2014/main" id="{00000000-0008-0000-0D00-00006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75907"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6" name="Picture 105">
          <a:extLst>
            <a:ext uri="{FF2B5EF4-FFF2-40B4-BE49-F238E27FC236}">
              <a16:creationId xmlns:a16="http://schemas.microsoft.com/office/drawing/2014/main" id="{00000000-0008-0000-0D00-00006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9809"/>
        </a:xfrm>
        <a:prstGeom prst="rect">
          <a:avLst/>
        </a:prstGeom>
      </xdr:spPr>
    </xdr:pic>
    <xdr:clientData/>
  </xdr:twoCellAnchor>
  <xdr:oneCellAnchor>
    <xdr:from>
      <xdr:col>4</xdr:col>
      <xdr:colOff>0</xdr:colOff>
      <xdr:row>29</xdr:row>
      <xdr:rowOff>0</xdr:rowOff>
    </xdr:from>
    <xdr:ext cx="1396763" cy="466634"/>
    <xdr:pic>
      <xdr:nvPicPr>
        <xdr:cNvPr id="116" name="Picture 115">
          <a:extLst>
            <a:ext uri="{FF2B5EF4-FFF2-40B4-BE49-F238E27FC236}">
              <a16:creationId xmlns:a16="http://schemas.microsoft.com/office/drawing/2014/main" id="{00000000-0008-0000-0D00-00007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29</xdr:row>
      <xdr:rowOff>0</xdr:rowOff>
    </xdr:from>
    <xdr:ext cx="1396763" cy="466634"/>
    <xdr:pic>
      <xdr:nvPicPr>
        <xdr:cNvPr id="117" name="Picture 116">
          <a:extLst>
            <a:ext uri="{FF2B5EF4-FFF2-40B4-BE49-F238E27FC236}">
              <a16:creationId xmlns:a16="http://schemas.microsoft.com/office/drawing/2014/main" id="{00000000-0008-0000-0D00-00007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29</xdr:row>
      <xdr:rowOff>0</xdr:rowOff>
    </xdr:from>
    <xdr:ext cx="1396763" cy="466634"/>
    <xdr:pic>
      <xdr:nvPicPr>
        <xdr:cNvPr id="118" name="Picture 117">
          <a:extLst>
            <a:ext uri="{FF2B5EF4-FFF2-40B4-BE49-F238E27FC236}">
              <a16:creationId xmlns:a16="http://schemas.microsoft.com/office/drawing/2014/main" id="{00000000-0008-0000-0D00-000076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32</xdr:row>
      <xdr:rowOff>0</xdr:rowOff>
    </xdr:from>
    <xdr:ext cx="1396763" cy="466634"/>
    <xdr:pic>
      <xdr:nvPicPr>
        <xdr:cNvPr id="119" name="Picture 118">
          <a:extLst>
            <a:ext uri="{FF2B5EF4-FFF2-40B4-BE49-F238E27FC236}">
              <a16:creationId xmlns:a16="http://schemas.microsoft.com/office/drawing/2014/main" id="{00000000-0008-0000-0D00-00007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0" name="Picture 119">
          <a:extLst>
            <a:ext uri="{FF2B5EF4-FFF2-40B4-BE49-F238E27FC236}">
              <a16:creationId xmlns:a16="http://schemas.microsoft.com/office/drawing/2014/main" id="{00000000-0008-0000-0D00-00007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1" name="Picture 120">
          <a:extLst>
            <a:ext uri="{FF2B5EF4-FFF2-40B4-BE49-F238E27FC236}">
              <a16:creationId xmlns:a16="http://schemas.microsoft.com/office/drawing/2014/main" id="{00000000-0008-0000-0D00-00007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2" name="Picture 121">
          <a:extLst>
            <a:ext uri="{FF2B5EF4-FFF2-40B4-BE49-F238E27FC236}">
              <a16:creationId xmlns:a16="http://schemas.microsoft.com/office/drawing/2014/main" id="{00000000-0008-0000-0D00-00007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3" name="Picture 122">
          <a:extLst>
            <a:ext uri="{FF2B5EF4-FFF2-40B4-BE49-F238E27FC236}">
              <a16:creationId xmlns:a16="http://schemas.microsoft.com/office/drawing/2014/main" id="{00000000-0008-0000-0D00-00007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4" name="Picture 123">
          <a:extLst>
            <a:ext uri="{FF2B5EF4-FFF2-40B4-BE49-F238E27FC236}">
              <a16:creationId xmlns:a16="http://schemas.microsoft.com/office/drawing/2014/main" id="{00000000-0008-0000-0D00-00007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twoCellAnchor editAs="oneCell">
    <xdr:from>
      <xdr:col>2</xdr:col>
      <xdr:colOff>559594</xdr:colOff>
      <xdr:row>30</xdr:row>
      <xdr:rowOff>23813</xdr:rowOff>
    </xdr:from>
    <xdr:to>
      <xdr:col>2</xdr:col>
      <xdr:colOff>1825625</xdr:colOff>
      <xdr:row>30</xdr:row>
      <xdr:rowOff>742064</xdr:rowOff>
    </xdr:to>
    <xdr:pic>
      <xdr:nvPicPr>
        <xdr:cNvPr id="139" name="Picture 138">
          <a:extLst>
            <a:ext uri="{FF2B5EF4-FFF2-40B4-BE49-F238E27FC236}">
              <a16:creationId xmlns:a16="http://schemas.microsoft.com/office/drawing/2014/main" id="{00000000-0008-0000-0D00-00008B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7870032" y="22788563"/>
          <a:ext cx="1266031" cy="718251"/>
        </a:xfrm>
        <a:prstGeom prst="rect">
          <a:avLst/>
        </a:prstGeom>
      </xdr:spPr>
    </xdr:pic>
    <xdr:clientData/>
  </xdr:twoCellAnchor>
  <xdr:twoCellAnchor editAs="oneCell">
    <xdr:from>
      <xdr:col>2</xdr:col>
      <xdr:colOff>0</xdr:colOff>
      <xdr:row>49</xdr:row>
      <xdr:rowOff>202406</xdr:rowOff>
    </xdr:from>
    <xdr:to>
      <xdr:col>2</xdr:col>
      <xdr:colOff>2114550</xdr:colOff>
      <xdr:row>49</xdr:row>
      <xdr:rowOff>538956</xdr:rowOff>
    </xdr:to>
    <xdr:pic>
      <xdr:nvPicPr>
        <xdr:cNvPr id="85" name="Picture 84">
          <a:extLst>
            <a:ext uri="{FF2B5EF4-FFF2-40B4-BE49-F238E27FC236}">
              <a16:creationId xmlns:a16="http://schemas.microsoft.com/office/drawing/2014/main" id="{464EFE4E-F3CA-4CA4-9A28-267BF73F09A1}"/>
            </a:ext>
          </a:extLst>
        </xdr:cNvPr>
        <xdr:cNvPicPr>
          <a:picLocks noChangeAspect="1"/>
        </xdr:cNvPicPr>
      </xdr:nvPicPr>
      <xdr:blipFill>
        <a:blip xmlns:r="http://schemas.openxmlformats.org/officeDocument/2006/relationships" r:embed="rId14" r:link="rId15">
          <a:extLst>
            <a:ext uri="{28A0092B-C50C-407E-A947-70E740481C1C}">
              <a14:useLocalDpi xmlns:a14="http://schemas.microsoft.com/office/drawing/2010/main" val="0"/>
            </a:ext>
          </a:extLst>
        </a:blip>
        <a:srcRect/>
        <a:stretch>
          <a:fillRect/>
        </a:stretch>
      </xdr:blipFill>
      <xdr:spPr bwMode="auto">
        <a:xfrm>
          <a:off x="7310438" y="37897594"/>
          <a:ext cx="2114550" cy="336550"/>
        </a:xfrm>
        <a:prstGeom prst="rect">
          <a:avLst/>
        </a:prstGeom>
        <a:noFill/>
        <a:ln>
          <a:noFill/>
        </a:ln>
      </xdr:spPr>
    </xdr:pic>
    <xdr:clientData/>
  </xdr:twoCellAnchor>
  <xdr:oneCellAnchor>
    <xdr:from>
      <xdr:col>2</xdr:col>
      <xdr:colOff>276225</xdr:colOff>
      <xdr:row>70</xdr:row>
      <xdr:rowOff>228600</xdr:rowOff>
    </xdr:from>
    <xdr:ext cx="1845945" cy="328436"/>
    <xdr:pic>
      <xdr:nvPicPr>
        <xdr:cNvPr id="3" name="Picture 2" descr="6098e4vinacapital-010.jpg">
          <a:extLst>
            <a:ext uri="{FF2B5EF4-FFF2-40B4-BE49-F238E27FC236}">
              <a16:creationId xmlns:a16="http://schemas.microsoft.com/office/drawing/2014/main" id="{7F20A50F-4012-4E3F-992F-F26BFF14E829}"/>
            </a:ext>
          </a:extLst>
        </xdr:cNvPr>
        <xdr:cNvPicPr>
          <a:picLocks noChangeAspect="1"/>
        </xdr:cNvPicPr>
      </xdr:nvPicPr>
      <xdr:blipFill>
        <a:blip xmlns:r="http://schemas.openxmlformats.org/officeDocument/2006/relationships" r:embed="rId5" cstate="print"/>
        <a:stretch>
          <a:fillRect/>
        </a:stretch>
      </xdr:blipFill>
      <xdr:spPr>
        <a:xfrm>
          <a:off x="7586663" y="12777788"/>
          <a:ext cx="1845945" cy="328436"/>
        </a:xfrm>
        <a:prstGeom prst="rect">
          <a:avLst/>
        </a:prstGeom>
      </xdr:spPr>
    </xdr:pic>
    <xdr:clientData/>
  </xdr:oneCellAnchor>
  <xdr:twoCellAnchor editAs="oneCell">
    <xdr:from>
      <xdr:col>2</xdr:col>
      <xdr:colOff>523876</xdr:colOff>
      <xdr:row>71</xdr:row>
      <xdr:rowOff>73745</xdr:rowOff>
    </xdr:from>
    <xdr:to>
      <xdr:col>2</xdr:col>
      <xdr:colOff>1752600</xdr:colOff>
      <xdr:row>71</xdr:row>
      <xdr:rowOff>707947</xdr:rowOff>
    </xdr:to>
    <xdr:pic>
      <xdr:nvPicPr>
        <xdr:cNvPr id="6" name="Picture 5">
          <a:extLst>
            <a:ext uri="{FF2B5EF4-FFF2-40B4-BE49-F238E27FC236}">
              <a16:creationId xmlns:a16="http://schemas.microsoft.com/office/drawing/2014/main" id="{9B4627AF-52DC-4523-B6DD-B881A7656E11}"/>
            </a:ext>
          </a:extLst>
        </xdr:cNvPr>
        <xdr:cNvPicPr>
          <a:picLocks noChangeAspect="1"/>
        </xdr:cNvPicPr>
      </xdr:nvPicPr>
      <xdr:blipFill>
        <a:blip xmlns:r="http://schemas.openxmlformats.org/officeDocument/2006/relationships" r:embed="rId16"/>
        <a:stretch>
          <a:fillRect/>
        </a:stretch>
      </xdr:blipFill>
      <xdr:spPr>
        <a:xfrm>
          <a:off x="7839076" y="54728195"/>
          <a:ext cx="1228724" cy="634202"/>
        </a:xfrm>
        <a:prstGeom prst="rect">
          <a:avLst/>
        </a:prstGeom>
      </xdr:spPr>
    </xdr:pic>
    <xdr:clientData/>
  </xdr:twoCellAnchor>
  <xdr:twoCellAnchor editAs="oneCell">
    <xdr:from>
      <xdr:col>2</xdr:col>
      <xdr:colOff>476250</xdr:colOff>
      <xdr:row>72</xdr:row>
      <xdr:rowOff>47625</xdr:rowOff>
    </xdr:from>
    <xdr:to>
      <xdr:col>2</xdr:col>
      <xdr:colOff>1704974</xdr:colOff>
      <xdr:row>72</xdr:row>
      <xdr:rowOff>681827</xdr:rowOff>
    </xdr:to>
    <xdr:pic>
      <xdr:nvPicPr>
        <xdr:cNvPr id="7" name="Picture 6">
          <a:extLst>
            <a:ext uri="{FF2B5EF4-FFF2-40B4-BE49-F238E27FC236}">
              <a16:creationId xmlns:a16="http://schemas.microsoft.com/office/drawing/2014/main" id="{A43FD6C1-6DC0-4ACE-BDC4-1780F6CD779F}"/>
            </a:ext>
          </a:extLst>
        </xdr:cNvPr>
        <xdr:cNvPicPr>
          <a:picLocks noChangeAspect="1"/>
        </xdr:cNvPicPr>
      </xdr:nvPicPr>
      <xdr:blipFill>
        <a:blip xmlns:r="http://schemas.openxmlformats.org/officeDocument/2006/relationships" r:embed="rId16"/>
        <a:stretch>
          <a:fillRect/>
        </a:stretch>
      </xdr:blipFill>
      <xdr:spPr>
        <a:xfrm>
          <a:off x="7791450" y="55483125"/>
          <a:ext cx="1228724" cy="634202"/>
        </a:xfrm>
        <a:prstGeom prst="rect">
          <a:avLst/>
        </a:prstGeom>
      </xdr:spPr>
    </xdr:pic>
    <xdr:clientData/>
  </xdr:twoCellAnchor>
  <xdr:oneCellAnchor>
    <xdr:from>
      <xdr:col>2</xdr:col>
      <xdr:colOff>0</xdr:colOff>
      <xdr:row>73</xdr:row>
      <xdr:rowOff>202406</xdr:rowOff>
    </xdr:from>
    <xdr:ext cx="2114550" cy="336550"/>
    <xdr:pic>
      <xdr:nvPicPr>
        <xdr:cNvPr id="4" name="Picture 3">
          <a:extLst>
            <a:ext uri="{FF2B5EF4-FFF2-40B4-BE49-F238E27FC236}">
              <a16:creationId xmlns:a16="http://schemas.microsoft.com/office/drawing/2014/main" id="{DB9149FE-8687-47F6-9F57-F8FC08B0926E}"/>
            </a:ext>
          </a:extLst>
        </xdr:cNvPr>
        <xdr:cNvPicPr>
          <a:picLocks noChangeAspect="1"/>
        </xdr:cNvPicPr>
      </xdr:nvPicPr>
      <xdr:blipFill>
        <a:blip xmlns:r="http://schemas.openxmlformats.org/officeDocument/2006/relationships" r:embed="rId14" r:link="rId15">
          <a:extLst>
            <a:ext uri="{28A0092B-C50C-407E-A947-70E740481C1C}">
              <a14:useLocalDpi xmlns:a14="http://schemas.microsoft.com/office/drawing/2010/main" val="0"/>
            </a:ext>
          </a:extLst>
        </a:blip>
        <a:srcRect/>
        <a:stretch>
          <a:fillRect/>
        </a:stretch>
      </xdr:blipFill>
      <xdr:spPr bwMode="auto">
        <a:xfrm>
          <a:off x="7315200" y="37673756"/>
          <a:ext cx="2114550" cy="336550"/>
        </a:xfrm>
        <a:prstGeom prst="rect">
          <a:avLst/>
        </a:prstGeom>
        <a:noFill/>
        <a:ln>
          <a:noFill/>
        </a:ln>
      </xdr:spPr>
    </xdr:pic>
    <xdr:clientData/>
  </xdr:oneCellAnchor>
  <xdr:oneCellAnchor>
    <xdr:from>
      <xdr:col>2</xdr:col>
      <xdr:colOff>276225</xdr:colOff>
      <xdr:row>74</xdr:row>
      <xdr:rowOff>228600</xdr:rowOff>
    </xdr:from>
    <xdr:ext cx="1845945" cy="328436"/>
    <xdr:pic>
      <xdr:nvPicPr>
        <xdr:cNvPr id="5" name="Picture 4" descr="6098e4vinacapital-010.jpg">
          <a:extLst>
            <a:ext uri="{FF2B5EF4-FFF2-40B4-BE49-F238E27FC236}">
              <a16:creationId xmlns:a16="http://schemas.microsoft.com/office/drawing/2014/main" id="{54C173D7-A0E9-42EC-8DBD-998A3DD7168D}"/>
            </a:ext>
          </a:extLst>
        </xdr:cNvPr>
        <xdr:cNvPicPr>
          <a:picLocks noChangeAspect="1"/>
        </xdr:cNvPicPr>
      </xdr:nvPicPr>
      <xdr:blipFill>
        <a:blip xmlns:r="http://schemas.openxmlformats.org/officeDocument/2006/relationships" r:embed="rId5" cstate="print"/>
        <a:stretch>
          <a:fillRect/>
        </a:stretch>
      </xdr:blipFill>
      <xdr:spPr>
        <a:xfrm>
          <a:off x="7591425" y="12706350"/>
          <a:ext cx="1845945" cy="328436"/>
        </a:xfrm>
        <a:prstGeom prst="rect">
          <a:avLst/>
        </a:prstGeom>
      </xdr:spPr>
    </xdr:pic>
    <xdr:clientData/>
  </xdr:oneCellAnchor>
  <xdr:oneCellAnchor>
    <xdr:from>
      <xdr:col>2</xdr:col>
      <xdr:colOff>533401</xdr:colOff>
      <xdr:row>75</xdr:row>
      <xdr:rowOff>142875</xdr:rowOff>
    </xdr:from>
    <xdr:ext cx="1234440" cy="462564"/>
    <xdr:pic>
      <xdr:nvPicPr>
        <xdr:cNvPr id="8" name="Picture 7">
          <a:extLst>
            <a:ext uri="{FF2B5EF4-FFF2-40B4-BE49-F238E27FC236}">
              <a16:creationId xmlns:a16="http://schemas.microsoft.com/office/drawing/2014/main" id="{AE9032C8-E780-42C4-94FB-6AFBBF99008D}"/>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7848601" y="10277475"/>
          <a:ext cx="1234440" cy="462564"/>
        </a:xfrm>
        <a:prstGeom prst="rect">
          <a:avLst/>
        </a:prstGeom>
        <a:noFill/>
        <a:ln w="1">
          <a:noFill/>
          <a:miter lim="800000"/>
          <a:headEnd/>
          <a:tailEnd type="none" w="med" len="med"/>
        </a:ln>
        <a:effec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activeCell="D11" sqref="D11:I11"/>
    </sheetView>
  </sheetViews>
  <sheetFormatPr defaultColWidth="9.1796875" defaultRowHeight="12.5"/>
  <cols>
    <col min="1" max="2" width="9.1796875" style="104"/>
    <col min="3" max="3" width="30.1796875" style="104" customWidth="1"/>
    <col min="4" max="4" width="30.81640625" style="104" customWidth="1"/>
    <col min="5" max="5" width="21.1796875" style="104" customWidth="1"/>
    <col min="6" max="9" width="9.1796875" style="104"/>
    <col min="10" max="10" width="11.81640625" style="104" customWidth="1"/>
    <col min="11" max="11" width="15" style="104" customWidth="1"/>
    <col min="12" max="16384" width="9.1796875" style="104"/>
  </cols>
  <sheetData>
    <row r="1" spans="1:11">
      <c r="A1" s="103" t="s">
        <v>0</v>
      </c>
      <c r="C1" s="206" t="s">
        <v>1360</v>
      </c>
      <c r="D1" s="207"/>
    </row>
    <row r="2" spans="1:11">
      <c r="C2" s="105" t="s">
        <v>1361</v>
      </c>
      <c r="D2" s="106"/>
    </row>
    <row r="3" spans="1:11">
      <c r="D3" s="107"/>
    </row>
    <row r="4" spans="1:11">
      <c r="A4" s="103" t="s">
        <v>1</v>
      </c>
      <c r="D4" s="107"/>
    </row>
    <row r="5" spans="1:11" ht="15" customHeight="1">
      <c r="C5" s="108" t="s">
        <v>2</v>
      </c>
      <c r="D5" s="209" t="s">
        <v>1362</v>
      </c>
      <c r="E5" s="209"/>
      <c r="F5" s="209"/>
      <c r="G5" s="209"/>
      <c r="H5" s="209"/>
      <c r="I5" s="209"/>
    </row>
    <row r="6" spans="1:11">
      <c r="C6" s="98" t="s">
        <v>15</v>
      </c>
      <c r="D6" s="208" t="s">
        <v>1363</v>
      </c>
      <c r="E6" s="208"/>
      <c r="F6" s="208"/>
      <c r="G6" s="208"/>
      <c r="H6" s="208"/>
      <c r="I6" s="208"/>
    </row>
    <row r="7" spans="1:11">
      <c r="C7" s="109" t="s">
        <v>3</v>
      </c>
      <c r="D7" s="209" t="s">
        <v>1364</v>
      </c>
      <c r="E7" s="209"/>
      <c r="F7" s="209"/>
      <c r="G7" s="209"/>
      <c r="H7" s="209"/>
      <c r="I7" s="209"/>
    </row>
    <row r="8" spans="1:11" ht="15" customHeight="1">
      <c r="C8" s="101" t="s">
        <v>4</v>
      </c>
      <c r="D8" s="208" t="s">
        <v>1365</v>
      </c>
      <c r="E8" s="208"/>
      <c r="F8" s="208"/>
      <c r="G8" s="208"/>
      <c r="H8" s="208"/>
      <c r="I8" s="208"/>
    </row>
    <row r="9" spans="1:11" ht="15" customHeight="1">
      <c r="C9" s="109" t="s">
        <v>5</v>
      </c>
      <c r="D9" s="209" t="s">
        <v>690</v>
      </c>
      <c r="E9" s="209"/>
      <c r="F9" s="209"/>
      <c r="G9" s="209"/>
      <c r="H9" s="209"/>
      <c r="I9" s="209"/>
    </row>
    <row r="10" spans="1:11" ht="15" customHeight="1">
      <c r="C10" s="110" t="s">
        <v>6</v>
      </c>
      <c r="D10" s="208" t="s">
        <v>1382</v>
      </c>
      <c r="E10" s="208"/>
      <c r="F10" s="208"/>
      <c r="G10" s="208"/>
      <c r="H10" s="208"/>
      <c r="I10" s="208"/>
    </row>
    <row r="11" spans="1:11">
      <c r="C11" s="111" t="s">
        <v>7</v>
      </c>
      <c r="D11" s="209" t="s">
        <v>1366</v>
      </c>
      <c r="E11" s="209"/>
      <c r="F11" s="209"/>
      <c r="G11" s="209"/>
      <c r="H11" s="209"/>
      <c r="I11" s="209"/>
    </row>
    <row r="12" spans="1:11">
      <c r="C12" s="5" t="s">
        <v>8</v>
      </c>
      <c r="D12" s="208" t="s">
        <v>1367</v>
      </c>
      <c r="E12" s="208"/>
      <c r="F12" s="208"/>
      <c r="G12" s="208"/>
      <c r="H12" s="208"/>
      <c r="I12" s="208"/>
    </row>
    <row r="13" spans="1:11">
      <c r="D13" s="107"/>
    </row>
    <row r="14" spans="1:11">
      <c r="A14" s="103" t="s">
        <v>9</v>
      </c>
      <c r="D14" s="107"/>
    </row>
    <row r="15" spans="1:11">
      <c r="D15" s="107"/>
    </row>
    <row r="16" spans="1:11">
      <c r="C16" s="112" t="s">
        <v>10</v>
      </c>
      <c r="D16" s="113"/>
      <c r="F16" s="112" t="s">
        <v>11</v>
      </c>
      <c r="G16" s="114"/>
      <c r="H16" s="114"/>
      <c r="I16" s="114"/>
      <c r="J16" s="114"/>
      <c r="K16" s="115"/>
    </row>
    <row r="17" spans="3:11">
      <c r="C17" s="116" t="s">
        <v>12</v>
      </c>
      <c r="D17" s="117"/>
      <c r="F17" s="116" t="s">
        <v>13</v>
      </c>
      <c r="G17" s="118"/>
      <c r="H17" s="118"/>
      <c r="I17" s="118"/>
      <c r="J17" s="118"/>
      <c r="K17" s="119"/>
    </row>
    <row r="18" spans="3:11">
      <c r="C18" s="120"/>
      <c r="D18" s="117"/>
      <c r="F18" s="120"/>
      <c r="G18" s="118"/>
      <c r="H18" s="118"/>
      <c r="I18" s="118"/>
      <c r="J18" s="118"/>
      <c r="K18" s="119"/>
    </row>
    <row r="19" spans="3:11">
      <c r="C19" s="121" t="s">
        <v>14</v>
      </c>
      <c r="D19" s="117"/>
      <c r="F19" s="121" t="str">
        <f>D5</f>
        <v>Công ty Cổ phần Quản lý Quỹ Đầu tư Dragon Capital Việt Nam</v>
      </c>
      <c r="G19" s="118"/>
      <c r="H19" s="118"/>
      <c r="I19" s="118"/>
      <c r="J19" s="118"/>
      <c r="K19" s="119"/>
    </row>
    <row r="20" spans="3:11">
      <c r="C20" s="122" t="s">
        <v>1368</v>
      </c>
      <c r="D20" s="117"/>
      <c r="F20" s="121" t="s">
        <v>1369</v>
      </c>
      <c r="G20" s="118"/>
      <c r="H20" s="118"/>
      <c r="I20" s="118"/>
      <c r="J20" s="118"/>
      <c r="K20" s="119"/>
    </row>
    <row r="21" spans="3:11">
      <c r="C21" s="123" t="s">
        <v>1370</v>
      </c>
      <c r="D21" s="106"/>
      <c r="F21" s="124" t="s">
        <v>1371</v>
      </c>
      <c r="G21" s="125"/>
      <c r="H21" s="125"/>
      <c r="I21" s="125"/>
      <c r="J21" s="125"/>
      <c r="K21" s="126"/>
    </row>
    <row r="22" spans="3:11">
      <c r="D22" s="107"/>
    </row>
    <row r="23" spans="3:11">
      <c r="D23" s="107"/>
    </row>
    <row r="24" spans="3:11">
      <c r="D24" s="107"/>
    </row>
    <row r="25" spans="3:11">
      <c r="D25" s="107"/>
    </row>
    <row r="26" spans="3:11">
      <c r="D26" s="107"/>
    </row>
    <row r="27" spans="3:11">
      <c r="D27" s="107"/>
    </row>
    <row r="28" spans="3:11">
      <c r="D28" s="107"/>
    </row>
    <row r="29" spans="3:11">
      <c r="D29" s="107"/>
    </row>
    <row r="30" spans="3:11">
      <c r="D30" s="107"/>
    </row>
    <row r="31" spans="3:11">
      <c r="D31" s="107"/>
    </row>
    <row r="32" spans="3:11">
      <c r="D32" s="107"/>
    </row>
    <row r="33" spans="4:4">
      <c r="D33" s="107"/>
    </row>
    <row r="34" spans="4:4">
      <c r="D34" s="127"/>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90" zoomScaleNormal="100" zoomScaleSheetLayoutView="90" workbookViewId="0">
      <selection sqref="A1:XFD1048576"/>
    </sheetView>
  </sheetViews>
  <sheetFormatPr defaultColWidth="8.7265625" defaultRowHeight="12.5"/>
  <cols>
    <col min="1" max="1" width="8.7265625" style="4"/>
    <col min="2" max="2" width="44.26953125" style="4" customWidth="1"/>
    <col min="3" max="3" width="10.26953125" style="4" customWidth="1"/>
    <col min="4" max="5" width="41.1796875" style="4" customWidth="1"/>
    <col min="6" max="6" width="37.54296875" style="4" customWidth="1"/>
    <col min="7" max="16384" width="8.7265625" style="4"/>
  </cols>
  <sheetData>
    <row r="1" spans="1:6" s="5" customFormat="1" ht="54.75" customHeight="1">
      <c r="A1" s="211" t="s">
        <v>639</v>
      </c>
      <c r="B1" s="211"/>
      <c r="C1" s="211"/>
      <c r="D1" s="211"/>
      <c r="E1" s="211"/>
      <c r="F1" s="211"/>
    </row>
    <row r="2" spans="1:6" s="5" customFormat="1" ht="50.5" customHeight="1">
      <c r="A2" s="212" t="s">
        <v>640</v>
      </c>
      <c r="B2" s="212"/>
      <c r="C2" s="212"/>
      <c r="D2" s="212"/>
      <c r="E2" s="212"/>
      <c r="F2" s="212"/>
    </row>
    <row r="3" spans="1:6" s="5" customFormat="1">
      <c r="A3" s="213" t="s">
        <v>590</v>
      </c>
      <c r="B3" s="213"/>
      <c r="C3" s="213"/>
      <c r="D3" s="213"/>
      <c r="E3" s="213"/>
      <c r="F3" s="213"/>
    </row>
    <row r="4" spans="1:6" s="5" customFormat="1" ht="32.65" customHeight="1">
      <c r="A4" s="213"/>
      <c r="B4" s="213"/>
      <c r="C4" s="213"/>
      <c r="D4" s="213"/>
      <c r="E4" s="213"/>
      <c r="F4" s="213"/>
    </row>
    <row r="5" spans="1:6" s="5" customFormat="1" ht="16.899999999999999" customHeight="1">
      <c r="A5" s="214" t="s">
        <v>1360</v>
      </c>
      <c r="B5" s="214"/>
      <c r="C5" s="214"/>
      <c r="D5" s="214"/>
      <c r="E5" s="214"/>
      <c r="F5" s="214"/>
    </row>
    <row r="6" spans="1:6">
      <c r="A6" s="15"/>
      <c r="B6" s="15"/>
      <c r="C6" s="15"/>
      <c r="D6" s="15"/>
      <c r="E6" s="15"/>
      <c r="F6" s="15"/>
    </row>
    <row r="7" spans="1:6" ht="16.899999999999999" customHeight="1">
      <c r="A7" s="210" t="s">
        <v>2</v>
      </c>
      <c r="B7" s="210"/>
      <c r="C7" s="210" t="s">
        <v>1362</v>
      </c>
      <c r="D7" s="210"/>
      <c r="E7" s="210"/>
      <c r="F7" s="210"/>
    </row>
    <row r="8" spans="1:6" s="5" customFormat="1" ht="16.899999999999999" customHeight="1">
      <c r="A8" s="208" t="s">
        <v>15</v>
      </c>
      <c r="B8" s="208"/>
      <c r="C8" s="208" t="s">
        <v>1363</v>
      </c>
      <c r="D8" s="208"/>
      <c r="E8" s="208"/>
      <c r="F8" s="208"/>
    </row>
    <row r="9" spans="1:6" ht="16.899999999999999" customHeight="1">
      <c r="A9" s="210" t="s">
        <v>3</v>
      </c>
      <c r="B9" s="210"/>
      <c r="C9" s="210" t="s">
        <v>1364</v>
      </c>
      <c r="D9" s="210"/>
      <c r="E9" s="210"/>
      <c r="F9" s="210"/>
    </row>
    <row r="10" spans="1:6" s="5" customFormat="1" ht="16.899999999999999" customHeight="1">
      <c r="A10" s="208" t="s">
        <v>4</v>
      </c>
      <c r="B10" s="208"/>
      <c r="C10" s="208" t="s">
        <v>1365</v>
      </c>
      <c r="D10" s="208"/>
      <c r="E10" s="208"/>
      <c r="F10" s="208"/>
    </row>
    <row r="11" spans="1:6" ht="16.899999999999999" customHeight="1">
      <c r="A11" s="210" t="s">
        <v>5</v>
      </c>
      <c r="B11" s="210"/>
      <c r="C11" s="210" t="s">
        <v>690</v>
      </c>
      <c r="D11" s="210"/>
      <c r="E11" s="210"/>
      <c r="F11" s="210"/>
    </row>
    <row r="12" spans="1:6" s="5" customFormat="1" ht="16.899999999999999" customHeight="1">
      <c r="A12" s="208" t="s">
        <v>6</v>
      </c>
      <c r="B12" s="208"/>
      <c r="C12" s="208" t="s">
        <v>1382</v>
      </c>
      <c r="D12" s="208"/>
      <c r="E12" s="208"/>
      <c r="F12" s="208"/>
    </row>
    <row r="13" spans="1:6" ht="16.899999999999999" customHeight="1">
      <c r="A13" s="210" t="s">
        <v>7</v>
      </c>
      <c r="B13" s="210"/>
      <c r="C13" s="210" t="s">
        <v>1366</v>
      </c>
      <c r="D13" s="210"/>
      <c r="E13" s="210"/>
      <c r="F13" s="210"/>
    </row>
    <row r="14" spans="1:6" s="5" customFormat="1" ht="16.899999999999999" customHeight="1">
      <c r="A14" s="208" t="s">
        <v>8</v>
      </c>
      <c r="B14" s="208"/>
      <c r="C14" s="208" t="s">
        <v>1367</v>
      </c>
      <c r="D14" s="208"/>
      <c r="E14" s="208"/>
      <c r="F14" s="208"/>
    </row>
    <row r="15" spans="1:6" s="5" customFormat="1" ht="7.5" customHeight="1">
      <c r="A15" s="14"/>
      <c r="B15" s="14"/>
      <c r="C15" s="14"/>
      <c r="D15" s="14"/>
      <c r="E15" s="14"/>
      <c r="F15" s="14"/>
    </row>
    <row r="16" spans="1:6" s="5" customFormat="1" ht="16.899999999999999" customHeight="1">
      <c r="A16" s="93" t="s">
        <v>637</v>
      </c>
      <c r="B16" s="94" t="s">
        <v>638</v>
      </c>
      <c r="C16" s="14"/>
      <c r="D16" s="14"/>
      <c r="E16" s="14"/>
      <c r="F16" s="14"/>
    </row>
    <row r="17" spans="1:6" s="5" customFormat="1" ht="16.899999999999999" customHeight="1">
      <c r="A17" s="95" t="s">
        <v>16</v>
      </c>
      <c r="B17" s="96" t="s">
        <v>591</v>
      </c>
      <c r="C17" s="14"/>
      <c r="D17" s="14"/>
      <c r="E17" s="14"/>
      <c r="F17" s="14"/>
    </row>
    <row r="18" spans="1:6" s="5" customFormat="1" ht="50.65" customHeight="1">
      <c r="A18" s="13" t="s">
        <v>17</v>
      </c>
      <c r="B18" s="11" t="s">
        <v>18</v>
      </c>
      <c r="C18" s="13" t="s">
        <v>19</v>
      </c>
      <c r="D18" s="12" t="s">
        <v>1372</v>
      </c>
      <c r="E18" s="12" t="s">
        <v>1373</v>
      </c>
      <c r="F18" s="53" t="s">
        <v>20</v>
      </c>
    </row>
    <row r="19" spans="1:6" ht="39" customHeight="1">
      <c r="A19" s="169" t="s">
        <v>1051</v>
      </c>
      <c r="B19" s="168" t="s">
        <v>1052</v>
      </c>
      <c r="C19" s="169" t="s">
        <v>1053</v>
      </c>
      <c r="D19" s="171"/>
      <c r="E19" s="171"/>
      <c r="F19" s="170"/>
    </row>
    <row r="20" spans="1:6" ht="39" customHeight="1">
      <c r="A20" s="164" t="s">
        <v>1054</v>
      </c>
      <c r="B20" s="163" t="s">
        <v>1055</v>
      </c>
      <c r="C20" s="164" t="s">
        <v>1056</v>
      </c>
      <c r="D20" s="167">
        <v>58966760393</v>
      </c>
      <c r="E20" s="167">
        <v>109135254537</v>
      </c>
      <c r="F20" s="166">
        <v>1.1182400445379499</v>
      </c>
    </row>
    <row r="21" spans="1:6" ht="39" customHeight="1">
      <c r="A21" s="164" t="s">
        <v>1057</v>
      </c>
      <c r="B21" s="163" t="s">
        <v>1058</v>
      </c>
      <c r="C21" s="164" t="s">
        <v>1059</v>
      </c>
      <c r="D21" s="167"/>
      <c r="E21" s="167"/>
      <c r="F21" s="166"/>
    </row>
    <row r="22" spans="1:6">
      <c r="A22" s="164" t="s">
        <v>1060</v>
      </c>
      <c r="B22" s="163" t="s">
        <v>1061</v>
      </c>
      <c r="C22" s="164" t="s">
        <v>1062</v>
      </c>
      <c r="D22" s="167" t="s">
        <v>1063</v>
      </c>
      <c r="E22" s="167" t="s">
        <v>1064</v>
      </c>
      <c r="F22" s="166" t="s">
        <v>1065</v>
      </c>
    </row>
    <row r="23" spans="1:6" ht="39" customHeight="1">
      <c r="A23" s="164" t="s">
        <v>1066</v>
      </c>
      <c r="B23" s="163" t="s">
        <v>1067</v>
      </c>
      <c r="C23" s="164" t="s">
        <v>1068</v>
      </c>
      <c r="D23" s="167">
        <v>58966760393</v>
      </c>
      <c r="E23" s="167">
        <v>109135254537</v>
      </c>
      <c r="F23" s="166">
        <v>1.1182400445379499</v>
      </c>
    </row>
    <row r="24" spans="1:6">
      <c r="A24" s="164" t="s">
        <v>1069</v>
      </c>
      <c r="B24" s="163" t="s">
        <v>1070</v>
      </c>
      <c r="C24" s="164" t="s">
        <v>1071</v>
      </c>
      <c r="D24" s="167" t="s">
        <v>1072</v>
      </c>
      <c r="E24" s="167" t="s">
        <v>1073</v>
      </c>
      <c r="F24" s="166" t="s">
        <v>1074</v>
      </c>
    </row>
    <row r="25" spans="1:6" ht="48" customHeight="1">
      <c r="A25" s="164" t="s">
        <v>1075</v>
      </c>
      <c r="B25" s="163" t="s">
        <v>1076</v>
      </c>
      <c r="C25" s="164" t="s">
        <v>1077</v>
      </c>
      <c r="D25" s="167">
        <v>8253542436</v>
      </c>
      <c r="E25" s="167">
        <v>7290573540</v>
      </c>
      <c r="F25" s="166">
        <v>3.50634924766422</v>
      </c>
    </row>
    <row r="26" spans="1:6" ht="45" customHeight="1">
      <c r="A26" s="164" t="s">
        <v>1078</v>
      </c>
      <c r="B26" s="163" t="s">
        <v>1079</v>
      </c>
      <c r="C26" s="164" t="s">
        <v>1080</v>
      </c>
      <c r="D26" s="167">
        <v>151980129</v>
      </c>
      <c r="E26" s="167">
        <v>213429560</v>
      </c>
      <c r="F26" s="166">
        <v>0.307806362523454</v>
      </c>
    </row>
    <row r="27" spans="1:6" ht="42" customHeight="1">
      <c r="A27" s="164" t="s">
        <v>1081</v>
      </c>
      <c r="B27" s="163" t="s">
        <v>1082</v>
      </c>
      <c r="C27" s="164" t="s">
        <v>1083</v>
      </c>
      <c r="D27" s="167">
        <v>50561237828</v>
      </c>
      <c r="E27" s="167">
        <v>101631251437</v>
      </c>
      <c r="F27" s="166">
        <v>1.01357385518049</v>
      </c>
    </row>
    <row r="28" spans="1:6" ht="48" customHeight="1">
      <c r="A28" s="164" t="s">
        <v>1084</v>
      </c>
      <c r="B28" s="163" t="s">
        <v>1085</v>
      </c>
      <c r="C28" s="164" t="s">
        <v>1086</v>
      </c>
      <c r="D28" s="167">
        <v>0</v>
      </c>
      <c r="E28" s="167">
        <v>0</v>
      </c>
      <c r="F28" s="166"/>
    </row>
    <row r="29" spans="1:6" ht="39" customHeight="1">
      <c r="A29" s="164" t="s">
        <v>1087</v>
      </c>
      <c r="B29" s="163" t="s">
        <v>1088</v>
      </c>
      <c r="C29" s="164" t="s">
        <v>1089</v>
      </c>
      <c r="D29" s="167">
        <v>0</v>
      </c>
      <c r="E29" s="167">
        <v>0</v>
      </c>
      <c r="F29" s="166"/>
    </row>
    <row r="30" spans="1:6" ht="39" customHeight="1">
      <c r="A30" s="164" t="s">
        <v>1090</v>
      </c>
      <c r="B30" s="163" t="s">
        <v>1091</v>
      </c>
      <c r="C30" s="164" t="s">
        <v>1092</v>
      </c>
      <c r="D30" s="167">
        <v>2536149865950</v>
      </c>
      <c r="E30" s="167">
        <v>2227235763000</v>
      </c>
      <c r="F30" s="166">
        <v>1.7901435578034499</v>
      </c>
    </row>
    <row r="31" spans="1:6">
      <c r="A31" s="164" t="s">
        <v>1093</v>
      </c>
      <c r="B31" s="163" t="s">
        <v>1094</v>
      </c>
      <c r="C31" s="164" t="s">
        <v>1095</v>
      </c>
      <c r="D31" s="167" t="s">
        <v>1096</v>
      </c>
      <c r="E31" s="167" t="s">
        <v>1097</v>
      </c>
      <c r="F31" s="166" t="s">
        <v>1098</v>
      </c>
    </row>
    <row r="32" spans="1:6" ht="39" customHeight="1">
      <c r="A32" s="164" t="s">
        <v>1099</v>
      </c>
      <c r="B32" s="163" t="s">
        <v>1100</v>
      </c>
      <c r="C32" s="164" t="s">
        <v>1101</v>
      </c>
      <c r="D32" s="167">
        <v>2535160693950</v>
      </c>
      <c r="E32" s="167">
        <v>2225501913000</v>
      </c>
      <c r="F32" s="166">
        <v>1.8344589435249199</v>
      </c>
    </row>
    <row r="33" spans="1:6" ht="39" customHeight="1">
      <c r="A33" s="164" t="s">
        <v>1102</v>
      </c>
      <c r="B33" s="163" t="s">
        <v>1103</v>
      </c>
      <c r="C33" s="164" t="s">
        <v>1104</v>
      </c>
      <c r="D33" s="167">
        <v>0</v>
      </c>
      <c r="E33" s="167">
        <v>0</v>
      </c>
      <c r="F33" s="166"/>
    </row>
    <row r="34" spans="1:6" ht="39" customHeight="1">
      <c r="A34" s="164" t="s">
        <v>1105</v>
      </c>
      <c r="B34" s="163" t="s">
        <v>1106</v>
      </c>
      <c r="C34" s="164" t="s">
        <v>1107</v>
      </c>
      <c r="D34" s="167">
        <v>0</v>
      </c>
      <c r="E34" s="167">
        <v>0</v>
      </c>
      <c r="F34" s="166">
        <v>0</v>
      </c>
    </row>
    <row r="35" spans="1:6" ht="39" customHeight="1">
      <c r="A35" s="164" t="s">
        <v>1108</v>
      </c>
      <c r="B35" s="163" t="s">
        <v>1109</v>
      </c>
      <c r="C35" s="164" t="s">
        <v>1110</v>
      </c>
      <c r="D35" s="167">
        <v>0</v>
      </c>
      <c r="E35" s="167">
        <v>0</v>
      </c>
      <c r="F35" s="166"/>
    </row>
    <row r="36" spans="1:6" ht="39" customHeight="1">
      <c r="A36" s="164" t="s">
        <v>1111</v>
      </c>
      <c r="B36" s="163" t="s">
        <v>1112</v>
      </c>
      <c r="C36" s="164" t="s">
        <v>1113</v>
      </c>
      <c r="D36" s="167">
        <v>0</v>
      </c>
      <c r="E36" s="167">
        <v>0</v>
      </c>
      <c r="F36" s="166"/>
    </row>
    <row r="37" spans="1:6" ht="39" customHeight="1">
      <c r="A37" s="164" t="s">
        <v>1114</v>
      </c>
      <c r="B37" s="163" t="s">
        <v>1115</v>
      </c>
      <c r="C37" s="164" t="s">
        <v>1116</v>
      </c>
      <c r="D37" s="167">
        <v>989172000</v>
      </c>
      <c r="E37" s="167">
        <v>1733850000</v>
      </c>
      <c r="F37" s="166"/>
    </row>
    <row r="38" spans="1:6" ht="39" customHeight="1">
      <c r="A38" s="164" t="s">
        <v>1117</v>
      </c>
      <c r="B38" s="163" t="s">
        <v>1118</v>
      </c>
      <c r="C38" s="164" t="s">
        <v>1119</v>
      </c>
      <c r="D38" s="167">
        <v>0</v>
      </c>
      <c r="E38" s="167">
        <v>0</v>
      </c>
      <c r="F38" s="166"/>
    </row>
    <row r="39" spans="1:6" ht="39" customHeight="1">
      <c r="A39" s="164" t="s">
        <v>1120</v>
      </c>
      <c r="B39" s="163" t="s">
        <v>1121</v>
      </c>
      <c r="C39" s="164" t="s">
        <v>1122</v>
      </c>
      <c r="D39" s="167">
        <v>0</v>
      </c>
      <c r="E39" s="167">
        <v>0</v>
      </c>
      <c r="F39" s="166"/>
    </row>
    <row r="40" spans="1:6" ht="39" customHeight="1">
      <c r="A40" s="164" t="s">
        <v>1123</v>
      </c>
      <c r="B40" s="163" t="s">
        <v>1124</v>
      </c>
      <c r="C40" s="164" t="s">
        <v>1125</v>
      </c>
      <c r="D40" s="167">
        <v>0</v>
      </c>
      <c r="E40" s="167">
        <v>0</v>
      </c>
      <c r="F40" s="166"/>
    </row>
    <row r="41" spans="1:6" ht="55.5" customHeight="1">
      <c r="A41" s="164" t="s">
        <v>1126</v>
      </c>
      <c r="B41" s="163" t="s">
        <v>1127</v>
      </c>
      <c r="C41" s="164" t="s">
        <v>1128</v>
      </c>
      <c r="D41" s="167">
        <v>0</v>
      </c>
      <c r="E41" s="167">
        <v>0</v>
      </c>
      <c r="F41" s="166"/>
    </row>
    <row r="42" spans="1:6">
      <c r="A42" s="164" t="s">
        <v>1129</v>
      </c>
      <c r="B42" s="163" t="s">
        <v>1130</v>
      </c>
      <c r="C42" s="164" t="s">
        <v>1131</v>
      </c>
      <c r="D42" s="167" t="s">
        <v>1132</v>
      </c>
      <c r="E42" s="167" t="s">
        <v>1133</v>
      </c>
      <c r="F42" s="166" t="s">
        <v>1134</v>
      </c>
    </row>
    <row r="43" spans="1:6" ht="39" customHeight="1">
      <c r="A43" s="164" t="s">
        <v>1135</v>
      </c>
      <c r="B43" s="163" t="s">
        <v>1136</v>
      </c>
      <c r="C43" s="164" t="s">
        <v>1137</v>
      </c>
      <c r="D43" s="167">
        <v>5195706000</v>
      </c>
      <c r="E43" s="167">
        <v>2140160000</v>
      </c>
      <c r="F43" s="166">
        <v>1.25759265941188</v>
      </c>
    </row>
    <row r="44" spans="1:6">
      <c r="A44" s="164" t="s">
        <v>1138</v>
      </c>
      <c r="B44" s="163" t="s">
        <v>1139</v>
      </c>
      <c r="C44" s="164" t="s">
        <v>1140</v>
      </c>
      <c r="D44" s="167" t="s">
        <v>1141</v>
      </c>
      <c r="E44" s="167" t="s">
        <v>1142</v>
      </c>
      <c r="F44" s="166" t="s">
        <v>1143</v>
      </c>
    </row>
    <row r="45" spans="1:6" ht="39" customHeight="1">
      <c r="A45" s="164" t="s">
        <v>1144</v>
      </c>
      <c r="B45" s="163" t="s">
        <v>1145</v>
      </c>
      <c r="C45" s="164" t="s">
        <v>1146</v>
      </c>
      <c r="D45" s="167">
        <v>5195706000</v>
      </c>
      <c r="E45" s="167">
        <v>2140160000</v>
      </c>
      <c r="F45" s="166">
        <v>1.72687678854533</v>
      </c>
    </row>
    <row r="46" spans="1:6" ht="39" customHeight="1">
      <c r="A46" s="164" t="s">
        <v>1147</v>
      </c>
      <c r="B46" s="163" t="s">
        <v>1148</v>
      </c>
      <c r="C46" s="164" t="s">
        <v>1149</v>
      </c>
      <c r="D46" s="167">
        <v>0</v>
      </c>
      <c r="E46" s="167">
        <v>0</v>
      </c>
      <c r="F46" s="166">
        <v>0</v>
      </c>
    </row>
    <row r="47" spans="1:6" ht="39" customHeight="1">
      <c r="A47" s="164" t="s">
        <v>1150</v>
      </c>
      <c r="B47" s="163" t="s">
        <v>1151</v>
      </c>
      <c r="C47" s="164" t="s">
        <v>1152</v>
      </c>
      <c r="D47" s="167">
        <v>0</v>
      </c>
      <c r="E47" s="167">
        <v>0</v>
      </c>
      <c r="F47" s="166"/>
    </row>
    <row r="48" spans="1:6">
      <c r="A48" s="164" t="s">
        <v>1153</v>
      </c>
      <c r="B48" s="163" t="s">
        <v>1154</v>
      </c>
      <c r="C48" s="164" t="s">
        <v>1155</v>
      </c>
      <c r="D48" s="167" t="s">
        <v>1156</v>
      </c>
      <c r="E48" s="167" t="s">
        <v>1157</v>
      </c>
      <c r="F48" s="166" t="s">
        <v>1158</v>
      </c>
    </row>
    <row r="49" spans="1:6" ht="39" customHeight="1">
      <c r="A49" s="164" t="s">
        <v>1159</v>
      </c>
      <c r="B49" s="163" t="s">
        <v>1160</v>
      </c>
      <c r="C49" s="164" t="s">
        <v>1161</v>
      </c>
      <c r="D49" s="167">
        <v>0</v>
      </c>
      <c r="E49" s="167">
        <v>0</v>
      </c>
      <c r="F49" s="166"/>
    </row>
    <row r="50" spans="1:6" ht="39" customHeight="1">
      <c r="A50" s="164" t="s">
        <v>1162</v>
      </c>
      <c r="B50" s="163" t="s">
        <v>1163</v>
      </c>
      <c r="C50" s="164" t="s">
        <v>1164</v>
      </c>
      <c r="D50" s="167">
        <v>0</v>
      </c>
      <c r="E50" s="167">
        <v>0</v>
      </c>
      <c r="F50" s="166"/>
    </row>
    <row r="51" spans="1:6" ht="39" customHeight="1">
      <c r="A51" s="164" t="s">
        <v>1165</v>
      </c>
      <c r="B51" s="163" t="s">
        <v>1166</v>
      </c>
      <c r="C51" s="164" t="s">
        <v>1167</v>
      </c>
      <c r="D51" s="167">
        <v>0</v>
      </c>
      <c r="E51" s="167">
        <v>0</v>
      </c>
      <c r="F51" s="166"/>
    </row>
    <row r="52" spans="1:6" ht="39" customHeight="1">
      <c r="A52" s="164" t="s">
        <v>1168</v>
      </c>
      <c r="B52" s="163" t="s">
        <v>1169</v>
      </c>
      <c r="C52" s="164" t="s">
        <v>1170</v>
      </c>
      <c r="D52" s="167">
        <v>0</v>
      </c>
      <c r="E52" s="167">
        <v>0</v>
      </c>
      <c r="F52" s="166"/>
    </row>
    <row r="53" spans="1:6">
      <c r="A53" s="164" t="s">
        <v>1171</v>
      </c>
      <c r="B53" s="163" t="s">
        <v>1172</v>
      </c>
      <c r="C53" s="164" t="s">
        <v>1173</v>
      </c>
      <c r="D53" s="167" t="s">
        <v>1174</v>
      </c>
      <c r="E53" s="167" t="s">
        <v>1175</v>
      </c>
      <c r="F53" s="166" t="s">
        <v>1176</v>
      </c>
    </row>
    <row r="54" spans="1:6" ht="39" customHeight="1">
      <c r="A54" s="164" t="s">
        <v>1177</v>
      </c>
      <c r="B54" s="163" t="s">
        <v>1178</v>
      </c>
      <c r="C54" s="164" t="s">
        <v>1179</v>
      </c>
      <c r="D54" s="167">
        <v>48528246100</v>
      </c>
      <c r="E54" s="167">
        <v>72490906000</v>
      </c>
      <c r="F54" s="166">
        <v>1.4294363220328099</v>
      </c>
    </row>
    <row r="55" spans="1:6">
      <c r="A55" s="164" t="s">
        <v>1180</v>
      </c>
      <c r="B55" s="163" t="s">
        <v>1181</v>
      </c>
      <c r="C55" s="164" t="s">
        <v>1182</v>
      </c>
      <c r="D55" s="167" t="s">
        <v>1183</v>
      </c>
      <c r="E55" s="167" t="s">
        <v>1184</v>
      </c>
      <c r="F55" s="166" t="s">
        <v>1185</v>
      </c>
    </row>
    <row r="56" spans="1:6" ht="39" customHeight="1">
      <c r="A56" s="164" t="s">
        <v>1186</v>
      </c>
      <c r="B56" s="163" t="s">
        <v>1187</v>
      </c>
      <c r="C56" s="164" t="s">
        <v>1188</v>
      </c>
      <c r="D56" s="167">
        <v>-866400000</v>
      </c>
      <c r="E56" s="167">
        <v>-866400000</v>
      </c>
      <c r="F56" s="166">
        <v>1</v>
      </c>
    </row>
    <row r="57" spans="1:6">
      <c r="A57" s="164" t="s">
        <v>1189</v>
      </c>
      <c r="B57" s="163" t="s">
        <v>1190</v>
      </c>
      <c r="C57" s="164" t="s">
        <v>1191</v>
      </c>
      <c r="D57" s="167" t="s">
        <v>1192</v>
      </c>
      <c r="E57" s="167" t="s">
        <v>1193</v>
      </c>
      <c r="F57" s="166" t="s">
        <v>1194</v>
      </c>
    </row>
    <row r="58" spans="1:6" ht="39" customHeight="1">
      <c r="A58" s="164" t="s">
        <v>1195</v>
      </c>
      <c r="B58" s="163" t="s">
        <v>1196</v>
      </c>
      <c r="C58" s="164" t="s">
        <v>1197</v>
      </c>
      <c r="D58" s="167">
        <v>0</v>
      </c>
      <c r="E58" s="167">
        <v>0</v>
      </c>
      <c r="F58" s="166"/>
    </row>
    <row r="59" spans="1:6" ht="39" customHeight="1">
      <c r="A59" s="164" t="s">
        <v>1198</v>
      </c>
      <c r="B59" s="163" t="s">
        <v>1199</v>
      </c>
      <c r="C59" s="164" t="s">
        <v>1200</v>
      </c>
      <c r="D59" s="167">
        <v>-866400000</v>
      </c>
      <c r="E59" s="167">
        <v>-866400000</v>
      </c>
      <c r="F59" s="166">
        <v>1</v>
      </c>
    </row>
    <row r="60" spans="1:6" ht="39" customHeight="1">
      <c r="A60" s="164" t="s">
        <v>1201</v>
      </c>
      <c r="B60" s="163" t="s">
        <v>1202</v>
      </c>
      <c r="C60" s="164" t="s">
        <v>1203</v>
      </c>
      <c r="D60" s="167">
        <v>0</v>
      </c>
      <c r="E60" s="167">
        <v>0</v>
      </c>
      <c r="F60" s="166"/>
    </row>
    <row r="61" spans="1:6" ht="39" customHeight="1">
      <c r="A61" s="164" t="s">
        <v>1204</v>
      </c>
      <c r="B61" s="163" t="s">
        <v>1205</v>
      </c>
      <c r="C61" s="164" t="s">
        <v>1206</v>
      </c>
      <c r="D61" s="167">
        <v>36454571</v>
      </c>
      <c r="E61" s="167">
        <v>48341920</v>
      </c>
      <c r="F61" s="166">
        <v>3.0762901942444199</v>
      </c>
    </row>
    <row r="62" spans="1:6">
      <c r="A62" s="164" t="s">
        <v>1207</v>
      </c>
      <c r="B62" s="163" t="s">
        <v>1208</v>
      </c>
      <c r="C62" s="164" t="s">
        <v>1209</v>
      </c>
      <c r="D62" s="167" t="s">
        <v>1210</v>
      </c>
      <c r="E62" s="167" t="s">
        <v>1211</v>
      </c>
      <c r="F62" s="166" t="s">
        <v>1212</v>
      </c>
    </row>
    <row r="63" spans="1:6" ht="39" customHeight="1">
      <c r="A63" s="169" t="s">
        <v>1213</v>
      </c>
      <c r="B63" s="168" t="s">
        <v>1214</v>
      </c>
      <c r="C63" s="169" t="s">
        <v>1215</v>
      </c>
      <c r="D63" s="171">
        <v>2648010633014</v>
      </c>
      <c r="E63" s="171">
        <v>2410184025457</v>
      </c>
      <c r="F63" s="170">
        <v>1.7575045613292599</v>
      </c>
    </row>
    <row r="64" spans="1:6" ht="39" customHeight="1">
      <c r="A64" s="169" t="s">
        <v>1216</v>
      </c>
      <c r="B64" s="168" t="s">
        <v>1217</v>
      </c>
      <c r="C64" s="169" t="s">
        <v>1218</v>
      </c>
      <c r="D64" s="171"/>
      <c r="E64" s="171"/>
      <c r="F64" s="170"/>
    </row>
    <row r="65" spans="1:6" ht="39" customHeight="1">
      <c r="A65" s="164" t="s">
        <v>1219</v>
      </c>
      <c r="B65" s="163" t="s">
        <v>1220</v>
      </c>
      <c r="C65" s="164" t="s">
        <v>1221</v>
      </c>
      <c r="D65" s="167">
        <v>0</v>
      </c>
      <c r="E65" s="167">
        <v>0</v>
      </c>
      <c r="F65" s="166"/>
    </row>
    <row r="66" spans="1:6">
      <c r="A66" s="164" t="s">
        <v>1222</v>
      </c>
      <c r="B66" s="163" t="s">
        <v>1223</v>
      </c>
      <c r="C66" s="164" t="s">
        <v>1224</v>
      </c>
      <c r="D66" s="167" t="s">
        <v>1225</v>
      </c>
      <c r="E66" s="167" t="s">
        <v>1226</v>
      </c>
      <c r="F66" s="166" t="s">
        <v>1227</v>
      </c>
    </row>
    <row r="67" spans="1:6" ht="39" customHeight="1">
      <c r="A67" s="164" t="s">
        <v>1228</v>
      </c>
      <c r="B67" s="163" t="s">
        <v>1229</v>
      </c>
      <c r="C67" s="164" t="s">
        <v>1230</v>
      </c>
      <c r="D67" s="167">
        <v>47045700000</v>
      </c>
      <c r="E67" s="167">
        <v>79980355000</v>
      </c>
      <c r="F67" s="166">
        <v>1.3902112206062001</v>
      </c>
    </row>
    <row r="68" spans="1:6">
      <c r="A68" s="164" t="s">
        <v>1231</v>
      </c>
      <c r="B68" s="163" t="s">
        <v>1232</v>
      </c>
      <c r="C68" s="164" t="s">
        <v>1233</v>
      </c>
      <c r="D68" s="167" t="s">
        <v>1234</v>
      </c>
      <c r="E68" s="167" t="s">
        <v>1235</v>
      </c>
      <c r="F68" s="166" t="s">
        <v>1236</v>
      </c>
    </row>
    <row r="69" spans="1:6" ht="39" customHeight="1">
      <c r="A69" s="164" t="s">
        <v>1237</v>
      </c>
      <c r="B69" s="163" t="s">
        <v>1238</v>
      </c>
      <c r="C69" s="164" t="s">
        <v>1239</v>
      </c>
      <c r="D69" s="167">
        <v>81140010559</v>
      </c>
      <c r="E69" s="167">
        <v>35762610926</v>
      </c>
      <c r="F69" s="166">
        <v>11.377168587008301</v>
      </c>
    </row>
    <row r="70" spans="1:6">
      <c r="A70" s="164" t="s">
        <v>1240</v>
      </c>
      <c r="B70" s="163" t="s">
        <v>1241</v>
      </c>
      <c r="C70" s="164" t="s">
        <v>1242</v>
      </c>
      <c r="D70" s="167" t="s">
        <v>1243</v>
      </c>
      <c r="E70" s="167" t="s">
        <v>1244</v>
      </c>
      <c r="F70" s="166" t="s">
        <v>1245</v>
      </c>
    </row>
    <row r="71" spans="1:6" ht="39" customHeight="1">
      <c r="A71" s="164" t="s">
        <v>1246</v>
      </c>
      <c r="B71" s="163" t="s">
        <v>1247</v>
      </c>
      <c r="C71" s="164" t="s">
        <v>1248</v>
      </c>
      <c r="D71" s="167">
        <v>75946595660</v>
      </c>
      <c r="E71" s="167">
        <v>30761408130</v>
      </c>
      <c r="F71" s="166">
        <v>20.0800286854336</v>
      </c>
    </row>
    <row r="72" spans="1:6" ht="39" customHeight="1">
      <c r="A72" s="164" t="s">
        <v>1249</v>
      </c>
      <c r="B72" s="163" t="s">
        <v>1250</v>
      </c>
      <c r="C72" s="164" t="s">
        <v>1251</v>
      </c>
      <c r="D72" s="167">
        <v>8253542436</v>
      </c>
      <c r="E72" s="167">
        <v>7290573540</v>
      </c>
      <c r="F72" s="166">
        <v>3.50634924766422</v>
      </c>
    </row>
    <row r="73" spans="1:6" ht="48" customHeight="1">
      <c r="A73" s="164" t="s">
        <v>1252</v>
      </c>
      <c r="B73" s="163" t="s">
        <v>1253</v>
      </c>
      <c r="C73" s="164" t="s">
        <v>1254</v>
      </c>
      <c r="D73" s="167">
        <v>0</v>
      </c>
      <c r="E73" s="167">
        <v>0</v>
      </c>
      <c r="F73" s="166"/>
    </row>
    <row r="74" spans="1:6" ht="39" customHeight="1">
      <c r="A74" s="164" t="s">
        <v>1255</v>
      </c>
      <c r="B74" s="163" t="s">
        <v>1256</v>
      </c>
      <c r="C74" s="164" t="s">
        <v>1257</v>
      </c>
      <c r="D74" s="167">
        <v>0</v>
      </c>
      <c r="E74" s="167">
        <v>0</v>
      </c>
      <c r="F74" s="166"/>
    </row>
    <row r="75" spans="1:6" ht="39" customHeight="1">
      <c r="A75" s="164" t="s">
        <v>1258</v>
      </c>
      <c r="B75" s="163" t="s">
        <v>1259</v>
      </c>
      <c r="C75" s="164" t="s">
        <v>1260</v>
      </c>
      <c r="D75" s="167">
        <v>67693053224</v>
      </c>
      <c r="E75" s="167">
        <v>23470834590</v>
      </c>
      <c r="F75" s="166">
        <v>47.393786831429402</v>
      </c>
    </row>
    <row r="76" spans="1:6" ht="39" customHeight="1">
      <c r="A76" s="164" t="s">
        <v>1261</v>
      </c>
      <c r="B76" s="163" t="s">
        <v>1262</v>
      </c>
      <c r="C76" s="164" t="s">
        <v>1263</v>
      </c>
      <c r="D76" s="167">
        <v>125701915</v>
      </c>
      <c r="E76" s="167">
        <v>180331857</v>
      </c>
      <c r="F76" s="166">
        <v>4.51028715523874</v>
      </c>
    </row>
    <row r="77" spans="1:6" ht="61" customHeight="1">
      <c r="A77" s="164" t="s">
        <v>1264</v>
      </c>
      <c r="B77" s="163" t="s">
        <v>1265</v>
      </c>
      <c r="C77" s="164" t="s">
        <v>1266</v>
      </c>
      <c r="D77" s="167">
        <v>325061456</v>
      </c>
      <c r="E77" s="167">
        <v>222329283</v>
      </c>
      <c r="F77" s="166">
        <v>1.36198527004403</v>
      </c>
    </row>
    <row r="78" spans="1:6" ht="39" customHeight="1">
      <c r="A78" s="164" t="s">
        <v>1267</v>
      </c>
      <c r="B78" s="163" t="s">
        <v>1268</v>
      </c>
      <c r="C78" s="164" t="s">
        <v>1269</v>
      </c>
      <c r="D78" s="167">
        <v>39925000</v>
      </c>
      <c r="E78" s="167">
        <v>39925000</v>
      </c>
      <c r="F78" s="166">
        <v>1</v>
      </c>
    </row>
    <row r="79" spans="1:6" ht="39" customHeight="1">
      <c r="A79" s="164" t="s">
        <v>1270</v>
      </c>
      <c r="B79" s="163" t="s">
        <v>1271</v>
      </c>
      <c r="C79" s="164" t="s">
        <v>1272</v>
      </c>
      <c r="D79" s="167">
        <v>19248634</v>
      </c>
      <c r="E79" s="167">
        <v>18265027</v>
      </c>
      <c r="F79" s="166">
        <v>0.91767914916476701</v>
      </c>
    </row>
    <row r="80" spans="1:6" ht="39" customHeight="1">
      <c r="A80" s="164" t="s">
        <v>1273</v>
      </c>
      <c r="B80" s="163" t="s">
        <v>1274</v>
      </c>
      <c r="C80" s="164" t="s">
        <v>1275</v>
      </c>
      <c r="D80" s="167">
        <v>3926981906</v>
      </c>
      <c r="E80" s="167">
        <v>3718204013</v>
      </c>
      <c r="F80" s="166">
        <v>1.6086917419668501</v>
      </c>
    </row>
    <row r="81" spans="1:6" ht="39" customHeight="1">
      <c r="A81" s="164" t="s">
        <v>1276</v>
      </c>
      <c r="B81" s="163" t="s">
        <v>1277</v>
      </c>
      <c r="C81" s="164" t="s">
        <v>1278</v>
      </c>
      <c r="D81" s="167">
        <v>55380513</v>
      </c>
      <c r="E81" s="167">
        <v>52436209</v>
      </c>
      <c r="F81" s="166">
        <v>1.6086916006132701</v>
      </c>
    </row>
    <row r="82" spans="1:6" ht="39" customHeight="1">
      <c r="A82" s="164" t="s">
        <v>1279</v>
      </c>
      <c r="B82" s="163" t="s">
        <v>1280</v>
      </c>
      <c r="C82" s="164" t="s">
        <v>1281</v>
      </c>
      <c r="D82" s="167">
        <v>88608823</v>
      </c>
      <c r="E82" s="167">
        <v>83897937</v>
      </c>
      <c r="F82" s="166">
        <v>1.6086918041065601</v>
      </c>
    </row>
    <row r="83" spans="1:6" ht="39" customHeight="1">
      <c r="A83" s="164" t="s">
        <v>1282</v>
      </c>
      <c r="B83" s="163" t="s">
        <v>1283</v>
      </c>
      <c r="C83" s="164" t="s">
        <v>1284</v>
      </c>
      <c r="D83" s="167">
        <v>151294122</v>
      </c>
      <c r="E83" s="167">
        <v>246460016</v>
      </c>
      <c r="F83" s="166">
        <v>1.1929795856624901</v>
      </c>
    </row>
    <row r="84" spans="1:6" ht="39" customHeight="1">
      <c r="A84" s="164" t="s">
        <v>1285</v>
      </c>
      <c r="B84" s="163" t="s">
        <v>1286</v>
      </c>
      <c r="C84" s="164" t="s">
        <v>1287</v>
      </c>
      <c r="D84" s="167">
        <v>151294122</v>
      </c>
      <c r="E84" s="167">
        <v>246460016</v>
      </c>
      <c r="F84" s="166">
        <v>1.1929795856624901</v>
      </c>
    </row>
    <row r="85" spans="1:6" ht="46" customHeight="1">
      <c r="A85" s="164" t="s">
        <v>1288</v>
      </c>
      <c r="B85" s="163" t="s">
        <v>1289</v>
      </c>
      <c r="C85" s="164" t="s">
        <v>1290</v>
      </c>
      <c r="D85" s="167">
        <v>0</v>
      </c>
      <c r="E85" s="167">
        <v>0</v>
      </c>
      <c r="F85" s="166"/>
    </row>
    <row r="86" spans="1:6" ht="39" customHeight="1">
      <c r="A86" s="164" t="s">
        <v>1291</v>
      </c>
      <c r="B86" s="163" t="s">
        <v>1292</v>
      </c>
      <c r="C86" s="164" t="s">
        <v>1293</v>
      </c>
      <c r="D86" s="167">
        <v>157453475</v>
      </c>
      <c r="E86" s="167">
        <v>166770852</v>
      </c>
      <c r="F86" s="166">
        <v>1.7656900300598</v>
      </c>
    </row>
    <row r="87" spans="1:6" ht="39" customHeight="1">
      <c r="A87" s="164" t="s">
        <v>1294</v>
      </c>
      <c r="B87" s="163" t="s">
        <v>1295</v>
      </c>
      <c r="C87" s="164" t="s">
        <v>1296</v>
      </c>
      <c r="D87" s="167">
        <v>80553475</v>
      </c>
      <c r="E87" s="167">
        <v>76270852</v>
      </c>
      <c r="F87" s="166">
        <v>1.6086916928088599</v>
      </c>
    </row>
    <row r="88" spans="1:6" ht="39" customHeight="1">
      <c r="A88" s="164" t="s">
        <v>1297</v>
      </c>
      <c r="B88" s="163" t="s">
        <v>1298</v>
      </c>
      <c r="C88" s="164" t="s">
        <v>1299</v>
      </c>
      <c r="D88" s="167">
        <v>65900000</v>
      </c>
      <c r="E88" s="167">
        <v>79500000</v>
      </c>
      <c r="F88" s="166">
        <v>2.34519572953737</v>
      </c>
    </row>
    <row r="89" spans="1:6" ht="60" customHeight="1">
      <c r="A89" s="164" t="s">
        <v>1300</v>
      </c>
      <c r="B89" s="163" t="s">
        <v>1301</v>
      </c>
      <c r="C89" s="164" t="s">
        <v>1302</v>
      </c>
      <c r="D89" s="167">
        <v>11000000</v>
      </c>
      <c r="E89" s="167">
        <v>11000000</v>
      </c>
      <c r="F89" s="166">
        <v>1</v>
      </c>
    </row>
    <row r="90" spans="1:6" ht="39" customHeight="1">
      <c r="A90" s="164" t="s">
        <v>1303</v>
      </c>
      <c r="B90" s="163" t="s">
        <v>1304</v>
      </c>
      <c r="C90" s="164" t="s">
        <v>1305</v>
      </c>
      <c r="D90" s="167">
        <v>51880000</v>
      </c>
      <c r="E90" s="167">
        <v>35380000</v>
      </c>
      <c r="F90" s="166">
        <v>1.04582512175154</v>
      </c>
    </row>
    <row r="91" spans="1:6" ht="39" customHeight="1">
      <c r="A91" s="164" t="s">
        <v>1306</v>
      </c>
      <c r="B91" s="163" t="s">
        <v>1307</v>
      </c>
      <c r="C91" s="164" t="s">
        <v>1308</v>
      </c>
      <c r="D91" s="167">
        <v>25381335</v>
      </c>
      <c r="E91" s="167">
        <v>18982679</v>
      </c>
      <c r="F91" s="166"/>
    </row>
    <row r="92" spans="1:6" ht="39" customHeight="1">
      <c r="A92" s="164" t="s">
        <v>1309</v>
      </c>
      <c r="B92" s="163" t="s">
        <v>1310</v>
      </c>
      <c r="C92" s="164" t="s">
        <v>1311</v>
      </c>
      <c r="D92" s="167">
        <v>0</v>
      </c>
      <c r="E92" s="167">
        <v>0</v>
      </c>
      <c r="F92" s="166"/>
    </row>
    <row r="93" spans="1:6" ht="39" customHeight="1">
      <c r="A93" s="164" t="s">
        <v>1312</v>
      </c>
      <c r="B93" s="163" t="s">
        <v>1313</v>
      </c>
      <c r="C93" s="164" t="s">
        <v>1314</v>
      </c>
      <c r="D93" s="167">
        <v>13200000</v>
      </c>
      <c r="E93" s="167">
        <v>13200000</v>
      </c>
      <c r="F93" s="166">
        <v>1</v>
      </c>
    </row>
    <row r="94" spans="1:6" ht="48" customHeight="1">
      <c r="A94" s="164" t="s">
        <v>1315</v>
      </c>
      <c r="B94" s="163" t="s">
        <v>1316</v>
      </c>
      <c r="C94" s="164" t="s">
        <v>1317</v>
      </c>
      <c r="D94" s="167">
        <v>0</v>
      </c>
      <c r="E94" s="167">
        <v>0</v>
      </c>
      <c r="F94" s="166"/>
    </row>
    <row r="95" spans="1:6" ht="39" customHeight="1">
      <c r="A95" s="164" t="s">
        <v>1318</v>
      </c>
      <c r="B95" s="163" t="s">
        <v>1319</v>
      </c>
      <c r="C95" s="164" t="s">
        <v>1320</v>
      </c>
      <c r="D95" s="167">
        <v>0</v>
      </c>
      <c r="E95" s="167">
        <v>0</v>
      </c>
      <c r="F95" s="166"/>
    </row>
    <row r="96" spans="1:6" ht="39" customHeight="1">
      <c r="A96" s="164" t="s">
        <v>1321</v>
      </c>
      <c r="B96" s="163" t="s">
        <v>1322</v>
      </c>
      <c r="C96" s="164" t="s">
        <v>1323</v>
      </c>
      <c r="D96" s="167">
        <v>213297720</v>
      </c>
      <c r="E96" s="167">
        <v>205019923</v>
      </c>
      <c r="F96" s="166">
        <v>1.00241519790475</v>
      </c>
    </row>
    <row r="97" spans="1:6" ht="39" customHeight="1">
      <c r="A97" s="164" t="s">
        <v>1324</v>
      </c>
      <c r="B97" s="163" t="s">
        <v>1325</v>
      </c>
      <c r="C97" s="164" t="s">
        <v>1326</v>
      </c>
      <c r="D97" s="167">
        <v>23500000</v>
      </c>
      <c r="E97" s="167">
        <v>15836957</v>
      </c>
      <c r="F97" s="166">
        <v>1</v>
      </c>
    </row>
    <row r="98" spans="1:6" ht="48" customHeight="1">
      <c r="A98" s="164" t="s">
        <v>1327</v>
      </c>
      <c r="B98" s="163" t="s">
        <v>1328</v>
      </c>
      <c r="C98" s="164" t="s">
        <v>1329</v>
      </c>
      <c r="D98" s="167">
        <v>0</v>
      </c>
      <c r="E98" s="167">
        <v>0</v>
      </c>
      <c r="F98" s="166"/>
    </row>
    <row r="99" spans="1:6" ht="45" customHeight="1">
      <c r="A99" s="164" t="s">
        <v>1330</v>
      </c>
      <c r="B99" s="163" t="s">
        <v>1331</v>
      </c>
      <c r="C99" s="164" t="s">
        <v>1332</v>
      </c>
      <c r="D99" s="167">
        <v>5614754</v>
      </c>
      <c r="E99" s="167">
        <v>5000000</v>
      </c>
      <c r="F99" s="166">
        <v>1.0009207448174899</v>
      </c>
    </row>
    <row r="100" spans="1:6" ht="39" customHeight="1">
      <c r="A100" s="164" t="s">
        <v>1333</v>
      </c>
      <c r="B100" s="163" t="s">
        <v>1334</v>
      </c>
      <c r="C100" s="164" t="s">
        <v>1335</v>
      </c>
      <c r="D100" s="167">
        <v>184182966</v>
      </c>
      <c r="E100" s="167">
        <v>184182966</v>
      </c>
      <c r="F100" s="166">
        <v>1.0027698498519799</v>
      </c>
    </row>
    <row r="101" spans="1:6" ht="39" customHeight="1">
      <c r="A101" s="164" t="s">
        <v>1336</v>
      </c>
      <c r="B101" s="163" t="s">
        <v>1337</v>
      </c>
      <c r="C101" s="164" t="s">
        <v>1338</v>
      </c>
      <c r="D101" s="167">
        <v>0</v>
      </c>
      <c r="E101" s="167">
        <v>0</v>
      </c>
      <c r="F101" s="166"/>
    </row>
    <row r="102" spans="1:6" ht="39" customHeight="1">
      <c r="A102" s="164" t="s">
        <v>1339</v>
      </c>
      <c r="B102" s="163" t="s">
        <v>1340</v>
      </c>
      <c r="C102" s="164" t="s">
        <v>1341</v>
      </c>
      <c r="D102" s="167">
        <v>0</v>
      </c>
      <c r="E102" s="167">
        <v>0</v>
      </c>
      <c r="F102" s="166"/>
    </row>
    <row r="103" spans="1:6" ht="39" customHeight="1">
      <c r="A103" s="164" t="s">
        <v>1342</v>
      </c>
      <c r="B103" s="163" t="s">
        <v>1343</v>
      </c>
      <c r="C103" s="164" t="s">
        <v>1344</v>
      </c>
      <c r="D103" s="167">
        <v>0</v>
      </c>
      <c r="E103" s="167">
        <v>0</v>
      </c>
      <c r="F103" s="166"/>
    </row>
    <row r="104" spans="1:6" ht="39" customHeight="1">
      <c r="A104" s="164" t="s">
        <v>1345</v>
      </c>
      <c r="B104" s="163" t="s">
        <v>1346</v>
      </c>
      <c r="C104" s="164" t="s">
        <v>1347</v>
      </c>
      <c r="D104" s="167">
        <v>0</v>
      </c>
      <c r="E104" s="167">
        <v>0</v>
      </c>
      <c r="F104" s="166"/>
    </row>
    <row r="105" spans="1:6" ht="39" customHeight="1">
      <c r="A105" s="169" t="s">
        <v>1348</v>
      </c>
      <c r="B105" s="168" t="s">
        <v>1349</v>
      </c>
      <c r="C105" s="169" t="s">
        <v>1350</v>
      </c>
      <c r="D105" s="171">
        <v>128185710559</v>
      </c>
      <c r="E105" s="171">
        <v>115742965926</v>
      </c>
      <c r="F105" s="170">
        <v>3.1285781827664199</v>
      </c>
    </row>
    <row r="106" spans="1:6" ht="39" customHeight="1">
      <c r="A106" s="164" t="s">
        <v>1351</v>
      </c>
      <c r="B106" s="163" t="s">
        <v>1352</v>
      </c>
      <c r="C106" s="164" t="s">
        <v>1353</v>
      </c>
      <c r="D106" s="167">
        <v>2519824922455</v>
      </c>
      <c r="E106" s="167">
        <v>2294441059531</v>
      </c>
      <c r="F106" s="166">
        <v>1.7191776546950299</v>
      </c>
    </row>
    <row r="107" spans="1:6" ht="39" customHeight="1">
      <c r="A107" s="164" t="s">
        <v>1354</v>
      </c>
      <c r="B107" s="163" t="s">
        <v>1355</v>
      </c>
      <c r="C107" s="164" t="s">
        <v>1356</v>
      </c>
      <c r="D107" s="172">
        <v>31085000.050000001</v>
      </c>
      <c r="E107" s="172">
        <v>28462456.449999999</v>
      </c>
      <c r="F107" s="166">
        <v>1.3788375136047899</v>
      </c>
    </row>
    <row r="108" spans="1:6" ht="39" customHeight="1">
      <c r="A108" s="164" t="s">
        <v>1357</v>
      </c>
      <c r="B108" s="163" t="s">
        <v>1358</v>
      </c>
      <c r="C108" s="164" t="s">
        <v>1359</v>
      </c>
      <c r="D108" s="172">
        <v>81062.399999999994</v>
      </c>
      <c r="E108" s="172">
        <v>80612.89</v>
      </c>
      <c r="F108" s="166">
        <v>1.2468312950003799</v>
      </c>
    </row>
    <row r="109" spans="1:6" s="5" customFormat="1" ht="16.899999999999999" customHeight="1"/>
    <row r="110" spans="1:6" s="5" customFormat="1" ht="16.899999999999999" customHeight="1">
      <c r="A110" s="18" t="s">
        <v>10</v>
      </c>
      <c r="B110" s="6"/>
      <c r="C110" s="6"/>
      <c r="E110" s="18" t="s">
        <v>11</v>
      </c>
      <c r="F110" s="6"/>
    </row>
    <row r="111" spans="1:6" s="9" customFormat="1" ht="16.899999999999999" customHeight="1">
      <c r="A111" s="19" t="s">
        <v>12</v>
      </c>
      <c r="B111" s="10"/>
      <c r="C111" s="10"/>
      <c r="E111" s="19" t="s">
        <v>13</v>
      </c>
      <c r="F111" s="10"/>
    </row>
    <row r="112" spans="1:6" s="5" customFormat="1" ht="16.899999999999999" customHeight="1">
      <c r="A112" s="6"/>
      <c r="B112" s="6"/>
      <c r="C112" s="6"/>
      <c r="D112" s="6"/>
      <c r="E112" s="6"/>
      <c r="F112" s="6"/>
    </row>
    <row r="113" spans="1:6" s="5" customFormat="1" ht="16.899999999999999" customHeight="1">
      <c r="A113" s="6"/>
      <c r="B113" s="6"/>
      <c r="C113" s="6"/>
      <c r="D113" s="6"/>
      <c r="E113" s="6"/>
      <c r="F113" s="6"/>
    </row>
    <row r="114" spans="1:6" s="5" customFormat="1" ht="16.899999999999999" customHeight="1">
      <c r="A114" s="6"/>
      <c r="B114" s="6"/>
      <c r="C114" s="6"/>
      <c r="D114" s="6"/>
      <c r="E114" s="6"/>
      <c r="F114" s="6"/>
    </row>
    <row r="115" spans="1:6" s="5" customFormat="1" ht="16.899999999999999" customHeight="1">
      <c r="A115" s="6"/>
      <c r="B115" s="6"/>
      <c r="C115" s="6"/>
      <c r="D115" s="6"/>
      <c r="E115" s="6"/>
      <c r="F115" s="6"/>
    </row>
    <row r="116" spans="1:6" s="5" customFormat="1" ht="16.899999999999999" customHeight="1">
      <c r="A116" s="6"/>
      <c r="B116" s="6"/>
      <c r="C116" s="6"/>
      <c r="D116" s="6"/>
      <c r="E116" s="6"/>
      <c r="F116" s="6"/>
    </row>
    <row r="117" spans="1:6" s="5" customFormat="1" ht="16.899999999999999" customHeight="1">
      <c r="A117" s="6"/>
      <c r="B117" s="6"/>
      <c r="C117" s="6"/>
      <c r="D117" s="6"/>
      <c r="E117" s="6"/>
      <c r="F117" s="6"/>
    </row>
    <row r="118" spans="1:6" s="5" customFormat="1" ht="16.899999999999999" customHeight="1">
      <c r="A118" s="70"/>
      <c r="B118" s="70"/>
      <c r="C118" s="6"/>
      <c r="D118" s="8"/>
      <c r="E118" s="70"/>
      <c r="F118" s="70"/>
    </row>
    <row r="119" spans="1:6" s="5" customFormat="1" ht="16.899999999999999" customHeight="1">
      <c r="A119" s="17" t="s">
        <v>14</v>
      </c>
      <c r="B119" s="69"/>
      <c r="C119" s="6"/>
      <c r="D119" s="7"/>
      <c r="E119" s="17" t="s">
        <v>1362</v>
      </c>
      <c r="F119" s="69"/>
    </row>
    <row r="120" spans="1:6" s="5" customFormat="1" ht="16.899999999999999" customHeight="1">
      <c r="A120" s="68" t="s">
        <v>1368</v>
      </c>
      <c r="B120" s="8"/>
      <c r="C120" s="6"/>
      <c r="E120" s="68" t="s">
        <v>1369</v>
      </c>
      <c r="F120" s="8"/>
    </row>
    <row r="121" spans="1:6" s="5" customFormat="1" ht="16.899999999999999" customHeight="1">
      <c r="A121" s="6" t="s">
        <v>1370</v>
      </c>
      <c r="B121" s="6"/>
      <c r="C121" s="6"/>
      <c r="E121" s="6" t="s">
        <v>1371</v>
      </c>
      <c r="F121" s="6"/>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94" zoomScaleNormal="100" zoomScaleSheetLayoutView="100" workbookViewId="0">
      <selection activeCell="D102" sqref="D102"/>
    </sheetView>
  </sheetViews>
  <sheetFormatPr defaultColWidth="8.7265625" defaultRowHeight="12.5"/>
  <cols>
    <col min="1" max="1" width="8.7265625" style="15"/>
    <col min="2" max="2" width="46.26953125" style="15" customWidth="1"/>
    <col min="3" max="3" width="10.7265625" style="15" bestFit="1" customWidth="1"/>
    <col min="4" max="6" width="36.81640625" style="15" customWidth="1"/>
    <col min="7" max="16384" width="8.7265625" style="22"/>
  </cols>
  <sheetData>
    <row r="1" spans="1:6" ht="54.75" customHeight="1">
      <c r="A1" s="216" t="s">
        <v>639</v>
      </c>
      <c r="B1" s="216"/>
      <c r="C1" s="216"/>
      <c r="D1" s="216"/>
      <c r="E1" s="216"/>
      <c r="F1" s="216"/>
    </row>
    <row r="2" spans="1:6" ht="54.75" customHeight="1">
      <c r="A2" s="217" t="s">
        <v>640</v>
      </c>
      <c r="B2" s="217"/>
      <c r="C2" s="217"/>
      <c r="D2" s="217"/>
      <c r="E2" s="217"/>
      <c r="F2" s="217"/>
    </row>
    <row r="3" spans="1:6" ht="22.5" customHeight="1">
      <c r="A3" s="218" t="s">
        <v>590</v>
      </c>
      <c r="B3" s="218"/>
      <c r="C3" s="218"/>
      <c r="D3" s="218"/>
      <c r="E3" s="218"/>
      <c r="F3" s="218"/>
    </row>
    <row r="4" spans="1:6" ht="21" customHeight="1">
      <c r="A4" s="218"/>
      <c r="B4" s="218"/>
      <c r="C4" s="218"/>
      <c r="D4" s="218"/>
      <c r="E4" s="218"/>
      <c r="F4" s="218"/>
    </row>
    <row r="5" spans="1:6" ht="16.149999999999999" customHeight="1">
      <c r="A5" s="219" t="s">
        <v>1361</v>
      </c>
      <c r="B5" s="219"/>
      <c r="C5" s="219"/>
      <c r="D5" s="219"/>
      <c r="E5" s="219"/>
      <c r="F5" s="219"/>
    </row>
    <row r="7" spans="1:6" ht="16.899999999999999" customHeight="1">
      <c r="A7" s="99" t="s">
        <v>2</v>
      </c>
      <c r="C7" s="220" t="s">
        <v>1362</v>
      </c>
      <c r="D7" s="220"/>
      <c r="E7" s="220"/>
      <c r="F7" s="220"/>
    </row>
    <row r="8" spans="1:6" ht="16.899999999999999" customHeight="1">
      <c r="A8" s="15" t="s">
        <v>15</v>
      </c>
      <c r="C8" s="215" t="s">
        <v>1363</v>
      </c>
      <c r="D8" s="215"/>
      <c r="E8" s="215"/>
      <c r="F8" s="215"/>
    </row>
    <row r="9" spans="1:6" ht="16.899999999999999" customHeight="1">
      <c r="A9" s="99" t="s">
        <v>3</v>
      </c>
      <c r="C9" s="220" t="s">
        <v>1364</v>
      </c>
      <c r="D9" s="220"/>
      <c r="E9" s="220"/>
      <c r="F9" s="220"/>
    </row>
    <row r="10" spans="1:6" ht="16.899999999999999" customHeight="1">
      <c r="A10" s="15" t="s">
        <v>4</v>
      </c>
      <c r="C10" s="215" t="s">
        <v>1365</v>
      </c>
      <c r="D10" s="215"/>
      <c r="E10" s="215"/>
      <c r="F10" s="215"/>
    </row>
    <row r="11" spans="1:6" ht="16.899999999999999" customHeight="1">
      <c r="A11" s="99" t="s">
        <v>5</v>
      </c>
      <c r="C11" s="220" t="s">
        <v>690</v>
      </c>
      <c r="D11" s="220"/>
      <c r="E11" s="220"/>
      <c r="F11" s="220"/>
    </row>
    <row r="12" spans="1:6" ht="16.899999999999999" customHeight="1">
      <c r="A12" s="15" t="s">
        <v>6</v>
      </c>
      <c r="C12" s="215" t="s">
        <v>1382</v>
      </c>
      <c r="D12" s="215"/>
      <c r="E12" s="215"/>
      <c r="F12" s="215"/>
    </row>
    <row r="13" spans="1:6" ht="16.899999999999999" customHeight="1">
      <c r="A13" s="99" t="s">
        <v>7</v>
      </c>
      <c r="C13" s="220" t="s">
        <v>1366</v>
      </c>
      <c r="D13" s="220"/>
      <c r="E13" s="220"/>
      <c r="F13" s="220"/>
    </row>
    <row r="14" spans="1:6" ht="16.899999999999999" customHeight="1">
      <c r="A14" s="15" t="s">
        <v>8</v>
      </c>
      <c r="C14" s="215" t="s">
        <v>1367</v>
      </c>
      <c r="D14" s="215"/>
      <c r="E14" s="215"/>
      <c r="F14" s="215"/>
    </row>
    <row r="15" spans="1:6" ht="16.899999999999999" customHeight="1"/>
    <row r="16" spans="1:6" ht="16.899999999999999" customHeight="1">
      <c r="A16" s="93" t="s">
        <v>637</v>
      </c>
      <c r="B16" s="94" t="s">
        <v>638</v>
      </c>
    </row>
    <row r="17" spans="1:6" ht="16.899999999999999" customHeight="1">
      <c r="A17" s="20" t="s">
        <v>22</v>
      </c>
      <c r="B17" s="21" t="s">
        <v>25</v>
      </c>
    </row>
    <row r="18" spans="1:6" ht="37.5">
      <c r="A18" s="147" t="s">
        <v>17</v>
      </c>
      <c r="B18" s="147" t="s">
        <v>18</v>
      </c>
      <c r="C18" s="147" t="s">
        <v>19</v>
      </c>
      <c r="D18" s="148" t="s">
        <v>1374</v>
      </c>
      <c r="E18" s="148" t="s">
        <v>1375</v>
      </c>
      <c r="F18" s="148" t="s">
        <v>643</v>
      </c>
    </row>
    <row r="19" spans="1:6" s="24" customFormat="1" ht="35.15" customHeight="1">
      <c r="A19" s="149" t="s">
        <v>16</v>
      </c>
      <c r="B19" s="150" t="s">
        <v>33</v>
      </c>
      <c r="C19" s="151" t="s">
        <v>50</v>
      </c>
      <c r="D19" s="152">
        <v>4589816000</v>
      </c>
      <c r="E19" s="152">
        <v>1414534978</v>
      </c>
      <c r="F19" s="152">
        <v>29158759707</v>
      </c>
    </row>
    <row r="20" spans="1:6" ht="35.15" customHeight="1">
      <c r="A20" s="73">
        <v>1</v>
      </c>
      <c r="B20" s="74" t="s">
        <v>594</v>
      </c>
      <c r="C20" s="75" t="s">
        <v>57</v>
      </c>
      <c r="D20" s="153">
        <v>0</v>
      </c>
      <c r="E20" s="153">
        <v>0</v>
      </c>
      <c r="F20" s="153">
        <v>0</v>
      </c>
    </row>
    <row r="21" spans="1:6">
      <c r="A21" s="97" t="s">
        <v>595</v>
      </c>
      <c r="B21" s="97" t="s">
        <v>595</v>
      </c>
      <c r="C21" s="97" t="s">
        <v>595</v>
      </c>
      <c r="D21" s="154" t="s">
        <v>595</v>
      </c>
      <c r="E21" s="154" t="s">
        <v>596</v>
      </c>
      <c r="F21" s="155" t="s">
        <v>596</v>
      </c>
    </row>
    <row r="22" spans="1:6" ht="36" customHeight="1">
      <c r="A22" s="73">
        <v>2</v>
      </c>
      <c r="B22" s="74" t="s">
        <v>312</v>
      </c>
      <c r="C22" s="75" t="s">
        <v>51</v>
      </c>
      <c r="D22" s="153">
        <v>4556606000</v>
      </c>
      <c r="E22" s="153">
        <v>1392905600</v>
      </c>
      <c r="F22" s="153">
        <v>28977347862</v>
      </c>
    </row>
    <row r="23" spans="1:6">
      <c r="A23" s="97" t="s">
        <v>595</v>
      </c>
      <c r="B23" s="97" t="s">
        <v>595</v>
      </c>
      <c r="C23" s="97" t="s">
        <v>595</v>
      </c>
      <c r="D23" s="154" t="s">
        <v>595</v>
      </c>
      <c r="E23" s="154" t="s">
        <v>596</v>
      </c>
      <c r="F23" s="155" t="s">
        <v>596</v>
      </c>
    </row>
    <row r="24" spans="1:6" ht="29.5" customHeight="1">
      <c r="A24" s="76"/>
      <c r="B24" s="77" t="s">
        <v>313</v>
      </c>
      <c r="C24" s="78" t="s">
        <v>52</v>
      </c>
      <c r="D24" s="153">
        <v>4556606000</v>
      </c>
      <c r="E24" s="153">
        <v>1392905600</v>
      </c>
      <c r="F24" s="153">
        <v>28932964300</v>
      </c>
    </row>
    <row r="25" spans="1:6" ht="29.5" customHeight="1">
      <c r="A25" s="76"/>
      <c r="B25" s="77" t="s">
        <v>314</v>
      </c>
      <c r="C25" s="78" t="s">
        <v>53</v>
      </c>
      <c r="D25" s="153">
        <v>0</v>
      </c>
      <c r="E25" s="153">
        <v>0</v>
      </c>
      <c r="F25" s="153">
        <v>44383562</v>
      </c>
    </row>
    <row r="26" spans="1:6" ht="29.5" customHeight="1">
      <c r="A26" s="73">
        <v>3</v>
      </c>
      <c r="B26" s="74" t="s">
        <v>315</v>
      </c>
      <c r="C26" s="75" t="s">
        <v>54</v>
      </c>
      <c r="D26" s="153">
        <v>33210000</v>
      </c>
      <c r="E26" s="153">
        <v>21629378</v>
      </c>
      <c r="F26" s="153">
        <v>181411845</v>
      </c>
    </row>
    <row r="27" spans="1:6">
      <c r="A27" s="97" t="s">
        <v>595</v>
      </c>
      <c r="B27" s="97" t="s">
        <v>595</v>
      </c>
      <c r="C27" s="97" t="s">
        <v>595</v>
      </c>
      <c r="D27" s="154" t="s">
        <v>595</v>
      </c>
      <c r="E27" s="154" t="s">
        <v>595</v>
      </c>
      <c r="F27" s="154" t="s">
        <v>595</v>
      </c>
    </row>
    <row r="28" spans="1:6" ht="30.65" customHeight="1">
      <c r="A28" s="76"/>
      <c r="B28" s="77" t="s">
        <v>276</v>
      </c>
      <c r="C28" s="78" t="s">
        <v>55</v>
      </c>
      <c r="D28" s="153">
        <v>33210000</v>
      </c>
      <c r="E28" s="153">
        <v>21629378</v>
      </c>
      <c r="F28" s="153">
        <v>181411845</v>
      </c>
    </row>
    <row r="29" spans="1:6" ht="30.65" customHeight="1">
      <c r="A29" s="76"/>
      <c r="B29" s="77" t="s">
        <v>709</v>
      </c>
      <c r="C29" s="78" t="s">
        <v>56</v>
      </c>
      <c r="D29" s="153">
        <v>0</v>
      </c>
      <c r="E29" s="153">
        <v>0</v>
      </c>
      <c r="F29" s="153">
        <v>0</v>
      </c>
    </row>
    <row r="30" spans="1:6" ht="30.65" customHeight="1">
      <c r="A30" s="76"/>
      <c r="B30" s="77" t="s">
        <v>341</v>
      </c>
      <c r="C30" s="78" t="s">
        <v>273</v>
      </c>
      <c r="D30" s="153">
        <v>0</v>
      </c>
      <c r="E30" s="153">
        <v>0</v>
      </c>
      <c r="F30" s="153">
        <v>0</v>
      </c>
    </row>
    <row r="31" spans="1:6" s="24" customFormat="1" ht="30.65" customHeight="1">
      <c r="A31" s="73">
        <v>4</v>
      </c>
      <c r="B31" s="74" t="s">
        <v>316</v>
      </c>
      <c r="C31" s="75" t="s">
        <v>57</v>
      </c>
      <c r="D31" s="153">
        <v>0</v>
      </c>
      <c r="E31" s="153">
        <v>0</v>
      </c>
      <c r="F31" s="153">
        <v>0</v>
      </c>
    </row>
    <row r="32" spans="1:6">
      <c r="A32" s="97" t="s">
        <v>595</v>
      </c>
      <c r="B32" s="97" t="s">
        <v>595</v>
      </c>
      <c r="C32" s="97" t="s">
        <v>595</v>
      </c>
      <c r="D32" s="154" t="s">
        <v>595</v>
      </c>
      <c r="E32" s="154" t="s">
        <v>595</v>
      </c>
      <c r="F32" s="154" t="s">
        <v>595</v>
      </c>
    </row>
    <row r="33" spans="1:6" ht="32.5" customHeight="1">
      <c r="A33" s="79"/>
      <c r="B33" s="80" t="s">
        <v>317</v>
      </c>
      <c r="C33" s="81" t="s">
        <v>58</v>
      </c>
      <c r="D33" s="153">
        <v>0</v>
      </c>
      <c r="E33" s="153">
        <v>0</v>
      </c>
      <c r="F33" s="153">
        <v>0</v>
      </c>
    </row>
    <row r="34" spans="1:6" ht="32.5" customHeight="1">
      <c r="A34" s="79"/>
      <c r="B34" s="80" t="s">
        <v>318</v>
      </c>
      <c r="C34" s="81" t="s">
        <v>59</v>
      </c>
      <c r="D34" s="153">
        <v>0</v>
      </c>
      <c r="E34" s="153">
        <v>0</v>
      </c>
      <c r="F34" s="153">
        <v>0</v>
      </c>
    </row>
    <row r="35" spans="1:6" ht="75">
      <c r="A35" s="79"/>
      <c r="B35" s="80" t="s">
        <v>34</v>
      </c>
      <c r="C35" s="81" t="s">
        <v>60</v>
      </c>
      <c r="D35" s="153">
        <v>0</v>
      </c>
      <c r="E35" s="153">
        <v>0</v>
      </c>
      <c r="F35" s="153">
        <v>0</v>
      </c>
    </row>
    <row r="36" spans="1:6" ht="32.15" customHeight="1">
      <c r="A36" s="149" t="s">
        <v>22</v>
      </c>
      <c r="B36" s="150" t="s">
        <v>319</v>
      </c>
      <c r="C36" s="151" t="s">
        <v>61</v>
      </c>
      <c r="D36" s="157">
        <v>6147487801</v>
      </c>
      <c r="E36" s="157">
        <v>6274169157</v>
      </c>
      <c r="F36" s="157">
        <v>45879279923</v>
      </c>
    </row>
    <row r="37" spans="1:6" ht="32.15" customHeight="1">
      <c r="A37" s="73">
        <v>1</v>
      </c>
      <c r="B37" s="74" t="s">
        <v>597</v>
      </c>
      <c r="C37" s="75" t="s">
        <v>62</v>
      </c>
      <c r="D37" s="153">
        <v>3926981906</v>
      </c>
      <c r="E37" s="153">
        <v>3718204013</v>
      </c>
      <c r="F37" s="153">
        <v>28057296839</v>
      </c>
    </row>
    <row r="38" spans="1:6">
      <c r="A38" s="97" t="s">
        <v>595</v>
      </c>
      <c r="B38" s="97" t="s">
        <v>595</v>
      </c>
      <c r="C38" s="97" t="s">
        <v>595</v>
      </c>
      <c r="D38" s="154" t="s">
        <v>595</v>
      </c>
      <c r="E38" s="154" t="s">
        <v>595</v>
      </c>
      <c r="F38" s="154" t="s">
        <v>595</v>
      </c>
    </row>
    <row r="39" spans="1:6" ht="59.15" customHeight="1">
      <c r="A39" s="73">
        <v>2</v>
      </c>
      <c r="B39" s="74" t="s">
        <v>716</v>
      </c>
      <c r="C39" s="75" t="s">
        <v>63</v>
      </c>
      <c r="D39" s="153">
        <v>241826777</v>
      </c>
      <c r="E39" s="153">
        <v>244357602</v>
      </c>
      <c r="F39" s="153">
        <v>1741526013</v>
      </c>
    </row>
    <row r="40" spans="1:6">
      <c r="A40" s="97" t="s">
        <v>595</v>
      </c>
      <c r="B40" s="97" t="s">
        <v>595</v>
      </c>
      <c r="C40" s="97" t="s">
        <v>595</v>
      </c>
      <c r="D40" s="154" t="s">
        <v>595</v>
      </c>
      <c r="E40" s="154" t="s">
        <v>595</v>
      </c>
      <c r="F40" s="154" t="s">
        <v>595</v>
      </c>
    </row>
    <row r="41" spans="1:6" ht="29.5" customHeight="1">
      <c r="A41" s="82"/>
      <c r="B41" s="77" t="s">
        <v>598</v>
      </c>
      <c r="C41" s="78" t="s">
        <v>64</v>
      </c>
      <c r="D41" s="153">
        <v>80553475</v>
      </c>
      <c r="E41" s="153">
        <v>76270852</v>
      </c>
      <c r="F41" s="153">
        <v>575534294</v>
      </c>
    </row>
    <row r="42" spans="1:6" ht="29.5" customHeight="1">
      <c r="A42" s="82"/>
      <c r="B42" s="77" t="s">
        <v>599</v>
      </c>
      <c r="C42" s="78" t="s">
        <v>65</v>
      </c>
      <c r="D42" s="153">
        <v>59400000</v>
      </c>
      <c r="E42" s="153">
        <v>72500000</v>
      </c>
      <c r="F42" s="153">
        <v>431530000</v>
      </c>
    </row>
    <row r="43" spans="1:6" ht="59.15" customHeight="1">
      <c r="A43" s="82"/>
      <c r="B43" s="77" t="s">
        <v>717</v>
      </c>
      <c r="C43" s="78" t="s">
        <v>66</v>
      </c>
      <c r="D43" s="153">
        <v>13264479</v>
      </c>
      <c r="E43" s="153">
        <v>11688813</v>
      </c>
      <c r="F43" s="153">
        <v>101373991</v>
      </c>
    </row>
    <row r="44" spans="1:6" ht="32.5" customHeight="1">
      <c r="A44" s="82"/>
      <c r="B44" s="77" t="s">
        <v>600</v>
      </c>
      <c r="C44" s="78" t="s">
        <v>67</v>
      </c>
      <c r="D44" s="153">
        <v>88608823</v>
      </c>
      <c r="E44" s="153">
        <v>83897937</v>
      </c>
      <c r="F44" s="153">
        <v>633087728</v>
      </c>
    </row>
    <row r="45" spans="1:6" ht="72.650000000000006" customHeight="1">
      <c r="A45" s="73">
        <v>3</v>
      </c>
      <c r="B45" s="83" t="s">
        <v>601</v>
      </c>
      <c r="C45" s="75" t="s">
        <v>68</v>
      </c>
      <c r="D45" s="153">
        <v>68580513</v>
      </c>
      <c r="E45" s="153">
        <v>65636209</v>
      </c>
      <c r="F45" s="153">
        <v>514479830</v>
      </c>
    </row>
    <row r="46" spans="1:6">
      <c r="A46" s="97" t="s">
        <v>595</v>
      </c>
      <c r="B46" s="97" t="s">
        <v>595</v>
      </c>
      <c r="C46" s="97" t="s">
        <v>595</v>
      </c>
      <c r="D46" s="154" t="s">
        <v>595</v>
      </c>
      <c r="E46" s="154" t="s">
        <v>595</v>
      </c>
      <c r="F46" s="154" t="s">
        <v>595</v>
      </c>
    </row>
    <row r="47" spans="1:6" ht="29.15" customHeight="1">
      <c r="A47" s="82"/>
      <c r="B47" s="84" t="s">
        <v>342</v>
      </c>
      <c r="C47" s="78" t="s">
        <v>69</v>
      </c>
      <c r="D47" s="153">
        <v>55380513</v>
      </c>
      <c r="E47" s="153">
        <v>52436209</v>
      </c>
      <c r="F47" s="153">
        <v>395679830</v>
      </c>
    </row>
    <row r="48" spans="1:6" ht="29.15" customHeight="1">
      <c r="A48" s="82"/>
      <c r="B48" s="84" t="s">
        <v>36</v>
      </c>
      <c r="C48" s="78" t="s">
        <v>70</v>
      </c>
      <c r="D48" s="153">
        <v>13200000</v>
      </c>
      <c r="E48" s="153">
        <v>13200000</v>
      </c>
      <c r="F48" s="153">
        <v>118800000</v>
      </c>
    </row>
    <row r="49" spans="1:6" ht="29.15" customHeight="1">
      <c r="A49" s="82">
        <v>4</v>
      </c>
      <c r="B49" s="84" t="s">
        <v>602</v>
      </c>
      <c r="C49" s="78" t="s">
        <v>82</v>
      </c>
      <c r="D49" s="153">
        <v>0</v>
      </c>
      <c r="E49" s="153">
        <v>0</v>
      </c>
      <c r="F49" s="153">
        <v>0</v>
      </c>
    </row>
    <row r="50" spans="1:6">
      <c r="A50" s="97" t="s">
        <v>595</v>
      </c>
      <c r="B50" s="97" t="s">
        <v>595</v>
      </c>
      <c r="C50" s="97" t="s">
        <v>595</v>
      </c>
      <c r="D50" s="154" t="s">
        <v>595</v>
      </c>
      <c r="E50" s="154" t="s">
        <v>595</v>
      </c>
      <c r="F50" s="154" t="s">
        <v>595</v>
      </c>
    </row>
    <row r="51" spans="1:6" ht="32.5" customHeight="1">
      <c r="A51" s="82">
        <v>5</v>
      </c>
      <c r="B51" s="84" t="s">
        <v>603</v>
      </c>
      <c r="C51" s="78" t="s">
        <v>86</v>
      </c>
      <c r="D51" s="153">
        <v>0</v>
      </c>
      <c r="E51" s="153">
        <v>0</v>
      </c>
      <c r="F51" s="153">
        <v>0</v>
      </c>
    </row>
    <row r="52" spans="1:6">
      <c r="A52" s="97" t="s">
        <v>595</v>
      </c>
      <c r="B52" s="97" t="s">
        <v>595</v>
      </c>
      <c r="C52" s="97" t="s">
        <v>595</v>
      </c>
      <c r="D52" s="154" t="s">
        <v>595</v>
      </c>
      <c r="E52" s="154" t="s">
        <v>595</v>
      </c>
      <c r="F52" s="154" t="s">
        <v>595</v>
      </c>
    </row>
    <row r="53" spans="1:6" ht="31" customHeight="1">
      <c r="A53" s="73">
        <v>6</v>
      </c>
      <c r="B53" s="74" t="s">
        <v>37</v>
      </c>
      <c r="C53" s="75" t="s">
        <v>71</v>
      </c>
      <c r="D53" s="153">
        <v>16500000</v>
      </c>
      <c r="E53" s="153">
        <v>17050000</v>
      </c>
      <c r="F53" s="153">
        <v>149189475</v>
      </c>
    </row>
    <row r="54" spans="1:6">
      <c r="A54" s="97" t="s">
        <v>595</v>
      </c>
      <c r="B54" s="97" t="s">
        <v>595</v>
      </c>
      <c r="C54" s="97" t="s">
        <v>595</v>
      </c>
      <c r="D54" s="154" t="s">
        <v>595</v>
      </c>
      <c r="E54" s="154" t="s">
        <v>595</v>
      </c>
      <c r="F54" s="154" t="s">
        <v>595</v>
      </c>
    </row>
    <row r="55" spans="1:6" ht="73.5" customHeight="1">
      <c r="A55" s="73">
        <v>7</v>
      </c>
      <c r="B55" s="74" t="s">
        <v>343</v>
      </c>
      <c r="C55" s="75" t="s">
        <v>72</v>
      </c>
      <c r="D55" s="153">
        <v>24169874</v>
      </c>
      <c r="E55" s="153">
        <v>24575537</v>
      </c>
      <c r="F55" s="153">
        <v>218144080</v>
      </c>
    </row>
    <row r="56" spans="1:6">
      <c r="A56" s="97" t="s">
        <v>595</v>
      </c>
      <c r="B56" s="97" t="s">
        <v>595</v>
      </c>
      <c r="C56" s="97" t="s">
        <v>595</v>
      </c>
      <c r="D56" s="154" t="s">
        <v>595</v>
      </c>
      <c r="E56" s="154" t="s">
        <v>595</v>
      </c>
      <c r="F56" s="154" t="s">
        <v>595</v>
      </c>
    </row>
    <row r="57" spans="1:6" ht="33" customHeight="1">
      <c r="A57" s="82"/>
      <c r="B57" s="85" t="s">
        <v>344</v>
      </c>
      <c r="C57" s="78" t="s">
        <v>73</v>
      </c>
      <c r="D57" s="153">
        <v>12983607</v>
      </c>
      <c r="E57" s="153">
        <v>13016393</v>
      </c>
      <c r="F57" s="153">
        <v>115248634</v>
      </c>
    </row>
    <row r="58" spans="1:6" ht="33" customHeight="1">
      <c r="A58" s="82"/>
      <c r="B58" s="85" t="s">
        <v>320</v>
      </c>
      <c r="C58" s="78" t="s">
        <v>74</v>
      </c>
      <c r="D58" s="153">
        <v>7663043</v>
      </c>
      <c r="E58" s="153">
        <v>7918479</v>
      </c>
      <c r="F58" s="153">
        <v>70500000</v>
      </c>
    </row>
    <row r="59" spans="1:6" ht="33" customHeight="1">
      <c r="A59" s="82"/>
      <c r="B59" s="85" t="s">
        <v>39</v>
      </c>
      <c r="C59" s="78" t="s">
        <v>75</v>
      </c>
      <c r="D59" s="153">
        <v>3523224</v>
      </c>
      <c r="E59" s="153">
        <v>3640665</v>
      </c>
      <c r="F59" s="153">
        <v>32395446</v>
      </c>
    </row>
    <row r="60" spans="1:6" ht="145.5" customHeight="1">
      <c r="A60" s="73">
        <v>8</v>
      </c>
      <c r="B60" s="83" t="s">
        <v>345</v>
      </c>
      <c r="C60" s="75" t="s">
        <v>76</v>
      </c>
      <c r="D60" s="153">
        <v>14762781</v>
      </c>
      <c r="E60" s="153">
        <v>15254873</v>
      </c>
      <c r="F60" s="153">
        <v>103835462</v>
      </c>
    </row>
    <row r="61" spans="1:6">
      <c r="A61" s="97" t="s">
        <v>595</v>
      </c>
      <c r="B61" s="97" t="s">
        <v>595</v>
      </c>
      <c r="C61" s="97" t="s">
        <v>595</v>
      </c>
      <c r="D61" s="154" t="s">
        <v>595</v>
      </c>
      <c r="E61" s="154" t="s">
        <v>595</v>
      </c>
      <c r="F61" s="154" t="s">
        <v>595</v>
      </c>
    </row>
    <row r="62" spans="1:6" ht="31" customHeight="1">
      <c r="A62" s="82"/>
      <c r="B62" s="84" t="s">
        <v>321</v>
      </c>
      <c r="C62" s="78" t="s">
        <v>77</v>
      </c>
      <c r="D62" s="153">
        <v>14762781</v>
      </c>
      <c r="E62" s="153">
        <v>15254873</v>
      </c>
      <c r="F62" s="153">
        <v>103835462</v>
      </c>
    </row>
    <row r="63" spans="1:6" ht="31" customHeight="1">
      <c r="A63" s="82"/>
      <c r="B63" s="84" t="s">
        <v>202</v>
      </c>
      <c r="C63" s="78" t="s">
        <v>78</v>
      </c>
      <c r="D63" s="153">
        <v>0</v>
      </c>
      <c r="E63" s="153">
        <v>0</v>
      </c>
      <c r="F63" s="153">
        <v>0</v>
      </c>
    </row>
    <row r="64" spans="1:6" s="24" customFormat="1" ht="44.5" customHeight="1">
      <c r="A64" s="82"/>
      <c r="B64" s="84" t="s">
        <v>346</v>
      </c>
      <c r="C64" s="78" t="s">
        <v>79</v>
      </c>
      <c r="D64" s="153">
        <v>0</v>
      </c>
      <c r="E64" s="153">
        <v>0</v>
      </c>
      <c r="F64" s="153">
        <v>0</v>
      </c>
    </row>
    <row r="65" spans="1:6" s="24" customFormat="1" ht="31" customHeight="1">
      <c r="A65" s="82"/>
      <c r="B65" s="85" t="s">
        <v>322</v>
      </c>
      <c r="C65" s="78" t="s">
        <v>80</v>
      </c>
      <c r="D65" s="153">
        <v>0</v>
      </c>
      <c r="E65" s="153">
        <v>0</v>
      </c>
      <c r="F65" s="153">
        <v>0</v>
      </c>
    </row>
    <row r="66" spans="1:6" ht="31" customHeight="1">
      <c r="A66" s="82"/>
      <c r="B66" s="85" t="s">
        <v>604</v>
      </c>
      <c r="C66" s="78" t="s">
        <v>81</v>
      </c>
      <c r="D66" s="153">
        <v>0</v>
      </c>
      <c r="E66" s="153">
        <v>0</v>
      </c>
      <c r="F66" s="153">
        <v>0</v>
      </c>
    </row>
    <row r="67" spans="1:6" ht="57" customHeight="1">
      <c r="A67" s="73">
        <v>9</v>
      </c>
      <c r="B67" s="74" t="s">
        <v>347</v>
      </c>
      <c r="C67" s="75" t="s">
        <v>82</v>
      </c>
      <c r="D67" s="153">
        <v>1846268146</v>
      </c>
      <c r="E67" s="153">
        <v>2180660527</v>
      </c>
      <c r="F67" s="153">
        <v>15007947420</v>
      </c>
    </row>
    <row r="68" spans="1:6" s="24" customFormat="1">
      <c r="A68" s="97" t="s">
        <v>595</v>
      </c>
      <c r="B68" s="97" t="s">
        <v>595</v>
      </c>
      <c r="C68" s="97" t="s">
        <v>595</v>
      </c>
      <c r="D68" s="154" t="s">
        <v>595</v>
      </c>
      <c r="E68" s="154" t="s">
        <v>595</v>
      </c>
      <c r="F68" s="154" t="s">
        <v>595</v>
      </c>
    </row>
    <row r="69" spans="1:6" s="24" customFormat="1" ht="30" customHeight="1">
      <c r="A69" s="82"/>
      <c r="B69" s="77" t="s">
        <v>41</v>
      </c>
      <c r="C69" s="78" t="s">
        <v>83</v>
      </c>
      <c r="D69" s="153">
        <v>1838865837</v>
      </c>
      <c r="E69" s="153">
        <v>2174907865</v>
      </c>
      <c r="F69" s="153">
        <v>14963027304</v>
      </c>
    </row>
    <row r="70" spans="1:6" s="24" customFormat="1" ht="30" customHeight="1">
      <c r="A70" s="82"/>
      <c r="B70" s="77" t="s">
        <v>42</v>
      </c>
      <c r="C70" s="78" t="s">
        <v>84</v>
      </c>
      <c r="D70" s="153">
        <v>7402309</v>
      </c>
      <c r="E70" s="153">
        <v>5752662</v>
      </c>
      <c r="F70" s="153">
        <v>44920116</v>
      </c>
    </row>
    <row r="71" spans="1:6" ht="30" customHeight="1">
      <c r="A71" s="82"/>
      <c r="B71" s="77" t="s">
        <v>43</v>
      </c>
      <c r="C71" s="78" t="s">
        <v>85</v>
      </c>
      <c r="D71" s="153">
        <v>0</v>
      </c>
      <c r="E71" s="153">
        <v>0</v>
      </c>
      <c r="F71" s="153">
        <v>0</v>
      </c>
    </row>
    <row r="72" spans="1:6" ht="30" customHeight="1">
      <c r="A72" s="73">
        <v>10</v>
      </c>
      <c r="B72" s="74" t="s">
        <v>605</v>
      </c>
      <c r="C72" s="75" t="s">
        <v>86</v>
      </c>
      <c r="D72" s="153">
        <v>8397804</v>
      </c>
      <c r="E72" s="153">
        <v>8430396</v>
      </c>
      <c r="F72" s="153">
        <v>86860804</v>
      </c>
    </row>
    <row r="73" spans="1:6">
      <c r="A73" s="97" t="s">
        <v>595</v>
      </c>
      <c r="B73" s="97" t="s">
        <v>595</v>
      </c>
      <c r="C73" s="97" t="s">
        <v>595</v>
      </c>
      <c r="D73" s="154" t="s">
        <v>595</v>
      </c>
      <c r="E73" s="154" t="s">
        <v>595</v>
      </c>
      <c r="F73" s="154" t="s">
        <v>595</v>
      </c>
    </row>
    <row r="74" spans="1:6" ht="29.5" customHeight="1">
      <c r="A74" s="73"/>
      <c r="B74" s="77" t="s">
        <v>44</v>
      </c>
      <c r="C74" s="78" t="s">
        <v>87</v>
      </c>
      <c r="D74" s="153">
        <v>0</v>
      </c>
      <c r="E74" s="153">
        <v>0</v>
      </c>
      <c r="F74" s="153">
        <v>0</v>
      </c>
    </row>
    <row r="75" spans="1:6" ht="29.5" customHeight="1">
      <c r="A75" s="73"/>
      <c r="B75" s="77" t="s">
        <v>348</v>
      </c>
      <c r="C75" s="78" t="s">
        <v>88</v>
      </c>
      <c r="D75" s="153">
        <v>0</v>
      </c>
      <c r="E75" s="153">
        <v>0</v>
      </c>
      <c r="F75" s="153">
        <v>0</v>
      </c>
    </row>
    <row r="76" spans="1:6" ht="29.5" customHeight="1">
      <c r="A76" s="73"/>
      <c r="B76" s="77" t="s">
        <v>45</v>
      </c>
      <c r="C76" s="78" t="s">
        <v>89</v>
      </c>
      <c r="D76" s="153">
        <v>614754</v>
      </c>
      <c r="E76" s="153">
        <v>635246</v>
      </c>
      <c r="F76" s="153">
        <v>5614754</v>
      </c>
    </row>
    <row r="77" spans="1:6" ht="29.5" customHeight="1">
      <c r="A77" s="73"/>
      <c r="B77" s="77" t="s">
        <v>46</v>
      </c>
      <c r="C77" s="78" t="s">
        <v>90</v>
      </c>
      <c r="D77" s="153">
        <v>7783050</v>
      </c>
      <c r="E77" s="153">
        <v>7795150</v>
      </c>
      <c r="F77" s="153">
        <v>76324050</v>
      </c>
    </row>
    <row r="78" spans="1:6" ht="29.5" customHeight="1">
      <c r="A78" s="73"/>
      <c r="B78" s="77" t="s">
        <v>349</v>
      </c>
      <c r="C78" s="78" t="s">
        <v>91</v>
      </c>
      <c r="D78" s="153">
        <v>0</v>
      </c>
      <c r="E78" s="153">
        <v>0</v>
      </c>
      <c r="F78" s="153">
        <v>0</v>
      </c>
    </row>
    <row r="79" spans="1:6" ht="29.5" customHeight="1">
      <c r="A79" s="73"/>
      <c r="B79" s="77" t="s">
        <v>43</v>
      </c>
      <c r="C79" s="78" t="s">
        <v>92</v>
      </c>
      <c r="D79" s="153">
        <v>0</v>
      </c>
      <c r="E79" s="153">
        <v>0</v>
      </c>
      <c r="F79" s="153">
        <v>3822000</v>
      </c>
    </row>
    <row r="80" spans="1:6" ht="29.5" customHeight="1">
      <c r="A80" s="73"/>
      <c r="B80" s="77" t="s">
        <v>714</v>
      </c>
      <c r="C80" s="78" t="s">
        <v>93</v>
      </c>
      <c r="D80" s="153">
        <v>0</v>
      </c>
      <c r="E80" s="153">
        <v>0</v>
      </c>
      <c r="F80" s="153">
        <v>1100000</v>
      </c>
    </row>
    <row r="81" spans="1:6" ht="37.5">
      <c r="A81" s="156" t="s">
        <v>26</v>
      </c>
      <c r="B81" s="150" t="s">
        <v>350</v>
      </c>
      <c r="C81" s="151" t="s">
        <v>94</v>
      </c>
      <c r="D81" s="157">
        <v>-1557671801</v>
      </c>
      <c r="E81" s="157">
        <v>-4859634179</v>
      </c>
      <c r="F81" s="157">
        <v>-16720520216</v>
      </c>
    </row>
    <row r="82" spans="1:6" ht="32.15" customHeight="1">
      <c r="A82" s="156" t="s">
        <v>27</v>
      </c>
      <c r="B82" s="150" t="s">
        <v>324</v>
      </c>
      <c r="C82" s="151" t="s">
        <v>95</v>
      </c>
      <c r="D82" s="157">
        <v>20982429150</v>
      </c>
      <c r="E82" s="157">
        <v>63736470450</v>
      </c>
      <c r="F82" s="157">
        <v>399575302655</v>
      </c>
    </row>
    <row r="83" spans="1:6" ht="61.5" customHeight="1">
      <c r="A83" s="73">
        <v>1</v>
      </c>
      <c r="B83" s="74" t="s">
        <v>606</v>
      </c>
      <c r="C83" s="75" t="s">
        <v>96</v>
      </c>
      <c r="D83" s="153">
        <v>10005013726</v>
      </c>
      <c r="E83" s="153">
        <v>-11490182667</v>
      </c>
      <c r="F83" s="153">
        <v>279911200339</v>
      </c>
    </row>
    <row r="84" spans="1:6" ht="40" customHeight="1">
      <c r="A84" s="73">
        <v>2</v>
      </c>
      <c r="B84" s="74" t="s">
        <v>47</v>
      </c>
      <c r="C84" s="75" t="s">
        <v>97</v>
      </c>
      <c r="D84" s="153">
        <v>10977415424</v>
      </c>
      <c r="E84" s="153">
        <v>75226653117</v>
      </c>
      <c r="F84" s="153">
        <v>119664102316</v>
      </c>
    </row>
    <row r="85" spans="1:6" ht="68.5" customHeight="1">
      <c r="A85" s="156" t="s">
        <v>28</v>
      </c>
      <c r="B85" s="150" t="s">
        <v>351</v>
      </c>
      <c r="C85" s="151" t="s">
        <v>98</v>
      </c>
      <c r="D85" s="157">
        <v>19424757349</v>
      </c>
      <c r="E85" s="157">
        <v>58876836271</v>
      </c>
      <c r="F85" s="157">
        <v>382854782439</v>
      </c>
    </row>
    <row r="86" spans="1:6" ht="32.5" customHeight="1">
      <c r="A86" s="156" t="s">
        <v>29</v>
      </c>
      <c r="B86" s="150" t="s">
        <v>48</v>
      </c>
      <c r="C86" s="151" t="s">
        <v>99</v>
      </c>
      <c r="D86" s="157">
        <v>2294441059531</v>
      </c>
      <c r="E86" s="157">
        <v>2199031082335</v>
      </c>
      <c r="F86" s="157">
        <v>1506409920896</v>
      </c>
    </row>
    <row r="87" spans="1:6" ht="62.25" customHeight="1">
      <c r="A87" s="156" t="s">
        <v>30</v>
      </c>
      <c r="B87" s="150" t="s">
        <v>644</v>
      </c>
      <c r="C87" s="151" t="s">
        <v>100</v>
      </c>
      <c r="D87" s="157">
        <v>225383862924</v>
      </c>
      <c r="E87" s="157">
        <v>95409977196</v>
      </c>
      <c r="F87" s="157">
        <v>1013415001559</v>
      </c>
    </row>
    <row r="88" spans="1:6" s="24" customFormat="1" ht="57" customHeight="1">
      <c r="A88" s="73">
        <v>1</v>
      </c>
      <c r="B88" s="74" t="s">
        <v>607</v>
      </c>
      <c r="C88" s="75" t="s">
        <v>101</v>
      </c>
      <c r="D88" s="153">
        <v>19424757349</v>
      </c>
      <c r="E88" s="153">
        <v>58876836271</v>
      </c>
      <c r="F88" s="153">
        <v>382854782439</v>
      </c>
    </row>
    <row r="89" spans="1:6" ht="58.5" customHeight="1">
      <c r="A89" s="73">
        <v>2</v>
      </c>
      <c r="B89" s="74" t="s">
        <v>608</v>
      </c>
      <c r="C89" s="75" t="s">
        <v>102</v>
      </c>
      <c r="D89" s="153">
        <v>0</v>
      </c>
      <c r="E89" s="153">
        <v>0</v>
      </c>
      <c r="F89" s="153">
        <v>0</v>
      </c>
    </row>
    <row r="90" spans="1:6" ht="59.5" customHeight="1">
      <c r="A90" s="73">
        <v>3</v>
      </c>
      <c r="B90" s="74" t="s">
        <v>609</v>
      </c>
      <c r="C90" s="75" t="s">
        <v>103</v>
      </c>
      <c r="D90" s="153">
        <v>205959105575</v>
      </c>
      <c r="E90" s="153">
        <v>36533140925</v>
      </c>
      <c r="F90" s="153">
        <v>630560219120</v>
      </c>
    </row>
    <row r="91" spans="1:6" ht="59.5" customHeight="1">
      <c r="A91" s="73"/>
      <c r="B91" s="74" t="s">
        <v>352</v>
      </c>
      <c r="C91" s="75" t="s">
        <v>610</v>
      </c>
      <c r="D91" s="153">
        <v>337774338960</v>
      </c>
      <c r="E91" s="153">
        <v>219031934755</v>
      </c>
      <c r="F91" s="153">
        <v>1583724932508</v>
      </c>
    </row>
    <row r="92" spans="1:6" ht="48.65" customHeight="1">
      <c r="A92" s="73"/>
      <c r="B92" s="74" t="s">
        <v>353</v>
      </c>
      <c r="C92" s="75" t="s">
        <v>611</v>
      </c>
      <c r="D92" s="153">
        <v>-131815233385</v>
      </c>
      <c r="E92" s="153">
        <v>-182498793830</v>
      </c>
      <c r="F92" s="153">
        <v>-953164713388</v>
      </c>
    </row>
    <row r="93" spans="1:6" s="27" customFormat="1" ht="43" customHeight="1">
      <c r="A93" s="149" t="s">
        <v>31</v>
      </c>
      <c r="B93" s="150" t="s">
        <v>49</v>
      </c>
      <c r="C93" s="151" t="s">
        <v>104</v>
      </c>
      <c r="D93" s="157">
        <v>2519824922455</v>
      </c>
      <c r="E93" s="157">
        <v>2294441059531</v>
      </c>
      <c r="F93" s="157">
        <v>2519824922455</v>
      </c>
    </row>
    <row r="94" spans="1:6" ht="60.65" customHeight="1">
      <c r="A94" s="149" t="s">
        <v>32</v>
      </c>
      <c r="B94" s="150" t="s">
        <v>325</v>
      </c>
      <c r="C94" s="151" t="s">
        <v>105</v>
      </c>
      <c r="D94" s="157">
        <v>0</v>
      </c>
      <c r="E94" s="157">
        <v>0</v>
      </c>
      <c r="F94" s="157">
        <v>0</v>
      </c>
    </row>
    <row r="95" spans="1:6" ht="59.5" customHeight="1">
      <c r="A95" s="86"/>
      <c r="B95" s="74" t="s">
        <v>326</v>
      </c>
      <c r="C95" s="75" t="s">
        <v>106</v>
      </c>
      <c r="D95" s="166">
        <v>0</v>
      </c>
      <c r="E95" s="166">
        <v>0</v>
      </c>
      <c r="F95" s="166">
        <v>0</v>
      </c>
    </row>
    <row r="96" spans="1:6" ht="16.899999999999999" customHeight="1"/>
    <row r="97" spans="1:6" ht="16.899999999999999" customHeight="1">
      <c r="A97" s="18" t="s">
        <v>10</v>
      </c>
      <c r="D97" s="18"/>
      <c r="E97" s="18" t="s">
        <v>11</v>
      </c>
    </row>
    <row r="98" spans="1:6" ht="16.899999999999999" customHeight="1">
      <c r="A98" s="19" t="s">
        <v>12</v>
      </c>
      <c r="D98" s="19"/>
      <c r="E98" s="19" t="s">
        <v>13</v>
      </c>
    </row>
    <row r="99" spans="1:6" ht="16.899999999999999" customHeight="1">
      <c r="A99" s="19"/>
      <c r="D99" s="19"/>
      <c r="E99" s="19"/>
    </row>
    <row r="100" spans="1:6" ht="16.899999999999999" customHeight="1">
      <c r="A100" s="19"/>
      <c r="D100" s="19"/>
      <c r="E100" s="19"/>
    </row>
    <row r="101" spans="1:6" ht="16.899999999999999" customHeight="1">
      <c r="A101" s="19"/>
      <c r="D101" s="19"/>
      <c r="E101" s="19"/>
    </row>
    <row r="102" spans="1:6" ht="16.899999999999999" customHeight="1">
      <c r="A102" s="19"/>
      <c r="D102" s="19"/>
      <c r="E102" s="19"/>
    </row>
    <row r="103" spans="1:6" ht="16.899999999999999" customHeight="1"/>
    <row r="104" spans="1:6" ht="16.899999999999999" customHeight="1">
      <c r="D104" s="32"/>
    </row>
    <row r="105" spans="1:6" ht="16.899999999999999" customHeight="1">
      <c r="A105" s="28" t="s">
        <v>14</v>
      </c>
      <c r="B105" s="29"/>
      <c r="D105" s="175"/>
      <c r="E105" s="28" t="s">
        <v>1362</v>
      </c>
      <c r="F105" s="29"/>
    </row>
    <row r="106" spans="1:6" ht="16.899999999999999" customHeight="1">
      <c r="A106" s="25" t="s">
        <v>1368</v>
      </c>
      <c r="D106" s="25"/>
      <c r="E106" s="25" t="s">
        <v>1369</v>
      </c>
    </row>
    <row r="107" spans="1:6" ht="16.899999999999999" customHeight="1">
      <c r="A107" s="15" t="s">
        <v>1370</v>
      </c>
      <c r="E107" s="15" t="s">
        <v>1371</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33"/>
  <sheetViews>
    <sheetView view="pageBreakPreview" topLeftCell="A119" zoomScale="95" zoomScaleNormal="100" zoomScaleSheetLayoutView="95" workbookViewId="0">
      <selection activeCell="D122" sqref="D122"/>
    </sheetView>
  </sheetViews>
  <sheetFormatPr defaultColWidth="8.7265625" defaultRowHeight="12.5"/>
  <cols>
    <col min="1" max="1" width="9" style="15" customWidth="1"/>
    <col min="2" max="2" width="39.81640625" style="15" customWidth="1"/>
    <col min="3" max="3" width="9.26953125" style="15" customWidth="1"/>
    <col min="4" max="4" width="28" style="15" customWidth="1"/>
    <col min="5" max="5" width="33.81640625" style="15" customWidth="1"/>
    <col min="6" max="6" width="32.1796875" style="15" customWidth="1"/>
    <col min="7" max="7" width="28.54296875" style="15" customWidth="1"/>
    <col min="8" max="16384" width="8.7265625" style="128"/>
  </cols>
  <sheetData>
    <row r="1" spans="1:7" ht="44.25" customHeight="1">
      <c r="A1" s="216" t="s">
        <v>639</v>
      </c>
      <c r="B1" s="216"/>
      <c r="C1" s="216"/>
      <c r="D1" s="216"/>
      <c r="E1" s="216"/>
      <c r="F1" s="216"/>
      <c r="G1" s="216"/>
    </row>
    <row r="2" spans="1:7" ht="59.25" customHeight="1">
      <c r="A2" s="217" t="s">
        <v>640</v>
      </c>
      <c r="B2" s="217"/>
      <c r="C2" s="217"/>
      <c r="D2" s="217"/>
      <c r="E2" s="217"/>
      <c r="F2" s="217"/>
      <c r="G2" s="217"/>
    </row>
    <row r="3" spans="1:7" ht="15" customHeight="1">
      <c r="A3" s="218" t="s">
        <v>590</v>
      </c>
      <c r="B3" s="218"/>
      <c r="C3" s="218"/>
      <c r="D3" s="218"/>
      <c r="E3" s="218"/>
      <c r="F3" s="218"/>
      <c r="G3" s="218"/>
    </row>
    <row r="4" spans="1:7" ht="27.4" customHeight="1">
      <c r="A4" s="218"/>
      <c r="B4" s="218"/>
      <c r="C4" s="218"/>
      <c r="D4" s="218"/>
      <c r="E4" s="218"/>
      <c r="F4" s="218"/>
      <c r="G4" s="218"/>
    </row>
    <row r="5" spans="1:7" ht="16.899999999999999" customHeight="1">
      <c r="A5" s="219" t="s">
        <v>1360</v>
      </c>
      <c r="B5" s="219"/>
      <c r="C5" s="219"/>
      <c r="D5" s="219"/>
      <c r="E5" s="219"/>
      <c r="F5" s="219"/>
      <c r="G5" s="219"/>
    </row>
    <row r="6" spans="1:7" ht="16.899999999999999" customHeight="1"/>
    <row r="7" spans="1:7" ht="16.899999999999999" customHeight="1">
      <c r="A7" s="99" t="s">
        <v>2</v>
      </c>
      <c r="C7" s="220" t="s">
        <v>1362</v>
      </c>
      <c r="D7" s="220"/>
      <c r="E7" s="220"/>
      <c r="F7" s="220"/>
      <c r="G7" s="220"/>
    </row>
    <row r="8" spans="1:7" ht="16.899999999999999" customHeight="1">
      <c r="A8" s="15" t="s">
        <v>15</v>
      </c>
      <c r="C8" s="215" t="s">
        <v>1363</v>
      </c>
      <c r="D8" s="215"/>
      <c r="E8" s="215"/>
      <c r="F8" s="215"/>
      <c r="G8" s="215"/>
    </row>
    <row r="9" spans="1:7" ht="16.899999999999999" customHeight="1">
      <c r="A9" s="99" t="s">
        <v>3</v>
      </c>
      <c r="C9" s="220" t="s">
        <v>1364</v>
      </c>
      <c r="D9" s="220"/>
      <c r="E9" s="220"/>
      <c r="F9" s="220"/>
      <c r="G9" s="220"/>
    </row>
    <row r="10" spans="1:7" ht="16.899999999999999" customHeight="1">
      <c r="A10" s="15" t="s">
        <v>4</v>
      </c>
      <c r="C10" s="215" t="s">
        <v>1365</v>
      </c>
      <c r="D10" s="215"/>
      <c r="E10" s="215"/>
      <c r="F10" s="215"/>
      <c r="G10" s="215"/>
    </row>
    <row r="11" spans="1:7" ht="16.899999999999999" customHeight="1">
      <c r="A11" s="99" t="s">
        <v>5</v>
      </c>
      <c r="C11" s="220" t="s">
        <v>690</v>
      </c>
      <c r="D11" s="220"/>
      <c r="E11" s="220"/>
      <c r="F11" s="220"/>
      <c r="G11" s="220"/>
    </row>
    <row r="12" spans="1:7" ht="16.899999999999999" customHeight="1">
      <c r="A12" s="15" t="s">
        <v>6</v>
      </c>
      <c r="C12" s="215" t="s">
        <v>1382</v>
      </c>
      <c r="D12" s="215"/>
      <c r="E12" s="215"/>
      <c r="F12" s="215"/>
      <c r="G12" s="215"/>
    </row>
    <row r="13" spans="1:7" ht="16.899999999999999" customHeight="1">
      <c r="A13" s="99" t="s">
        <v>7</v>
      </c>
      <c r="C13" s="220" t="s">
        <v>1366</v>
      </c>
      <c r="D13" s="220"/>
      <c r="E13" s="220"/>
      <c r="F13" s="220"/>
      <c r="G13" s="220"/>
    </row>
    <row r="14" spans="1:7" ht="16.899999999999999" customHeight="1">
      <c r="A14" s="15" t="s">
        <v>8</v>
      </c>
      <c r="C14" s="215" t="s">
        <v>1367</v>
      </c>
      <c r="D14" s="215"/>
      <c r="E14" s="215"/>
      <c r="F14" s="215"/>
      <c r="G14" s="215"/>
    </row>
    <row r="15" spans="1:7" ht="18" hidden="1" customHeight="1"/>
    <row r="16" spans="1:7" ht="16.899999999999999" customHeight="1">
      <c r="A16" s="93" t="s">
        <v>637</v>
      </c>
      <c r="B16" s="94" t="s">
        <v>638</v>
      </c>
    </row>
    <row r="17" spans="1:7" ht="16.899999999999999" customHeight="1">
      <c r="A17" s="20" t="s">
        <v>26</v>
      </c>
      <c r="B17" s="21" t="s">
        <v>592</v>
      </c>
    </row>
    <row r="18" spans="1:7" ht="75.400000000000006" customHeight="1">
      <c r="A18" s="31" t="s">
        <v>235</v>
      </c>
      <c r="B18" s="31" t="s">
        <v>107</v>
      </c>
      <c r="C18" s="31" t="s">
        <v>19</v>
      </c>
      <c r="D18" s="31" t="s">
        <v>108</v>
      </c>
      <c r="E18" s="31" t="s">
        <v>109</v>
      </c>
      <c r="F18" s="31" t="s">
        <v>110</v>
      </c>
      <c r="G18" s="31" t="s">
        <v>111</v>
      </c>
    </row>
    <row r="19" spans="1:7" ht="60.65" customHeight="1">
      <c r="A19" s="169" t="s">
        <v>721</v>
      </c>
      <c r="B19" s="168" t="s">
        <v>722</v>
      </c>
      <c r="C19" s="169"/>
      <c r="D19" s="171"/>
      <c r="E19" s="171"/>
      <c r="F19" s="171"/>
      <c r="G19" s="170"/>
    </row>
    <row r="20" spans="1:7" ht="39" customHeight="1">
      <c r="A20" s="164"/>
      <c r="B20" s="163"/>
      <c r="C20" s="165"/>
      <c r="D20" s="167"/>
      <c r="E20" s="173"/>
      <c r="F20" s="167"/>
      <c r="G20" s="166"/>
    </row>
    <row r="21" spans="1:7" ht="39" customHeight="1">
      <c r="A21" s="169"/>
      <c r="B21" s="168" t="s">
        <v>723</v>
      </c>
      <c r="C21" s="169" t="s">
        <v>724</v>
      </c>
      <c r="D21" s="171"/>
      <c r="E21" s="171"/>
      <c r="F21" s="171"/>
      <c r="G21" s="170"/>
    </row>
    <row r="22" spans="1:7" ht="73.5" customHeight="1">
      <c r="A22" s="169" t="s">
        <v>725</v>
      </c>
      <c r="B22" s="168" t="s">
        <v>726</v>
      </c>
      <c r="C22" s="169" t="s">
        <v>727</v>
      </c>
      <c r="D22" s="171"/>
      <c r="E22" s="171"/>
      <c r="F22" s="171"/>
      <c r="G22" s="170"/>
    </row>
    <row r="23" spans="1:7" ht="39" customHeight="1">
      <c r="A23" s="164"/>
      <c r="B23" s="163"/>
      <c r="C23" s="165"/>
      <c r="D23" s="167"/>
      <c r="E23" s="173"/>
      <c r="F23" s="167"/>
      <c r="G23" s="166"/>
    </row>
    <row r="24" spans="1:7" ht="34" customHeight="1">
      <c r="A24" s="164" t="s">
        <v>728</v>
      </c>
      <c r="B24" s="163" t="s">
        <v>729</v>
      </c>
      <c r="C24" s="165" t="s">
        <v>730</v>
      </c>
      <c r="D24" s="167">
        <v>4357835</v>
      </c>
      <c r="E24" s="173">
        <v>25750</v>
      </c>
      <c r="F24" s="167">
        <v>112214251250</v>
      </c>
      <c r="G24" s="166">
        <v>4.2376812936840903E-2</v>
      </c>
    </row>
    <row r="25" spans="1:7" ht="34" customHeight="1">
      <c r="A25" s="164" t="s">
        <v>731</v>
      </c>
      <c r="B25" s="163" t="s">
        <v>732</v>
      </c>
      <c r="C25" s="165" t="s">
        <v>733</v>
      </c>
      <c r="D25" s="167">
        <v>141100</v>
      </c>
      <c r="E25" s="173">
        <v>103800</v>
      </c>
      <c r="F25" s="167">
        <v>14646180000</v>
      </c>
      <c r="G25" s="166">
        <v>5.5310125334842499E-3</v>
      </c>
    </row>
    <row r="26" spans="1:7" ht="34" customHeight="1">
      <c r="A26" s="164" t="s">
        <v>734</v>
      </c>
      <c r="B26" s="163" t="s">
        <v>735</v>
      </c>
      <c r="C26" s="165" t="s">
        <v>736</v>
      </c>
      <c r="D26" s="167">
        <v>488000</v>
      </c>
      <c r="E26" s="173">
        <v>21450</v>
      </c>
      <c r="F26" s="167">
        <v>10467600000</v>
      </c>
      <c r="G26" s="166">
        <v>3.9530052747883604E-3</v>
      </c>
    </row>
    <row r="27" spans="1:7" ht="34" customHeight="1">
      <c r="A27" s="164" t="s">
        <v>737</v>
      </c>
      <c r="B27" s="163" t="s">
        <v>738</v>
      </c>
      <c r="C27" s="165" t="s">
        <v>739</v>
      </c>
      <c r="D27" s="167">
        <v>305300</v>
      </c>
      <c r="E27" s="173">
        <v>49700</v>
      </c>
      <c r="F27" s="167">
        <v>15173410000</v>
      </c>
      <c r="G27" s="166">
        <v>5.7301167188779098E-3</v>
      </c>
    </row>
    <row r="28" spans="1:7" ht="34" customHeight="1">
      <c r="A28" s="164" t="s">
        <v>740</v>
      </c>
      <c r="B28" s="163" t="s">
        <v>741</v>
      </c>
      <c r="C28" s="165" t="s">
        <v>742</v>
      </c>
      <c r="D28" s="167">
        <v>116800</v>
      </c>
      <c r="E28" s="173">
        <v>118600</v>
      </c>
      <c r="F28" s="167">
        <v>13852480000</v>
      </c>
      <c r="G28" s="166">
        <v>5.2312780875177003E-3</v>
      </c>
    </row>
    <row r="29" spans="1:7" ht="34" customHeight="1">
      <c r="A29" s="164" t="s">
        <v>743</v>
      </c>
      <c r="B29" s="163" t="s">
        <v>744</v>
      </c>
      <c r="C29" s="165" t="s">
        <v>745</v>
      </c>
      <c r="D29" s="167">
        <v>167400</v>
      </c>
      <c r="E29" s="173">
        <v>45400</v>
      </c>
      <c r="F29" s="167">
        <v>7599960000</v>
      </c>
      <c r="G29" s="166">
        <v>2.8700640039914099E-3</v>
      </c>
    </row>
    <row r="30" spans="1:7" ht="34" customHeight="1">
      <c r="A30" s="164" t="s">
        <v>746</v>
      </c>
      <c r="B30" s="163" t="s">
        <v>747</v>
      </c>
      <c r="C30" s="165" t="s">
        <v>748</v>
      </c>
      <c r="D30" s="167">
        <v>143000</v>
      </c>
      <c r="E30" s="173">
        <v>63800</v>
      </c>
      <c r="F30" s="167">
        <v>9123400000</v>
      </c>
      <c r="G30" s="166">
        <v>3.44537891436472E-3</v>
      </c>
    </row>
    <row r="31" spans="1:7" ht="34" customHeight="1">
      <c r="A31" s="164" t="s">
        <v>749</v>
      </c>
      <c r="B31" s="163" t="s">
        <v>750</v>
      </c>
      <c r="C31" s="165" t="s">
        <v>751</v>
      </c>
      <c r="D31" s="167">
        <v>4288226</v>
      </c>
      <c r="E31" s="173">
        <v>36950</v>
      </c>
      <c r="F31" s="167">
        <v>158449950700</v>
      </c>
      <c r="G31" s="166">
        <v>5.9837354399007898E-2</v>
      </c>
    </row>
    <row r="32" spans="1:7" ht="34" customHeight="1">
      <c r="A32" s="164" t="s">
        <v>752</v>
      </c>
      <c r="B32" s="163" t="s">
        <v>753</v>
      </c>
      <c r="C32" s="165" t="s">
        <v>754</v>
      </c>
      <c r="D32" s="167">
        <v>90800</v>
      </c>
      <c r="E32" s="173">
        <v>126400</v>
      </c>
      <c r="F32" s="167">
        <v>11477120000</v>
      </c>
      <c r="G32" s="166">
        <v>4.33424241462981E-3</v>
      </c>
    </row>
    <row r="33" spans="1:7" ht="34" customHeight="1">
      <c r="A33" s="164" t="s">
        <v>755</v>
      </c>
      <c r="B33" s="163" t="s">
        <v>756</v>
      </c>
      <c r="C33" s="165" t="s">
        <v>757</v>
      </c>
      <c r="D33" s="167">
        <v>1047866</v>
      </c>
      <c r="E33" s="173">
        <v>29000</v>
      </c>
      <c r="F33" s="167">
        <v>30388114000</v>
      </c>
      <c r="G33" s="166">
        <v>1.1475827786013E-2</v>
      </c>
    </row>
    <row r="34" spans="1:7" ht="34" customHeight="1">
      <c r="A34" s="164" t="s">
        <v>758</v>
      </c>
      <c r="B34" s="163" t="s">
        <v>759</v>
      </c>
      <c r="C34" s="165" t="s">
        <v>760</v>
      </c>
      <c r="D34" s="167">
        <v>766800</v>
      </c>
      <c r="E34" s="173">
        <v>38500</v>
      </c>
      <c r="F34" s="167">
        <v>29521800000</v>
      </c>
      <c r="G34" s="166">
        <v>1.1148671244721501E-2</v>
      </c>
    </row>
    <row r="35" spans="1:7" ht="34" customHeight="1">
      <c r="A35" s="164" t="s">
        <v>761</v>
      </c>
      <c r="B35" s="163" t="s">
        <v>762</v>
      </c>
      <c r="C35" s="165" t="s">
        <v>763</v>
      </c>
      <c r="D35" s="167">
        <v>636800</v>
      </c>
      <c r="E35" s="173">
        <v>115500</v>
      </c>
      <c r="F35" s="167">
        <v>73550400000</v>
      </c>
      <c r="G35" s="166">
        <v>2.7775719282623901E-2</v>
      </c>
    </row>
    <row r="36" spans="1:7" ht="34" customHeight="1">
      <c r="A36" s="164" t="s">
        <v>764</v>
      </c>
      <c r="B36" s="163" t="s">
        <v>765</v>
      </c>
      <c r="C36" s="165" t="s">
        <v>766</v>
      </c>
      <c r="D36" s="167">
        <v>618080</v>
      </c>
      <c r="E36" s="173">
        <v>46850</v>
      </c>
      <c r="F36" s="167">
        <v>28957048000</v>
      </c>
      <c r="G36" s="166">
        <v>1.09353971766498E-2</v>
      </c>
    </row>
    <row r="37" spans="1:7" ht="34" customHeight="1">
      <c r="A37" s="164" t="s">
        <v>767</v>
      </c>
      <c r="B37" s="163" t="s">
        <v>768</v>
      </c>
      <c r="C37" s="165" t="s">
        <v>769</v>
      </c>
      <c r="D37" s="167">
        <v>376800</v>
      </c>
      <c r="E37" s="173">
        <v>56700</v>
      </c>
      <c r="F37" s="167">
        <v>21364560000</v>
      </c>
      <c r="G37" s="166">
        <v>8.0681549135935993E-3</v>
      </c>
    </row>
    <row r="38" spans="1:7" ht="34" customHeight="1">
      <c r="A38" s="164" t="s">
        <v>770</v>
      </c>
      <c r="B38" s="163" t="s">
        <v>771</v>
      </c>
      <c r="C38" s="165" t="s">
        <v>772</v>
      </c>
      <c r="D38" s="167">
        <v>788800</v>
      </c>
      <c r="E38" s="173">
        <v>35600</v>
      </c>
      <c r="F38" s="167">
        <v>28081280000</v>
      </c>
      <c r="G38" s="166">
        <v>1.0604670408002699E-2</v>
      </c>
    </row>
    <row r="39" spans="1:7" ht="34" customHeight="1">
      <c r="A39" s="164" t="s">
        <v>773</v>
      </c>
      <c r="B39" s="163" t="s">
        <v>774</v>
      </c>
      <c r="C39" s="165" t="s">
        <v>775</v>
      </c>
      <c r="D39" s="167">
        <v>1718800</v>
      </c>
      <c r="E39" s="173">
        <v>16700</v>
      </c>
      <c r="F39" s="167">
        <v>28703960000</v>
      </c>
      <c r="G39" s="166">
        <v>1.08398205211619E-2</v>
      </c>
    </row>
    <row r="40" spans="1:7" ht="34" customHeight="1">
      <c r="A40" s="164" t="s">
        <v>776</v>
      </c>
      <c r="B40" s="163" t="s">
        <v>777</v>
      </c>
      <c r="C40" s="165" t="s">
        <v>778</v>
      </c>
      <c r="D40" s="167">
        <v>47600</v>
      </c>
      <c r="E40" s="173">
        <v>88000</v>
      </c>
      <c r="F40" s="167">
        <v>4188800000</v>
      </c>
      <c r="G40" s="166">
        <v>1.5818667598144201E-3</v>
      </c>
    </row>
    <row r="41" spans="1:7" ht="34" customHeight="1">
      <c r="A41" s="164" t="s">
        <v>779</v>
      </c>
      <c r="B41" s="163" t="s">
        <v>780</v>
      </c>
      <c r="C41" s="165" t="s">
        <v>781</v>
      </c>
      <c r="D41" s="167">
        <v>2306571</v>
      </c>
      <c r="E41" s="173">
        <v>134500</v>
      </c>
      <c r="F41" s="167">
        <v>310233799500</v>
      </c>
      <c r="G41" s="166">
        <v>0.117157308823525</v>
      </c>
    </row>
    <row r="42" spans="1:7" ht="34" customHeight="1">
      <c r="A42" s="164" t="s">
        <v>782</v>
      </c>
      <c r="B42" s="163" t="s">
        <v>783</v>
      </c>
      <c r="C42" s="165" t="s">
        <v>784</v>
      </c>
      <c r="D42" s="167">
        <v>386800</v>
      </c>
      <c r="E42" s="173">
        <v>178000</v>
      </c>
      <c r="F42" s="167">
        <v>68850400000</v>
      </c>
      <c r="G42" s="166">
        <v>2.60008019384853E-2</v>
      </c>
    </row>
    <row r="43" spans="1:7" ht="34" customHeight="1">
      <c r="A43" s="164" t="s">
        <v>785</v>
      </c>
      <c r="B43" s="163" t="s">
        <v>786</v>
      </c>
      <c r="C43" s="165" t="s">
        <v>787</v>
      </c>
      <c r="D43" s="167">
        <v>341500</v>
      </c>
      <c r="E43" s="173">
        <v>78000</v>
      </c>
      <c r="F43" s="167">
        <v>26637000000</v>
      </c>
      <c r="G43" s="166">
        <v>1.00592496374085E-2</v>
      </c>
    </row>
    <row r="44" spans="1:7" ht="34" customHeight="1">
      <c r="A44" s="164" t="s">
        <v>788</v>
      </c>
      <c r="B44" s="163" t="s">
        <v>789</v>
      </c>
      <c r="C44" s="165" t="s">
        <v>790</v>
      </c>
      <c r="D44" s="167">
        <v>848800</v>
      </c>
      <c r="E44" s="173">
        <v>28200</v>
      </c>
      <c r="F44" s="167">
        <v>23936160000</v>
      </c>
      <c r="G44" s="166">
        <v>9.0392990502290993E-3</v>
      </c>
    </row>
    <row r="45" spans="1:7" ht="34" customHeight="1">
      <c r="A45" s="164" t="s">
        <v>791</v>
      </c>
      <c r="B45" s="163" t="s">
        <v>792</v>
      </c>
      <c r="C45" s="165" t="s">
        <v>793</v>
      </c>
      <c r="D45" s="167">
        <v>758900</v>
      </c>
      <c r="E45" s="173">
        <v>27950</v>
      </c>
      <c r="F45" s="167">
        <v>21211255000</v>
      </c>
      <c r="G45" s="166">
        <v>8.0102605086056905E-3</v>
      </c>
    </row>
    <row r="46" spans="1:7" ht="34" customHeight="1">
      <c r="A46" s="164" t="s">
        <v>794</v>
      </c>
      <c r="B46" s="163" t="s">
        <v>795</v>
      </c>
      <c r="C46" s="165" t="s">
        <v>796</v>
      </c>
      <c r="D46" s="167">
        <v>468800</v>
      </c>
      <c r="E46" s="173">
        <v>12150</v>
      </c>
      <c r="F46" s="167">
        <v>5695920000</v>
      </c>
      <c r="G46" s="166">
        <v>2.1510185529417E-3</v>
      </c>
    </row>
    <row r="47" spans="1:7" ht="34" customHeight="1">
      <c r="A47" s="164" t="s">
        <v>797</v>
      </c>
      <c r="B47" s="163" t="s">
        <v>798</v>
      </c>
      <c r="C47" s="165" t="s">
        <v>799</v>
      </c>
      <c r="D47" s="167">
        <v>2468900</v>
      </c>
      <c r="E47" s="173">
        <v>26350</v>
      </c>
      <c r="F47" s="167">
        <v>65055515000</v>
      </c>
      <c r="G47" s="166">
        <v>2.4567694022419002E-2</v>
      </c>
    </row>
    <row r="48" spans="1:7" ht="34" customHeight="1">
      <c r="A48" s="164" t="s">
        <v>800</v>
      </c>
      <c r="B48" s="163" t="s">
        <v>801</v>
      </c>
      <c r="C48" s="165" t="s">
        <v>802</v>
      </c>
      <c r="D48" s="167">
        <v>668000</v>
      </c>
      <c r="E48" s="173">
        <v>21300</v>
      </c>
      <c r="F48" s="167">
        <v>14228400000</v>
      </c>
      <c r="G48" s="166">
        <v>5.3732412636897297E-3</v>
      </c>
    </row>
    <row r="49" spans="1:7" ht="34" customHeight="1">
      <c r="A49" s="164" t="s">
        <v>803</v>
      </c>
      <c r="B49" s="163" t="s">
        <v>804</v>
      </c>
      <c r="C49" s="165" t="s">
        <v>805</v>
      </c>
      <c r="D49" s="167">
        <v>648600</v>
      </c>
      <c r="E49" s="173">
        <v>21050</v>
      </c>
      <c r="F49" s="167">
        <v>13653030000</v>
      </c>
      <c r="G49" s="166">
        <v>5.1559573929882401E-3</v>
      </c>
    </row>
    <row r="50" spans="1:7" ht="34" customHeight="1">
      <c r="A50" s="164" t="s">
        <v>806</v>
      </c>
      <c r="B50" s="163" t="s">
        <v>807</v>
      </c>
      <c r="C50" s="165" t="s">
        <v>808</v>
      </c>
      <c r="D50" s="167">
        <v>740100</v>
      </c>
      <c r="E50" s="173">
        <v>57600</v>
      </c>
      <c r="F50" s="167">
        <v>42629760000</v>
      </c>
      <c r="G50" s="166">
        <v>1.60987873192481E-2</v>
      </c>
    </row>
    <row r="51" spans="1:7" ht="34" customHeight="1">
      <c r="A51" s="164" t="s">
        <v>809</v>
      </c>
      <c r="B51" s="163" t="s">
        <v>810</v>
      </c>
      <c r="C51" s="165" t="s">
        <v>811</v>
      </c>
      <c r="D51" s="167">
        <v>836800</v>
      </c>
      <c r="E51" s="173">
        <v>38900</v>
      </c>
      <c r="F51" s="167">
        <v>32551520000</v>
      </c>
      <c r="G51" s="166">
        <v>1.22928207289521E-2</v>
      </c>
    </row>
    <row r="52" spans="1:7" ht="34" customHeight="1">
      <c r="A52" s="164" t="s">
        <v>812</v>
      </c>
      <c r="B52" s="163" t="s">
        <v>813</v>
      </c>
      <c r="C52" s="165" t="s">
        <v>814</v>
      </c>
      <c r="D52" s="167">
        <v>147907</v>
      </c>
      <c r="E52" s="173">
        <v>36800</v>
      </c>
      <c r="F52" s="167">
        <v>5442977600</v>
      </c>
      <c r="G52" s="166">
        <v>2.0554968821272202E-3</v>
      </c>
    </row>
    <row r="53" spans="1:7" ht="34" customHeight="1">
      <c r="A53" s="164" t="s">
        <v>815</v>
      </c>
      <c r="B53" s="163" t="s">
        <v>816</v>
      </c>
      <c r="C53" s="165" t="s">
        <v>817</v>
      </c>
      <c r="D53" s="167">
        <v>388000</v>
      </c>
      <c r="E53" s="173">
        <v>31950</v>
      </c>
      <c r="F53" s="167">
        <v>12396600000</v>
      </c>
      <c r="G53" s="166">
        <v>4.6814766698614202E-3</v>
      </c>
    </row>
    <row r="54" spans="1:7" ht="34" customHeight="1">
      <c r="A54" s="164" t="s">
        <v>818</v>
      </c>
      <c r="B54" s="163" t="s">
        <v>819</v>
      </c>
      <c r="C54" s="165" t="s">
        <v>820</v>
      </c>
      <c r="D54" s="167">
        <v>4341800</v>
      </c>
      <c r="E54" s="173">
        <v>25700</v>
      </c>
      <c r="F54" s="167">
        <v>111584260000</v>
      </c>
      <c r="G54" s="166">
        <v>4.2138901788696101E-2</v>
      </c>
    </row>
    <row r="55" spans="1:7" ht="34" customHeight="1">
      <c r="A55" s="164" t="s">
        <v>821</v>
      </c>
      <c r="B55" s="163" t="s">
        <v>822</v>
      </c>
      <c r="C55" s="165" t="s">
        <v>823</v>
      </c>
      <c r="D55" s="167">
        <v>366025</v>
      </c>
      <c r="E55" s="173">
        <v>31900</v>
      </c>
      <c r="F55" s="167">
        <v>11676197500</v>
      </c>
      <c r="G55" s="166">
        <v>4.4094224375186902E-3</v>
      </c>
    </row>
    <row r="56" spans="1:7" ht="34" customHeight="1">
      <c r="A56" s="164" t="s">
        <v>824</v>
      </c>
      <c r="B56" s="163" t="s">
        <v>825</v>
      </c>
      <c r="C56" s="165" t="s">
        <v>826</v>
      </c>
      <c r="D56" s="167">
        <v>85800</v>
      </c>
      <c r="E56" s="173">
        <v>199000</v>
      </c>
      <c r="F56" s="167">
        <v>17074200000</v>
      </c>
      <c r="G56" s="166">
        <v>6.4479348334662602E-3</v>
      </c>
    </row>
    <row r="57" spans="1:7" ht="34" customHeight="1">
      <c r="A57" s="164" t="s">
        <v>827</v>
      </c>
      <c r="B57" s="163" t="s">
        <v>828</v>
      </c>
      <c r="C57" s="165" t="s">
        <v>829</v>
      </c>
      <c r="D57" s="167">
        <v>3948000</v>
      </c>
      <c r="E57" s="173">
        <v>68100</v>
      </c>
      <c r="F57" s="167">
        <v>268858800000</v>
      </c>
      <c r="G57" s="166">
        <v>0.101532371754105</v>
      </c>
    </row>
    <row r="58" spans="1:7" ht="34" customHeight="1">
      <c r="A58" s="164" t="s">
        <v>830</v>
      </c>
      <c r="B58" s="163" t="s">
        <v>831</v>
      </c>
      <c r="C58" s="165" t="s">
        <v>832</v>
      </c>
      <c r="D58" s="167">
        <v>1138800</v>
      </c>
      <c r="E58" s="173">
        <v>22100</v>
      </c>
      <c r="F58" s="167">
        <v>25167480000</v>
      </c>
      <c r="G58" s="166">
        <v>9.5042971830343603E-3</v>
      </c>
    </row>
    <row r="59" spans="1:7" ht="34" customHeight="1">
      <c r="A59" s="164" t="s">
        <v>833</v>
      </c>
      <c r="B59" s="163" t="s">
        <v>834</v>
      </c>
      <c r="C59" s="165" t="s">
        <v>835</v>
      </c>
      <c r="D59" s="167">
        <v>338200</v>
      </c>
      <c r="E59" s="173">
        <v>41550</v>
      </c>
      <c r="F59" s="167">
        <v>14052210000</v>
      </c>
      <c r="G59" s="166">
        <v>5.3067045218038204E-3</v>
      </c>
    </row>
    <row r="60" spans="1:7" ht="34" customHeight="1">
      <c r="A60" s="164" t="s">
        <v>836</v>
      </c>
      <c r="B60" s="163" t="s">
        <v>837</v>
      </c>
      <c r="C60" s="165" t="s">
        <v>838</v>
      </c>
      <c r="D60" s="167">
        <v>910500</v>
      </c>
      <c r="E60" s="173">
        <v>12800</v>
      </c>
      <c r="F60" s="167">
        <v>11654400000</v>
      </c>
      <c r="G60" s="166">
        <v>4.4011907862827604E-3</v>
      </c>
    </row>
    <row r="61" spans="1:7" ht="34" customHeight="1">
      <c r="A61" s="164" t="s">
        <v>839</v>
      </c>
      <c r="B61" s="163" t="s">
        <v>840</v>
      </c>
      <c r="C61" s="165" t="s">
        <v>841</v>
      </c>
      <c r="D61" s="167">
        <v>127900</v>
      </c>
      <c r="E61" s="173">
        <v>29000</v>
      </c>
      <c r="F61" s="167">
        <v>3709100000</v>
      </c>
      <c r="G61" s="166">
        <v>1.4007118981158499E-3</v>
      </c>
    </row>
    <row r="62" spans="1:7" ht="34" customHeight="1">
      <c r="A62" s="164" t="s">
        <v>842</v>
      </c>
      <c r="B62" s="163" t="s">
        <v>843</v>
      </c>
      <c r="C62" s="165" t="s">
        <v>844</v>
      </c>
      <c r="D62" s="167">
        <v>637600</v>
      </c>
      <c r="E62" s="173">
        <v>22500</v>
      </c>
      <c r="F62" s="167">
        <v>14346000000</v>
      </c>
      <c r="G62" s="166">
        <v>5.41765196149201E-3</v>
      </c>
    </row>
    <row r="63" spans="1:7" ht="34" customHeight="1">
      <c r="A63" s="164" t="s">
        <v>845</v>
      </c>
      <c r="B63" s="163" t="s">
        <v>846</v>
      </c>
      <c r="C63" s="165" t="s">
        <v>847</v>
      </c>
      <c r="D63" s="167">
        <v>550900</v>
      </c>
      <c r="E63" s="173">
        <v>98800</v>
      </c>
      <c r="F63" s="167">
        <v>54428920000</v>
      </c>
      <c r="G63" s="166">
        <v>2.0554645559730401E-2</v>
      </c>
    </row>
    <row r="64" spans="1:7" ht="34" customHeight="1">
      <c r="A64" s="164" t="s">
        <v>848</v>
      </c>
      <c r="B64" s="163" t="s">
        <v>849</v>
      </c>
      <c r="C64" s="165" t="s">
        <v>850</v>
      </c>
      <c r="D64" s="167">
        <v>278400</v>
      </c>
      <c r="E64" s="173">
        <v>60700</v>
      </c>
      <c r="F64" s="167">
        <v>16898880000</v>
      </c>
      <c r="G64" s="166">
        <v>6.3817266401099996E-3</v>
      </c>
    </row>
    <row r="65" spans="1:7" ht="34" customHeight="1">
      <c r="A65" s="164" t="s">
        <v>851</v>
      </c>
      <c r="B65" s="163" t="s">
        <v>852</v>
      </c>
      <c r="C65" s="165" t="s">
        <v>853</v>
      </c>
      <c r="D65" s="167">
        <v>338600</v>
      </c>
      <c r="E65" s="173">
        <v>27700</v>
      </c>
      <c r="F65" s="167">
        <v>9379220000</v>
      </c>
      <c r="G65" s="166">
        <v>3.54198728776419E-3</v>
      </c>
    </row>
    <row r="66" spans="1:7" ht="34" customHeight="1">
      <c r="A66" s="164" t="s">
        <v>854</v>
      </c>
      <c r="B66" s="163" t="s">
        <v>855</v>
      </c>
      <c r="C66" s="165" t="s">
        <v>856</v>
      </c>
      <c r="D66" s="167">
        <v>857700</v>
      </c>
      <c r="E66" s="173">
        <v>40600</v>
      </c>
      <c r="F66" s="167">
        <v>34822620000</v>
      </c>
      <c r="G66" s="166">
        <v>1.3150483448159099E-2</v>
      </c>
    </row>
    <row r="67" spans="1:7" ht="34" customHeight="1">
      <c r="A67" s="164" t="s">
        <v>857</v>
      </c>
      <c r="B67" s="163" t="s">
        <v>858</v>
      </c>
      <c r="C67" s="165" t="s">
        <v>859</v>
      </c>
      <c r="D67" s="167">
        <v>586800</v>
      </c>
      <c r="E67" s="173">
        <v>27950</v>
      </c>
      <c r="F67" s="167">
        <v>16401060000</v>
      </c>
      <c r="G67" s="166">
        <v>6.1937289055867904E-3</v>
      </c>
    </row>
    <row r="68" spans="1:7" ht="34" customHeight="1">
      <c r="A68" s="164" t="s">
        <v>860</v>
      </c>
      <c r="B68" s="163" t="s">
        <v>861</v>
      </c>
      <c r="C68" s="165" t="s">
        <v>862</v>
      </c>
      <c r="D68" s="167">
        <v>316800</v>
      </c>
      <c r="E68" s="173">
        <v>57800</v>
      </c>
      <c r="F68" s="167">
        <v>18311040000</v>
      </c>
      <c r="G68" s="166">
        <v>6.9150175500459097E-3</v>
      </c>
    </row>
    <row r="69" spans="1:7" ht="34" customHeight="1">
      <c r="A69" s="164" t="s">
        <v>863</v>
      </c>
      <c r="B69" s="163" t="s">
        <v>864</v>
      </c>
      <c r="C69" s="165" t="s">
        <v>865</v>
      </c>
      <c r="D69" s="167">
        <v>720160</v>
      </c>
      <c r="E69" s="173">
        <v>27900</v>
      </c>
      <c r="F69" s="167">
        <v>20092464000</v>
      </c>
      <c r="G69" s="166">
        <v>7.5877580510809702E-3</v>
      </c>
    </row>
    <row r="70" spans="1:7" ht="34" customHeight="1">
      <c r="A70" s="164" t="s">
        <v>866</v>
      </c>
      <c r="B70" s="163" t="s">
        <v>867</v>
      </c>
      <c r="C70" s="165" t="s">
        <v>868</v>
      </c>
      <c r="D70" s="167">
        <v>2206100</v>
      </c>
      <c r="E70" s="173">
        <v>33350</v>
      </c>
      <c r="F70" s="167">
        <v>73573435000</v>
      </c>
      <c r="G70" s="166">
        <v>2.77844182658201E-2</v>
      </c>
    </row>
    <row r="71" spans="1:7" ht="34" customHeight="1">
      <c r="A71" s="164" t="s">
        <v>869</v>
      </c>
      <c r="B71" s="163" t="s">
        <v>870</v>
      </c>
      <c r="C71" s="165" t="s">
        <v>871</v>
      </c>
      <c r="D71" s="167">
        <v>4412400</v>
      </c>
      <c r="E71" s="173">
        <v>24200</v>
      </c>
      <c r="F71" s="167">
        <v>106780080000</v>
      </c>
      <c r="G71" s="166">
        <v>4.0324641702235701E-2</v>
      </c>
    </row>
    <row r="72" spans="1:7" ht="34" customHeight="1">
      <c r="A72" s="164" t="s">
        <v>872</v>
      </c>
      <c r="B72" s="163" t="s">
        <v>873</v>
      </c>
      <c r="C72" s="165" t="s">
        <v>874</v>
      </c>
      <c r="D72" s="167">
        <v>1668000</v>
      </c>
      <c r="E72" s="173">
        <v>18150</v>
      </c>
      <c r="F72" s="167">
        <v>30274200000</v>
      </c>
      <c r="G72" s="166">
        <v>1.14328090765789E-2</v>
      </c>
    </row>
    <row r="73" spans="1:7" ht="34" customHeight="1">
      <c r="A73" s="164" t="s">
        <v>875</v>
      </c>
      <c r="B73" s="163" t="s">
        <v>876</v>
      </c>
      <c r="C73" s="165" t="s">
        <v>877</v>
      </c>
      <c r="D73" s="167">
        <v>768000</v>
      </c>
      <c r="E73" s="173">
        <v>10100</v>
      </c>
      <c r="F73" s="167">
        <v>7756800000</v>
      </c>
      <c r="G73" s="166">
        <v>2.9292933734073102E-3</v>
      </c>
    </row>
    <row r="74" spans="1:7" ht="34" customHeight="1">
      <c r="A74" s="164" t="s">
        <v>878</v>
      </c>
      <c r="B74" s="163" t="s">
        <v>879</v>
      </c>
      <c r="C74" s="165" t="s">
        <v>880</v>
      </c>
      <c r="D74" s="167">
        <v>946764</v>
      </c>
      <c r="E74" s="173">
        <v>26400</v>
      </c>
      <c r="F74" s="167">
        <v>24994569600</v>
      </c>
      <c r="G74" s="166">
        <v>9.4389989558126709E-3</v>
      </c>
    </row>
    <row r="75" spans="1:7" ht="34" customHeight="1">
      <c r="A75" s="164" t="s">
        <v>881</v>
      </c>
      <c r="B75" s="163" t="s">
        <v>882</v>
      </c>
      <c r="C75" s="165" t="s">
        <v>883</v>
      </c>
      <c r="D75" s="167">
        <v>667600</v>
      </c>
      <c r="E75" s="173">
        <v>92000</v>
      </c>
      <c r="F75" s="167">
        <v>61419200000</v>
      </c>
      <c r="G75" s="166">
        <v>2.3194468796408099E-2</v>
      </c>
    </row>
    <row r="76" spans="1:7" ht="34" customHeight="1">
      <c r="A76" s="164" t="s">
        <v>884</v>
      </c>
      <c r="B76" s="163" t="s">
        <v>885</v>
      </c>
      <c r="C76" s="165" t="s">
        <v>886</v>
      </c>
      <c r="D76" s="167">
        <v>588000</v>
      </c>
      <c r="E76" s="173">
        <v>36700</v>
      </c>
      <c r="F76" s="167">
        <v>21579600000</v>
      </c>
      <c r="G76" s="166">
        <v>8.1493630467177596E-3</v>
      </c>
    </row>
    <row r="77" spans="1:7" ht="34" customHeight="1">
      <c r="A77" s="164" t="s">
        <v>887</v>
      </c>
      <c r="B77" s="163" t="s">
        <v>888</v>
      </c>
      <c r="C77" s="165" t="s">
        <v>889</v>
      </c>
      <c r="D77" s="167">
        <v>768682</v>
      </c>
      <c r="E77" s="173">
        <v>22400</v>
      </c>
      <c r="F77" s="167">
        <v>17218476800</v>
      </c>
      <c r="G77" s="166">
        <v>6.5024198110570702E-3</v>
      </c>
    </row>
    <row r="78" spans="1:7" ht="34" customHeight="1">
      <c r="A78" s="164" t="s">
        <v>890</v>
      </c>
      <c r="B78" s="163" t="s">
        <v>891</v>
      </c>
      <c r="C78" s="165" t="s">
        <v>892</v>
      </c>
      <c r="D78" s="167">
        <v>1123600</v>
      </c>
      <c r="E78" s="173">
        <v>44800</v>
      </c>
      <c r="F78" s="167">
        <v>50337280000</v>
      </c>
      <c r="G78" s="166">
        <v>1.9009470495481198E-2</v>
      </c>
    </row>
    <row r="79" spans="1:7" ht="34" customHeight="1">
      <c r="A79" s="164" t="s">
        <v>893</v>
      </c>
      <c r="B79" s="163" t="s">
        <v>894</v>
      </c>
      <c r="C79" s="165" t="s">
        <v>895</v>
      </c>
      <c r="D79" s="167">
        <v>257200</v>
      </c>
      <c r="E79" s="173">
        <v>39100</v>
      </c>
      <c r="F79" s="167">
        <v>10056520000</v>
      </c>
      <c r="G79" s="166">
        <v>3.79776420631421E-3</v>
      </c>
    </row>
    <row r="80" spans="1:7" ht="34" customHeight="1">
      <c r="A80" s="164" t="s">
        <v>896</v>
      </c>
      <c r="B80" s="163" t="s">
        <v>897</v>
      </c>
      <c r="C80" s="165" t="s">
        <v>898</v>
      </c>
      <c r="D80" s="167">
        <v>2518600</v>
      </c>
      <c r="E80" s="173">
        <v>42800</v>
      </c>
      <c r="F80" s="167">
        <v>107796080000</v>
      </c>
      <c r="G80" s="166">
        <v>4.0708325962160202E-2</v>
      </c>
    </row>
    <row r="81" spans="1:7" ht="34" customHeight="1">
      <c r="A81" s="164" t="s">
        <v>899</v>
      </c>
      <c r="B81" s="163" t="s">
        <v>900</v>
      </c>
      <c r="C81" s="165" t="s">
        <v>901</v>
      </c>
      <c r="D81" s="167">
        <v>367000</v>
      </c>
      <c r="E81" s="173">
        <v>70100</v>
      </c>
      <c r="F81" s="167">
        <v>25726700000</v>
      </c>
      <c r="G81" s="166">
        <v>9.7154821356278103E-3</v>
      </c>
    </row>
    <row r="82" spans="1:7" ht="34" customHeight="1">
      <c r="A82" s="164" t="s">
        <v>902</v>
      </c>
      <c r="B82" s="163" t="s">
        <v>903</v>
      </c>
      <c r="C82" s="165" t="s">
        <v>904</v>
      </c>
      <c r="D82" s="167">
        <v>4257700</v>
      </c>
      <c r="E82" s="173">
        <v>20100</v>
      </c>
      <c r="F82" s="167">
        <v>85579770000</v>
      </c>
      <c r="G82" s="166">
        <v>3.2318514485189999E-2</v>
      </c>
    </row>
    <row r="83" spans="1:7" ht="34" customHeight="1">
      <c r="A83" s="164" t="s">
        <v>905</v>
      </c>
      <c r="B83" s="163" t="s">
        <v>906</v>
      </c>
      <c r="C83" s="165" t="s">
        <v>907</v>
      </c>
      <c r="D83" s="167">
        <v>296800</v>
      </c>
      <c r="E83" s="173">
        <v>78600</v>
      </c>
      <c r="F83" s="167">
        <v>23328480000</v>
      </c>
      <c r="G83" s="166">
        <v>8.8098135668916201E-3</v>
      </c>
    </row>
    <row r="84" spans="1:7" ht="39" customHeight="1">
      <c r="A84" s="169"/>
      <c r="B84" s="168" t="s">
        <v>908</v>
      </c>
      <c r="C84" s="169" t="s">
        <v>909</v>
      </c>
      <c r="D84" s="171"/>
      <c r="E84" s="171"/>
      <c r="F84" s="171">
        <v>2535160693950</v>
      </c>
      <c r="G84" s="170">
        <v>0.95738312465326003</v>
      </c>
    </row>
    <row r="85" spans="1:7" ht="83.15" customHeight="1">
      <c r="A85" s="169" t="s">
        <v>910</v>
      </c>
      <c r="B85" s="168" t="s">
        <v>911</v>
      </c>
      <c r="C85" s="169" t="s">
        <v>912</v>
      </c>
      <c r="D85" s="171"/>
      <c r="E85" s="171"/>
      <c r="F85" s="171"/>
      <c r="G85" s="170"/>
    </row>
    <row r="86" spans="1:7" ht="39" customHeight="1">
      <c r="A86" s="164"/>
      <c r="B86" s="163"/>
      <c r="C86" s="165"/>
      <c r="D86" s="167"/>
      <c r="E86" s="173"/>
      <c r="F86" s="167"/>
      <c r="G86" s="166"/>
    </row>
    <row r="87" spans="1:7" ht="39" customHeight="1">
      <c r="A87" s="169"/>
      <c r="B87" s="168" t="s">
        <v>913</v>
      </c>
      <c r="C87" s="169" t="s">
        <v>914</v>
      </c>
      <c r="D87" s="171"/>
      <c r="E87" s="171"/>
      <c r="F87" s="171">
        <v>0</v>
      </c>
      <c r="G87" s="170">
        <v>0</v>
      </c>
    </row>
    <row r="88" spans="1:7" ht="39" customHeight="1">
      <c r="A88" s="169" t="s">
        <v>915</v>
      </c>
      <c r="B88" s="168" t="s">
        <v>916</v>
      </c>
      <c r="C88" s="169" t="s">
        <v>917</v>
      </c>
      <c r="D88" s="171"/>
      <c r="E88" s="171"/>
      <c r="F88" s="171"/>
      <c r="G88" s="170"/>
    </row>
    <row r="89" spans="1:7" ht="39" customHeight="1">
      <c r="A89" s="164"/>
      <c r="B89" s="163"/>
      <c r="C89" s="165"/>
      <c r="D89" s="167"/>
      <c r="E89" s="173"/>
      <c r="F89" s="167"/>
      <c r="G89" s="166"/>
    </row>
    <row r="90" spans="1:7" ht="39" customHeight="1">
      <c r="A90" s="164" t="s">
        <v>918</v>
      </c>
      <c r="B90" s="163" t="s">
        <v>919</v>
      </c>
      <c r="C90" s="165" t="s">
        <v>920</v>
      </c>
      <c r="D90" s="167"/>
      <c r="E90" s="173"/>
      <c r="F90" s="167">
        <v>0</v>
      </c>
      <c r="G90" s="166">
        <v>0</v>
      </c>
    </row>
    <row r="91" spans="1:7" ht="39" customHeight="1">
      <c r="A91" s="164" t="s">
        <v>921</v>
      </c>
      <c r="B91" s="163" t="s">
        <v>922</v>
      </c>
      <c r="C91" s="165" t="s">
        <v>923</v>
      </c>
      <c r="D91" s="167"/>
      <c r="E91" s="173"/>
      <c r="F91" s="167">
        <v>0</v>
      </c>
      <c r="G91" s="166">
        <v>0</v>
      </c>
    </row>
    <row r="92" spans="1:7" ht="39" customHeight="1">
      <c r="A92" s="169"/>
      <c r="B92" s="168" t="s">
        <v>924</v>
      </c>
      <c r="C92" s="169" t="s">
        <v>925</v>
      </c>
      <c r="D92" s="171"/>
      <c r="E92" s="171"/>
      <c r="F92" s="171">
        <v>0</v>
      </c>
      <c r="G92" s="170">
        <v>0</v>
      </c>
    </row>
    <row r="93" spans="1:7" ht="39" customHeight="1">
      <c r="A93" s="169" t="s">
        <v>926</v>
      </c>
      <c r="B93" s="168" t="s">
        <v>927</v>
      </c>
      <c r="C93" s="169" t="s">
        <v>928</v>
      </c>
      <c r="D93" s="171"/>
      <c r="E93" s="171"/>
      <c r="F93" s="171"/>
      <c r="G93" s="170"/>
    </row>
    <row r="94" spans="1:7" ht="39" customHeight="1">
      <c r="A94" s="164"/>
      <c r="B94" s="163"/>
      <c r="C94" s="165"/>
      <c r="D94" s="167"/>
      <c r="E94" s="173"/>
      <c r="F94" s="167"/>
      <c r="G94" s="166"/>
    </row>
    <row r="95" spans="1:7" ht="39" customHeight="1">
      <c r="A95" s="164" t="s">
        <v>929</v>
      </c>
      <c r="B95" s="163" t="s">
        <v>930</v>
      </c>
      <c r="C95" s="165" t="s">
        <v>931</v>
      </c>
      <c r="D95" s="167"/>
      <c r="E95" s="173"/>
      <c r="F95" s="167">
        <v>989172000</v>
      </c>
      <c r="G95" s="166">
        <v>3.73552880667292E-4</v>
      </c>
    </row>
    <row r="96" spans="1:7" ht="34" customHeight="1">
      <c r="A96" s="164" t="s">
        <v>932</v>
      </c>
      <c r="B96" s="163" t="s">
        <v>933</v>
      </c>
      <c r="C96" s="165" t="s">
        <v>934</v>
      </c>
      <c r="D96" s="167">
        <v>766800</v>
      </c>
      <c r="E96" s="173">
        <v>1290</v>
      </c>
      <c r="F96" s="167">
        <v>989172000</v>
      </c>
      <c r="G96" s="166">
        <v>3.73552880667292E-4</v>
      </c>
    </row>
    <row r="97" spans="1:7" ht="39" customHeight="1">
      <c r="A97" s="164" t="s">
        <v>935</v>
      </c>
      <c r="B97" s="163" t="s">
        <v>936</v>
      </c>
      <c r="C97" s="165" t="s">
        <v>937</v>
      </c>
      <c r="D97" s="167"/>
      <c r="E97" s="173"/>
      <c r="F97" s="167">
        <v>0</v>
      </c>
      <c r="G97" s="166">
        <v>0</v>
      </c>
    </row>
    <row r="98" spans="1:7" ht="34" customHeight="1">
      <c r="A98" s="169"/>
      <c r="B98" s="168" t="s">
        <v>938</v>
      </c>
      <c r="C98" s="169" t="s">
        <v>939</v>
      </c>
      <c r="D98" s="171"/>
      <c r="E98" s="171"/>
      <c r="F98" s="171">
        <v>989172000</v>
      </c>
      <c r="G98" s="170">
        <v>3.73552880667292E-4</v>
      </c>
    </row>
    <row r="99" spans="1:7" ht="39" customHeight="1">
      <c r="A99" s="169"/>
      <c r="B99" s="168" t="s">
        <v>940</v>
      </c>
      <c r="C99" s="169" t="s">
        <v>941</v>
      </c>
      <c r="D99" s="171"/>
      <c r="E99" s="171"/>
      <c r="F99" s="171">
        <v>2536149865950</v>
      </c>
      <c r="G99" s="170">
        <v>0.95775667753392701</v>
      </c>
    </row>
    <row r="100" spans="1:7" ht="39" customHeight="1">
      <c r="A100" s="169" t="s">
        <v>942</v>
      </c>
      <c r="B100" s="168" t="s">
        <v>943</v>
      </c>
      <c r="C100" s="169" t="s">
        <v>944</v>
      </c>
      <c r="D100" s="171"/>
      <c r="E100" s="171"/>
      <c r="F100" s="171"/>
      <c r="G100" s="170"/>
    </row>
    <row r="101" spans="1:7" ht="39" customHeight="1">
      <c r="A101" s="164"/>
      <c r="B101" s="163"/>
      <c r="C101" s="165"/>
      <c r="D101" s="167"/>
      <c r="E101" s="173"/>
      <c r="F101" s="167"/>
      <c r="G101" s="166"/>
    </row>
    <row r="102" spans="1:7" ht="39" customHeight="1">
      <c r="A102" s="164" t="s">
        <v>945</v>
      </c>
      <c r="B102" s="163" t="s">
        <v>946</v>
      </c>
      <c r="C102" s="165" t="s">
        <v>947</v>
      </c>
      <c r="D102" s="167"/>
      <c r="E102" s="173"/>
      <c r="F102" s="167">
        <v>5195706000</v>
      </c>
      <c r="G102" s="166">
        <v>1.9621167434989398E-3</v>
      </c>
    </row>
    <row r="103" spans="1:7" ht="39" customHeight="1">
      <c r="A103" s="164" t="s">
        <v>948</v>
      </c>
      <c r="B103" s="163" t="s">
        <v>949</v>
      </c>
      <c r="C103" s="165" t="s">
        <v>950</v>
      </c>
      <c r="D103" s="167"/>
      <c r="E103" s="173"/>
      <c r="F103" s="167">
        <v>0</v>
      </c>
      <c r="G103" s="166">
        <v>0</v>
      </c>
    </row>
    <row r="104" spans="1:7" ht="63.65" customHeight="1">
      <c r="A104" s="164" t="s">
        <v>951</v>
      </c>
      <c r="B104" s="163" t="s">
        <v>952</v>
      </c>
      <c r="C104" s="165" t="s">
        <v>953</v>
      </c>
      <c r="D104" s="167"/>
      <c r="E104" s="173"/>
      <c r="F104" s="167">
        <v>0</v>
      </c>
      <c r="G104" s="166">
        <v>0</v>
      </c>
    </row>
    <row r="105" spans="1:7" ht="45" customHeight="1">
      <c r="A105" s="164" t="s">
        <v>954</v>
      </c>
      <c r="B105" s="163" t="s">
        <v>955</v>
      </c>
      <c r="C105" s="165" t="s">
        <v>956</v>
      </c>
      <c r="D105" s="167"/>
      <c r="E105" s="173"/>
      <c r="F105" s="167">
        <v>48528246100</v>
      </c>
      <c r="G105" s="166">
        <v>1.8326303336918402E-2</v>
      </c>
    </row>
    <row r="106" spans="1:7" ht="57" customHeight="1">
      <c r="A106" s="164" t="s">
        <v>957</v>
      </c>
      <c r="B106" s="163" t="s">
        <v>958</v>
      </c>
      <c r="C106" s="165" t="s">
        <v>959</v>
      </c>
      <c r="D106" s="167"/>
      <c r="E106" s="173"/>
      <c r="F106" s="167">
        <v>0</v>
      </c>
      <c r="G106" s="166">
        <v>0</v>
      </c>
    </row>
    <row r="107" spans="1:7" ht="39" customHeight="1">
      <c r="A107" s="164" t="s">
        <v>960</v>
      </c>
      <c r="B107" s="163" t="s">
        <v>961</v>
      </c>
      <c r="C107" s="165" t="s">
        <v>962</v>
      </c>
      <c r="D107" s="167"/>
      <c r="E107" s="173"/>
      <c r="F107" s="167">
        <v>-866400000</v>
      </c>
      <c r="G107" s="166">
        <v>-3.2718901850248701E-4</v>
      </c>
    </row>
    <row r="108" spans="1:7" ht="39" customHeight="1">
      <c r="A108" s="164" t="s">
        <v>963</v>
      </c>
      <c r="B108" s="163" t="s">
        <v>964</v>
      </c>
      <c r="C108" s="165" t="s">
        <v>965</v>
      </c>
      <c r="D108" s="167"/>
      <c r="E108" s="173"/>
      <c r="F108" s="167">
        <v>36454571</v>
      </c>
      <c r="G108" s="166">
        <v>1.37667766683047E-5</v>
      </c>
    </row>
    <row r="109" spans="1:7" ht="39" customHeight="1">
      <c r="A109" s="169"/>
      <c r="B109" s="168" t="s">
        <v>966</v>
      </c>
      <c r="C109" s="169" t="s">
        <v>967</v>
      </c>
      <c r="D109" s="171"/>
      <c r="E109" s="171"/>
      <c r="F109" s="171">
        <v>52894006671</v>
      </c>
      <c r="G109" s="170">
        <v>1.9974997838583201E-2</v>
      </c>
    </row>
    <row r="110" spans="1:7" ht="39" customHeight="1">
      <c r="A110" s="169" t="s">
        <v>968</v>
      </c>
      <c r="B110" s="168" t="s">
        <v>969</v>
      </c>
      <c r="C110" s="169" t="s">
        <v>970</v>
      </c>
      <c r="D110" s="171"/>
      <c r="E110" s="171"/>
      <c r="F110" s="171"/>
      <c r="G110" s="170"/>
    </row>
    <row r="111" spans="1:7" ht="39" customHeight="1">
      <c r="A111" s="164" t="s">
        <v>971</v>
      </c>
      <c r="B111" s="163" t="s">
        <v>972</v>
      </c>
      <c r="C111" s="165" t="s">
        <v>973</v>
      </c>
      <c r="D111" s="167"/>
      <c r="E111" s="173"/>
      <c r="F111" s="167">
        <v>58966760393</v>
      </c>
      <c r="G111" s="166">
        <v>2.2268324627489601E-2</v>
      </c>
    </row>
    <row r="112" spans="1:7" ht="39" customHeight="1">
      <c r="A112" s="164"/>
      <c r="B112" s="163"/>
      <c r="C112" s="165"/>
      <c r="D112" s="167"/>
      <c r="E112" s="173"/>
      <c r="F112" s="167"/>
      <c r="G112" s="166"/>
    </row>
    <row r="113" spans="1:7" ht="39" customHeight="1">
      <c r="A113" s="164" t="s">
        <v>974</v>
      </c>
      <c r="B113" s="163" t="s">
        <v>975</v>
      </c>
      <c r="C113" s="165" t="s">
        <v>976</v>
      </c>
      <c r="D113" s="167"/>
      <c r="E113" s="173"/>
      <c r="F113" s="167">
        <v>58966760393</v>
      </c>
      <c r="G113" s="166">
        <v>2.2268324627489601E-2</v>
      </c>
    </row>
    <row r="114" spans="1:7" ht="39" customHeight="1">
      <c r="A114" s="164" t="s">
        <v>977</v>
      </c>
      <c r="B114" s="163" t="s">
        <v>978</v>
      </c>
      <c r="C114" s="165" t="s">
        <v>979</v>
      </c>
      <c r="D114" s="167"/>
      <c r="E114" s="173"/>
      <c r="F114" s="167">
        <v>0</v>
      </c>
      <c r="G114" s="166">
        <v>0</v>
      </c>
    </row>
    <row r="115" spans="1:7" ht="39" customHeight="1">
      <c r="A115" s="164" t="s">
        <v>980</v>
      </c>
      <c r="B115" s="163" t="s">
        <v>981</v>
      </c>
      <c r="C115" s="165" t="s">
        <v>982</v>
      </c>
      <c r="D115" s="167"/>
      <c r="E115" s="173"/>
      <c r="F115" s="167">
        <v>0</v>
      </c>
      <c r="G115" s="166">
        <v>0</v>
      </c>
    </row>
    <row r="116" spans="1:7" ht="39" customHeight="1">
      <c r="A116" s="164"/>
      <c r="B116" s="163"/>
      <c r="C116" s="165"/>
      <c r="D116" s="167"/>
      <c r="E116" s="173"/>
      <c r="F116" s="167"/>
      <c r="G116" s="166"/>
    </row>
    <row r="117" spans="1:7" ht="39" customHeight="1">
      <c r="A117" s="164" t="s">
        <v>983</v>
      </c>
      <c r="B117" s="163" t="s">
        <v>984</v>
      </c>
      <c r="C117" s="165" t="s">
        <v>985</v>
      </c>
      <c r="D117" s="167"/>
      <c r="E117" s="173"/>
      <c r="F117" s="167">
        <v>0</v>
      </c>
      <c r="G117" s="166">
        <v>0</v>
      </c>
    </row>
    <row r="118" spans="1:7" ht="39" customHeight="1">
      <c r="A118" s="169"/>
      <c r="B118" s="168" t="s">
        <v>986</v>
      </c>
      <c r="C118" s="169" t="s">
        <v>987</v>
      </c>
      <c r="D118" s="171"/>
      <c r="E118" s="171"/>
      <c r="F118" s="171">
        <v>58966760393</v>
      </c>
      <c r="G118" s="170">
        <v>2.2268324627489601E-2</v>
      </c>
    </row>
    <row r="119" spans="1:7" ht="39" customHeight="1">
      <c r="A119" s="169" t="s">
        <v>988</v>
      </c>
      <c r="B119" s="168" t="s">
        <v>989</v>
      </c>
      <c r="C119" s="169" t="s">
        <v>990</v>
      </c>
      <c r="D119" s="171"/>
      <c r="E119" s="171"/>
      <c r="F119" s="171">
        <v>2648010633014</v>
      </c>
      <c r="G119" s="170">
        <v>1</v>
      </c>
    </row>
    <row r="120" spans="1:7" ht="16.899999999999999" customHeight="1">
      <c r="A120" s="54"/>
      <c r="B120" s="32"/>
      <c r="C120" s="32"/>
      <c r="D120" s="32"/>
      <c r="E120" s="18"/>
      <c r="F120" s="32"/>
    </row>
    <row r="121" spans="1:7" ht="16.899999999999999" customHeight="1">
      <c r="A121" s="18" t="s">
        <v>10</v>
      </c>
      <c r="B121" s="32"/>
      <c r="C121" s="32"/>
      <c r="D121" s="32"/>
      <c r="E121" s="18"/>
      <c r="F121" s="18" t="s">
        <v>11</v>
      </c>
    </row>
    <row r="122" spans="1:7" ht="16.899999999999999" customHeight="1">
      <c r="A122" s="19" t="s">
        <v>12</v>
      </c>
      <c r="B122" s="32"/>
      <c r="C122" s="32"/>
      <c r="D122" s="32"/>
      <c r="E122" s="19"/>
      <c r="F122" s="19" t="s">
        <v>13</v>
      </c>
    </row>
    <row r="123" spans="1:7" ht="16.899999999999999" customHeight="1"/>
    <row r="124" spans="1:7" ht="16.899999999999999" customHeight="1">
      <c r="A124" s="25"/>
      <c r="E124" s="25"/>
      <c r="F124" s="25"/>
    </row>
    <row r="125" spans="1:7" ht="16.899999999999999" customHeight="1"/>
    <row r="126" spans="1:7" ht="16.899999999999999" customHeight="1"/>
    <row r="127" spans="1:7" ht="16.899999999999999" customHeight="1"/>
    <row r="128" spans="1:7" ht="16.899999999999999" customHeight="1">
      <c r="E128" s="32"/>
    </row>
    <row r="129" spans="1:7" ht="16.899999999999999" customHeight="1">
      <c r="E129" s="32"/>
    </row>
    <row r="130" spans="1:7" ht="16.899999999999999" customHeight="1">
      <c r="E130" s="32"/>
    </row>
    <row r="131" spans="1:7" ht="16.899999999999999" customHeight="1">
      <c r="A131" s="33" t="s">
        <v>14</v>
      </c>
      <c r="B131" s="29"/>
      <c r="C131" s="29"/>
      <c r="E131" s="34"/>
      <c r="F131" s="33" t="s">
        <v>1362</v>
      </c>
      <c r="G131" s="29"/>
    </row>
    <row r="132" spans="1:7" ht="16.899999999999999" customHeight="1">
      <c r="A132" s="34" t="s">
        <v>1368</v>
      </c>
      <c r="E132" s="34"/>
      <c r="F132" s="34" t="s">
        <v>1369</v>
      </c>
    </row>
    <row r="133" spans="1:7" ht="16.899999999999999" customHeight="1">
      <c r="A133" s="35" t="s">
        <v>1370</v>
      </c>
      <c r="E133" s="36"/>
      <c r="F133" s="36" t="s">
        <v>1371</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topLeftCell="A86" zoomScale="90" zoomScaleNormal="100" zoomScaleSheetLayoutView="90" workbookViewId="0">
      <selection activeCell="D89" sqref="D89"/>
    </sheetView>
  </sheetViews>
  <sheetFormatPr defaultColWidth="8.7265625" defaultRowHeight="15.5"/>
  <cols>
    <col min="1" max="1" width="69.81640625" style="177" customWidth="1"/>
    <col min="2" max="2" width="12" style="177" customWidth="1"/>
    <col min="3" max="3" width="12.54296875" style="177" customWidth="1"/>
    <col min="4" max="4" width="28" style="177" customWidth="1"/>
    <col min="5" max="5" width="25.54296875" style="177" customWidth="1"/>
    <col min="6" max="6" width="27.7265625" style="177" customWidth="1"/>
    <col min="7" max="7" width="28.81640625" style="177" customWidth="1"/>
    <col min="8" max="16384" width="8.7265625" style="176"/>
  </cols>
  <sheetData>
    <row r="1" spans="1:7" ht="57" customHeight="1">
      <c r="A1" s="222" t="s">
        <v>700</v>
      </c>
      <c r="B1" s="222"/>
      <c r="C1" s="222"/>
      <c r="D1" s="222"/>
      <c r="E1" s="222"/>
      <c r="F1" s="222"/>
      <c r="G1" s="222"/>
    </row>
    <row r="2" spans="1:7" ht="57" customHeight="1">
      <c r="A2" s="223" t="s">
        <v>699</v>
      </c>
      <c r="B2" s="223"/>
      <c r="C2" s="223"/>
      <c r="D2" s="223"/>
      <c r="E2" s="223"/>
      <c r="F2" s="223"/>
      <c r="G2" s="223"/>
    </row>
    <row r="3" spans="1:7" ht="43.9" customHeight="1">
      <c r="A3" s="224" t="s">
        <v>148</v>
      </c>
      <c r="B3" s="224"/>
      <c r="C3" s="224"/>
      <c r="D3" s="224"/>
      <c r="E3" s="224"/>
      <c r="F3" s="224"/>
      <c r="G3" s="224"/>
    </row>
    <row r="4" spans="1:7" ht="9.4" customHeight="1"/>
    <row r="5" spans="1:7">
      <c r="A5" s="225" t="s">
        <v>1361</v>
      </c>
      <c r="B5" s="225"/>
      <c r="C5" s="225"/>
      <c r="D5" s="225"/>
      <c r="E5" s="225"/>
      <c r="F5" s="225"/>
      <c r="G5" s="225"/>
    </row>
    <row r="7" spans="1:7" ht="16.899999999999999" customHeight="1">
      <c r="A7" s="178" t="s">
        <v>2</v>
      </c>
      <c r="D7" s="226" t="s">
        <v>1362</v>
      </c>
      <c r="E7" s="226"/>
      <c r="F7" s="226"/>
      <c r="G7" s="226"/>
    </row>
    <row r="8" spans="1:7" ht="16.899999999999999" customHeight="1">
      <c r="A8" s="179" t="s">
        <v>15</v>
      </c>
      <c r="D8" s="221" t="s">
        <v>1363</v>
      </c>
      <c r="E8" s="221"/>
      <c r="F8" s="221"/>
      <c r="G8" s="221"/>
    </row>
    <row r="9" spans="1:7" ht="16.899999999999999" customHeight="1">
      <c r="A9" s="178" t="s">
        <v>3</v>
      </c>
      <c r="D9" s="226" t="s">
        <v>1364</v>
      </c>
      <c r="E9" s="226"/>
      <c r="F9" s="226"/>
      <c r="G9" s="226"/>
    </row>
    <row r="10" spans="1:7" ht="16.899999999999999" customHeight="1">
      <c r="A10" s="179" t="s">
        <v>4</v>
      </c>
      <c r="D10" s="221" t="s">
        <v>1365</v>
      </c>
      <c r="E10" s="221"/>
      <c r="F10" s="221"/>
      <c r="G10" s="221"/>
    </row>
    <row r="11" spans="1:7" ht="16.899999999999999" customHeight="1">
      <c r="A11" s="178" t="s">
        <v>5</v>
      </c>
      <c r="D11" s="226" t="s">
        <v>690</v>
      </c>
      <c r="E11" s="226"/>
      <c r="F11" s="226"/>
      <c r="G11" s="226"/>
    </row>
    <row r="12" spans="1:7" ht="16.899999999999999" customHeight="1">
      <c r="A12" s="179" t="s">
        <v>6</v>
      </c>
      <c r="D12" s="221" t="s">
        <v>1382</v>
      </c>
      <c r="E12" s="221"/>
      <c r="F12" s="221"/>
      <c r="G12" s="221"/>
    </row>
    <row r="13" spans="1:7" ht="16.899999999999999" customHeight="1">
      <c r="A13" s="178" t="s">
        <v>7</v>
      </c>
      <c r="D13" s="226" t="s">
        <v>1366</v>
      </c>
      <c r="E13" s="226"/>
      <c r="F13" s="226"/>
      <c r="G13" s="226"/>
    </row>
    <row r="14" spans="1:7" ht="16.899999999999999" customHeight="1">
      <c r="A14" s="179" t="s">
        <v>8</v>
      </c>
      <c r="D14" s="221" t="s">
        <v>1367</v>
      </c>
      <c r="E14" s="221"/>
      <c r="F14" s="221"/>
      <c r="G14" s="221"/>
    </row>
    <row r="16" spans="1:7" ht="39" customHeight="1">
      <c r="A16" s="228" t="s">
        <v>149</v>
      </c>
      <c r="B16" s="230" t="s">
        <v>150</v>
      </c>
      <c r="C16" s="230" t="s">
        <v>151</v>
      </c>
      <c r="D16" s="233" t="s">
        <v>1376</v>
      </c>
      <c r="E16" s="234"/>
      <c r="F16" s="233" t="s">
        <v>1377</v>
      </c>
      <c r="G16" s="234"/>
    </row>
    <row r="17" spans="1:10" ht="39" customHeight="1">
      <c r="A17" s="229"/>
      <c r="B17" s="231"/>
      <c r="C17" s="232"/>
      <c r="D17" s="180" t="s">
        <v>1374</v>
      </c>
      <c r="E17" s="181" t="s">
        <v>152</v>
      </c>
      <c r="F17" s="182" t="s">
        <v>1378</v>
      </c>
      <c r="G17" s="181" t="s">
        <v>152</v>
      </c>
    </row>
    <row r="18" spans="1:10" s="187" customFormat="1" ht="35.15" customHeight="1">
      <c r="A18" s="183" t="s">
        <v>357</v>
      </c>
      <c r="B18" s="184" t="s">
        <v>153</v>
      </c>
      <c r="C18" s="185"/>
      <c r="D18" s="186">
        <v>25572245150</v>
      </c>
      <c r="E18" s="186">
        <v>428734062362</v>
      </c>
      <c r="F18" s="186">
        <v>-58591546948</v>
      </c>
      <c r="G18" s="186">
        <v>342046521513</v>
      </c>
    </row>
    <row r="19" spans="1:10" ht="35.15" customHeight="1">
      <c r="A19" s="188" t="s">
        <v>358</v>
      </c>
      <c r="B19" s="189" t="s">
        <v>154</v>
      </c>
      <c r="C19" s="190"/>
      <c r="D19" s="191">
        <v>4556606000</v>
      </c>
      <c r="E19" s="191">
        <v>28932964300</v>
      </c>
      <c r="F19" s="191">
        <v>644400000</v>
      </c>
      <c r="G19" s="191">
        <v>15116750000</v>
      </c>
      <c r="J19" s="187"/>
    </row>
    <row r="20" spans="1:10" ht="35.15" customHeight="1">
      <c r="A20" s="188" t="s">
        <v>359</v>
      </c>
      <c r="B20" s="189" t="s">
        <v>155</v>
      </c>
      <c r="C20" s="192"/>
      <c r="D20" s="191">
        <v>33210000</v>
      </c>
      <c r="E20" s="191">
        <v>225795407</v>
      </c>
      <c r="F20" s="191">
        <v>420979070</v>
      </c>
      <c r="G20" s="191">
        <v>5075035803</v>
      </c>
      <c r="J20" s="187"/>
    </row>
    <row r="21" spans="1:10" ht="35.15" customHeight="1">
      <c r="A21" s="188" t="s">
        <v>276</v>
      </c>
      <c r="B21" s="189" t="s">
        <v>156</v>
      </c>
      <c r="C21" s="192"/>
      <c r="D21" s="191">
        <v>33210000</v>
      </c>
      <c r="E21" s="191">
        <v>181411845</v>
      </c>
      <c r="F21" s="191">
        <v>12211946</v>
      </c>
      <c r="G21" s="191">
        <v>204816417</v>
      </c>
      <c r="J21" s="187"/>
    </row>
    <row r="22" spans="1:10" ht="35.15" customHeight="1">
      <c r="A22" s="188" t="s">
        <v>709</v>
      </c>
      <c r="B22" s="189" t="s">
        <v>157</v>
      </c>
      <c r="C22" s="192"/>
      <c r="D22" s="191">
        <v>0</v>
      </c>
      <c r="E22" s="191">
        <v>0</v>
      </c>
      <c r="F22" s="191">
        <v>0</v>
      </c>
      <c r="G22" s="191">
        <v>0</v>
      </c>
      <c r="J22" s="187"/>
    </row>
    <row r="23" spans="1:10" ht="35.15" customHeight="1">
      <c r="A23" s="188" t="s">
        <v>360</v>
      </c>
      <c r="B23" s="189" t="s">
        <v>236</v>
      </c>
      <c r="C23" s="192"/>
      <c r="D23" s="191">
        <v>0</v>
      </c>
      <c r="E23" s="191">
        <v>44383562</v>
      </c>
      <c r="F23" s="191">
        <v>408767124</v>
      </c>
      <c r="G23" s="191">
        <v>4870219386</v>
      </c>
      <c r="J23" s="187"/>
    </row>
    <row r="24" spans="1:10" ht="35.15" customHeight="1">
      <c r="A24" s="188" t="s">
        <v>275</v>
      </c>
      <c r="B24" s="189" t="s">
        <v>274</v>
      </c>
      <c r="C24" s="192"/>
      <c r="D24" s="191">
        <v>0</v>
      </c>
      <c r="E24" s="191">
        <v>0</v>
      </c>
      <c r="F24" s="191">
        <v>0</v>
      </c>
      <c r="G24" s="191">
        <v>0</v>
      </c>
      <c r="J24" s="187"/>
    </row>
    <row r="25" spans="1:10" ht="35.15" customHeight="1">
      <c r="A25" s="188" t="s">
        <v>277</v>
      </c>
      <c r="B25" s="193" t="s">
        <v>158</v>
      </c>
      <c r="C25" s="192"/>
      <c r="D25" s="191">
        <v>10005013726</v>
      </c>
      <c r="E25" s="191">
        <v>279911200339</v>
      </c>
      <c r="F25" s="191">
        <v>31577495304</v>
      </c>
      <c r="G25" s="191">
        <v>169078991963</v>
      </c>
      <c r="J25" s="187"/>
    </row>
    <row r="26" spans="1:10" ht="53.5" customHeight="1">
      <c r="A26" s="188" t="s">
        <v>278</v>
      </c>
      <c r="B26" s="193" t="s">
        <v>159</v>
      </c>
      <c r="C26" s="192"/>
      <c r="D26" s="191">
        <v>10977415424</v>
      </c>
      <c r="E26" s="191">
        <v>119664102316</v>
      </c>
      <c r="F26" s="191">
        <v>-91234421322</v>
      </c>
      <c r="G26" s="191">
        <v>152775743747</v>
      </c>
      <c r="J26" s="187"/>
    </row>
    <row r="27" spans="1:10" ht="37" customHeight="1">
      <c r="A27" s="188" t="s">
        <v>361</v>
      </c>
      <c r="B27" s="193" t="s">
        <v>160</v>
      </c>
      <c r="C27" s="192"/>
      <c r="D27" s="191">
        <v>0</v>
      </c>
      <c r="E27" s="191">
        <v>0</v>
      </c>
      <c r="F27" s="191">
        <v>0</v>
      </c>
      <c r="G27" s="191">
        <v>0</v>
      </c>
      <c r="J27" s="187"/>
    </row>
    <row r="28" spans="1:10" ht="37" customHeight="1">
      <c r="A28" s="188" t="s">
        <v>279</v>
      </c>
      <c r="B28" s="193" t="s">
        <v>161</v>
      </c>
      <c r="C28" s="192"/>
      <c r="D28" s="191">
        <v>0</v>
      </c>
      <c r="E28" s="191">
        <v>0</v>
      </c>
      <c r="F28" s="191">
        <v>0</v>
      </c>
      <c r="G28" s="191">
        <v>0</v>
      </c>
      <c r="J28" s="187"/>
    </row>
    <row r="29" spans="1:10" ht="37" customHeight="1">
      <c r="A29" s="188" t="s">
        <v>362</v>
      </c>
      <c r="B29" s="193" t="s">
        <v>162</v>
      </c>
      <c r="C29" s="192"/>
      <c r="D29" s="191">
        <v>0</v>
      </c>
      <c r="E29" s="191">
        <v>0</v>
      </c>
      <c r="F29" s="191">
        <v>0</v>
      </c>
      <c r="G29" s="191">
        <v>0</v>
      </c>
      <c r="J29" s="187"/>
    </row>
    <row r="30" spans="1:10" ht="67" customHeight="1">
      <c r="A30" s="188" t="s">
        <v>363</v>
      </c>
      <c r="B30" s="193" t="s">
        <v>163</v>
      </c>
      <c r="C30" s="192"/>
      <c r="D30" s="191">
        <v>0</v>
      </c>
      <c r="E30" s="191">
        <v>0</v>
      </c>
      <c r="F30" s="191">
        <v>0</v>
      </c>
      <c r="G30" s="191">
        <v>0</v>
      </c>
      <c r="J30" s="187"/>
    </row>
    <row r="31" spans="1:10" s="187" customFormat="1" ht="38.15" customHeight="1">
      <c r="A31" s="183" t="s">
        <v>331</v>
      </c>
      <c r="B31" s="184" t="s">
        <v>164</v>
      </c>
      <c r="C31" s="185"/>
      <c r="D31" s="186">
        <v>1846268146</v>
      </c>
      <c r="E31" s="186">
        <v>15007947420</v>
      </c>
      <c r="F31" s="186">
        <v>1053186194</v>
      </c>
      <c r="G31" s="186">
        <v>11781132443</v>
      </c>
    </row>
    <row r="32" spans="1:10" ht="38.15" customHeight="1">
      <c r="A32" s="188" t="s">
        <v>165</v>
      </c>
      <c r="B32" s="193" t="s">
        <v>166</v>
      </c>
      <c r="C32" s="192"/>
      <c r="D32" s="191">
        <v>1846268146</v>
      </c>
      <c r="E32" s="191">
        <v>15007947420</v>
      </c>
      <c r="F32" s="191">
        <v>1053186194</v>
      </c>
      <c r="G32" s="191">
        <v>11758632443</v>
      </c>
      <c r="J32" s="187"/>
    </row>
    <row r="33" spans="1:10" ht="38.15" customHeight="1">
      <c r="A33" s="194" t="s">
        <v>710</v>
      </c>
      <c r="B33" s="189" t="s">
        <v>167</v>
      </c>
      <c r="C33" s="190"/>
      <c r="D33" s="191">
        <v>1838865837</v>
      </c>
      <c r="E33" s="191">
        <v>14963027304</v>
      </c>
      <c r="F33" s="191">
        <v>1048500874</v>
      </c>
      <c r="G33" s="191">
        <v>11705671182</v>
      </c>
      <c r="J33" s="187"/>
    </row>
    <row r="34" spans="1:10" ht="38.15" customHeight="1">
      <c r="A34" s="194" t="s">
        <v>42</v>
      </c>
      <c r="B34" s="189" t="s">
        <v>168</v>
      </c>
      <c r="C34" s="190"/>
      <c r="D34" s="191">
        <v>7402309</v>
      </c>
      <c r="E34" s="191">
        <v>44920116</v>
      </c>
      <c r="F34" s="191">
        <v>4685320</v>
      </c>
      <c r="G34" s="191">
        <v>52961261</v>
      </c>
      <c r="J34" s="187"/>
    </row>
    <row r="35" spans="1:10" ht="55.5" customHeight="1">
      <c r="A35" s="194" t="s">
        <v>169</v>
      </c>
      <c r="B35" s="189" t="s">
        <v>170</v>
      </c>
      <c r="C35" s="192"/>
      <c r="D35" s="191">
        <v>0</v>
      </c>
      <c r="E35" s="191">
        <v>0</v>
      </c>
      <c r="F35" s="191">
        <v>0</v>
      </c>
      <c r="G35" s="191">
        <v>0</v>
      </c>
      <c r="J35" s="187"/>
    </row>
    <row r="36" spans="1:10" ht="38.15" customHeight="1">
      <c r="A36" s="194" t="s">
        <v>171</v>
      </c>
      <c r="B36" s="189" t="s">
        <v>172</v>
      </c>
      <c r="C36" s="192"/>
      <c r="D36" s="191">
        <v>0</v>
      </c>
      <c r="E36" s="191">
        <v>0</v>
      </c>
      <c r="F36" s="191">
        <v>0</v>
      </c>
      <c r="G36" s="191">
        <v>0</v>
      </c>
      <c r="J36" s="187"/>
    </row>
    <row r="37" spans="1:10" ht="54.65" customHeight="1">
      <c r="A37" s="194" t="s">
        <v>173</v>
      </c>
      <c r="B37" s="189" t="s">
        <v>174</v>
      </c>
      <c r="C37" s="192"/>
      <c r="D37" s="191">
        <v>0</v>
      </c>
      <c r="E37" s="191">
        <v>0</v>
      </c>
      <c r="F37" s="191">
        <v>0</v>
      </c>
      <c r="G37" s="191">
        <v>0</v>
      </c>
      <c r="J37" s="187"/>
    </row>
    <row r="38" spans="1:10" ht="40" customHeight="1">
      <c r="A38" s="194" t="s">
        <v>332</v>
      </c>
      <c r="B38" s="189" t="s">
        <v>175</v>
      </c>
      <c r="C38" s="192"/>
      <c r="D38" s="191">
        <v>0</v>
      </c>
      <c r="E38" s="191">
        <v>0</v>
      </c>
      <c r="F38" s="191">
        <v>0</v>
      </c>
      <c r="G38" s="191">
        <v>22500000</v>
      </c>
      <c r="J38" s="187"/>
    </row>
    <row r="39" spans="1:10" s="187" customFormat="1" ht="34.5" customHeight="1">
      <c r="A39" s="183" t="s">
        <v>333</v>
      </c>
      <c r="B39" s="184" t="s">
        <v>176</v>
      </c>
      <c r="C39" s="185"/>
      <c r="D39" s="186">
        <v>4301219655</v>
      </c>
      <c r="E39" s="186">
        <v>30871332503</v>
      </c>
      <c r="F39" s="186">
        <v>2680970630</v>
      </c>
      <c r="G39" s="186">
        <v>21565292731</v>
      </c>
    </row>
    <row r="40" spans="1:10" ht="34.5" customHeight="1">
      <c r="A40" s="194" t="s">
        <v>364</v>
      </c>
      <c r="B40" s="189" t="s">
        <v>177</v>
      </c>
      <c r="C40" s="192"/>
      <c r="D40" s="191">
        <v>3926981906</v>
      </c>
      <c r="E40" s="191">
        <v>28057296839</v>
      </c>
      <c r="F40" s="191">
        <v>2441102794</v>
      </c>
      <c r="G40" s="191">
        <v>19447919597</v>
      </c>
      <c r="J40" s="187"/>
    </row>
    <row r="41" spans="1:10" ht="34.5" customHeight="1">
      <c r="A41" s="194" t="s">
        <v>178</v>
      </c>
      <c r="B41" s="189" t="s">
        <v>179</v>
      </c>
      <c r="C41" s="190"/>
      <c r="D41" s="191">
        <v>153217954</v>
      </c>
      <c r="E41" s="191">
        <v>1108438285</v>
      </c>
      <c r="F41" s="191">
        <v>87515192</v>
      </c>
      <c r="G41" s="191">
        <v>841397309</v>
      </c>
      <c r="J41" s="187"/>
    </row>
    <row r="42" spans="1:10" ht="34.5" customHeight="1">
      <c r="A42" s="195" t="s">
        <v>23</v>
      </c>
      <c r="B42" s="196" t="s">
        <v>180</v>
      </c>
      <c r="C42" s="190"/>
      <c r="D42" s="191">
        <v>80553475</v>
      </c>
      <c r="E42" s="191">
        <v>575534294</v>
      </c>
      <c r="F42" s="191">
        <v>50073905</v>
      </c>
      <c r="G42" s="191">
        <v>399073401</v>
      </c>
      <c r="J42" s="187"/>
    </row>
    <row r="43" spans="1:10" ht="34.5" customHeight="1">
      <c r="A43" s="195" t="s">
        <v>24</v>
      </c>
      <c r="B43" s="196" t="s">
        <v>181</v>
      </c>
      <c r="C43" s="190"/>
      <c r="D43" s="191">
        <v>59400000</v>
      </c>
      <c r="E43" s="191">
        <v>431530000</v>
      </c>
      <c r="F43" s="191">
        <v>26300000</v>
      </c>
      <c r="G43" s="191">
        <v>339815000</v>
      </c>
      <c r="J43" s="187"/>
    </row>
    <row r="44" spans="1:10" ht="65.5" customHeight="1">
      <c r="A44" s="195" t="s">
        <v>713</v>
      </c>
      <c r="B44" s="196" t="s">
        <v>182</v>
      </c>
      <c r="C44" s="190"/>
      <c r="D44" s="191">
        <v>13264479</v>
      </c>
      <c r="E44" s="191">
        <v>101373991</v>
      </c>
      <c r="F44" s="191">
        <v>11141287</v>
      </c>
      <c r="G44" s="191">
        <v>102508908</v>
      </c>
      <c r="J44" s="187"/>
    </row>
    <row r="45" spans="1:10" ht="35.15" customHeight="1">
      <c r="A45" s="194" t="s">
        <v>183</v>
      </c>
      <c r="B45" s="189" t="s">
        <v>184</v>
      </c>
      <c r="C45" s="190"/>
      <c r="D45" s="191">
        <v>88608823</v>
      </c>
      <c r="E45" s="191">
        <v>633087728</v>
      </c>
      <c r="F45" s="191">
        <v>55081292</v>
      </c>
      <c r="G45" s="191">
        <v>438980740</v>
      </c>
      <c r="J45" s="187"/>
    </row>
    <row r="46" spans="1:10" ht="35.15" customHeight="1">
      <c r="A46" s="194" t="s">
        <v>185</v>
      </c>
      <c r="B46" s="189" t="s">
        <v>186</v>
      </c>
      <c r="C46" s="190"/>
      <c r="D46" s="191">
        <v>55380513</v>
      </c>
      <c r="E46" s="191">
        <v>395679830</v>
      </c>
      <c r="F46" s="191">
        <v>34425811</v>
      </c>
      <c r="G46" s="191">
        <v>274362967</v>
      </c>
      <c r="J46" s="187"/>
    </row>
    <row r="47" spans="1:10" ht="35.15" customHeight="1">
      <c r="A47" s="194" t="s">
        <v>187</v>
      </c>
      <c r="B47" s="189" t="s">
        <v>188</v>
      </c>
      <c r="C47" s="190"/>
      <c r="D47" s="191">
        <v>13200000</v>
      </c>
      <c r="E47" s="191">
        <v>118800000</v>
      </c>
      <c r="F47" s="191">
        <v>13200000</v>
      </c>
      <c r="G47" s="191">
        <v>118800000</v>
      </c>
      <c r="J47" s="187"/>
    </row>
    <row r="48" spans="1:10" ht="35.15" customHeight="1">
      <c r="A48" s="194" t="s">
        <v>189</v>
      </c>
      <c r="B48" s="189" t="s">
        <v>190</v>
      </c>
      <c r="C48" s="190"/>
      <c r="D48" s="191">
        <v>0</v>
      </c>
      <c r="E48" s="191">
        <v>0</v>
      </c>
      <c r="F48" s="191">
        <v>0</v>
      </c>
      <c r="G48" s="191">
        <v>0</v>
      </c>
      <c r="J48" s="187"/>
    </row>
    <row r="49" spans="1:10" ht="49.5" customHeight="1">
      <c r="A49" s="197" t="s">
        <v>365</v>
      </c>
      <c r="B49" s="196" t="s">
        <v>191</v>
      </c>
      <c r="C49" s="190"/>
      <c r="D49" s="191">
        <v>0</v>
      </c>
      <c r="E49" s="191">
        <v>0</v>
      </c>
      <c r="F49" s="191">
        <v>0</v>
      </c>
      <c r="G49" s="191">
        <v>0</v>
      </c>
      <c r="J49" s="187"/>
    </row>
    <row r="50" spans="1:10" ht="34.5" customHeight="1">
      <c r="A50" s="197" t="s">
        <v>366</v>
      </c>
      <c r="B50" s="196" t="s">
        <v>192</v>
      </c>
      <c r="C50" s="190"/>
      <c r="D50" s="191">
        <v>0</v>
      </c>
      <c r="E50" s="191">
        <v>0</v>
      </c>
      <c r="F50" s="191">
        <v>0</v>
      </c>
      <c r="G50" s="191">
        <v>0</v>
      </c>
      <c r="J50" s="187"/>
    </row>
    <row r="51" spans="1:10" ht="34.5" customHeight="1">
      <c r="A51" s="194" t="s">
        <v>193</v>
      </c>
      <c r="B51" s="189" t="s">
        <v>194</v>
      </c>
      <c r="C51" s="190"/>
      <c r="D51" s="191">
        <v>14762781</v>
      </c>
      <c r="E51" s="191">
        <v>103835462</v>
      </c>
      <c r="F51" s="191">
        <v>3864187</v>
      </c>
      <c r="G51" s="191">
        <v>16100779</v>
      </c>
      <c r="J51" s="187"/>
    </row>
    <row r="52" spans="1:10" ht="34.5" customHeight="1">
      <c r="A52" s="194" t="s">
        <v>334</v>
      </c>
      <c r="B52" s="189" t="s">
        <v>195</v>
      </c>
      <c r="C52" s="190"/>
      <c r="D52" s="191">
        <v>16500000</v>
      </c>
      <c r="E52" s="191">
        <v>149189475</v>
      </c>
      <c r="F52" s="191">
        <v>17241272</v>
      </c>
      <c r="G52" s="191">
        <v>154264233</v>
      </c>
      <c r="J52" s="187"/>
    </row>
    <row r="53" spans="1:10" ht="34.5" customHeight="1">
      <c r="A53" s="194" t="s">
        <v>196</v>
      </c>
      <c r="B53" s="189" t="s">
        <v>197</v>
      </c>
      <c r="C53" s="190"/>
      <c r="D53" s="191">
        <v>0</v>
      </c>
      <c r="E53" s="191">
        <v>0</v>
      </c>
      <c r="F53" s="191">
        <v>0</v>
      </c>
      <c r="G53" s="191">
        <v>0</v>
      </c>
      <c r="J53" s="187"/>
    </row>
    <row r="54" spans="1:10" ht="34.5" customHeight="1">
      <c r="A54" s="194" t="s">
        <v>335</v>
      </c>
      <c r="B54" s="198" t="s">
        <v>198</v>
      </c>
      <c r="C54" s="190"/>
      <c r="D54" s="191">
        <v>32567678</v>
      </c>
      <c r="E54" s="191">
        <v>305004884</v>
      </c>
      <c r="F54" s="191">
        <v>28540082</v>
      </c>
      <c r="G54" s="191">
        <v>273467106</v>
      </c>
      <c r="J54" s="187"/>
    </row>
    <row r="55" spans="1:10" ht="34.5" customHeight="1">
      <c r="A55" s="197" t="s">
        <v>38</v>
      </c>
      <c r="B55" s="199" t="s">
        <v>199</v>
      </c>
      <c r="C55" s="190"/>
      <c r="D55" s="191">
        <v>12983607</v>
      </c>
      <c r="E55" s="191">
        <v>115248634</v>
      </c>
      <c r="F55" s="191">
        <v>12986301</v>
      </c>
      <c r="G55" s="191">
        <v>116975342</v>
      </c>
      <c r="J55" s="187"/>
    </row>
    <row r="56" spans="1:10" ht="34.5" customHeight="1">
      <c r="A56" s="197" t="s">
        <v>200</v>
      </c>
      <c r="B56" s="199" t="s">
        <v>201</v>
      </c>
      <c r="C56" s="190"/>
      <c r="D56" s="191">
        <v>0</v>
      </c>
      <c r="E56" s="191">
        <v>0</v>
      </c>
      <c r="F56" s="191">
        <v>0</v>
      </c>
      <c r="G56" s="191">
        <v>0</v>
      </c>
      <c r="J56" s="187"/>
    </row>
    <row r="57" spans="1:10" ht="34.5" customHeight="1">
      <c r="A57" s="197" t="s">
        <v>202</v>
      </c>
      <c r="B57" s="199" t="s">
        <v>203</v>
      </c>
      <c r="C57" s="192"/>
      <c r="D57" s="191">
        <v>0</v>
      </c>
      <c r="E57" s="191">
        <v>0</v>
      </c>
      <c r="F57" s="191">
        <v>0</v>
      </c>
      <c r="G57" s="191">
        <v>0</v>
      </c>
      <c r="J57" s="187"/>
    </row>
    <row r="58" spans="1:10" ht="34.5" customHeight="1">
      <c r="A58" s="197" t="s">
        <v>336</v>
      </c>
      <c r="B58" s="199" t="s">
        <v>204</v>
      </c>
      <c r="C58" s="190"/>
      <c r="D58" s="191">
        <v>7663043</v>
      </c>
      <c r="E58" s="191">
        <v>70500000</v>
      </c>
      <c r="F58" s="191">
        <v>7663043</v>
      </c>
      <c r="G58" s="191">
        <v>70500000</v>
      </c>
      <c r="J58" s="187"/>
    </row>
    <row r="59" spans="1:10" ht="34.5" customHeight="1">
      <c r="A59" s="197" t="s">
        <v>39</v>
      </c>
      <c r="B59" s="199" t="s">
        <v>205</v>
      </c>
      <c r="C59" s="192"/>
      <c r="D59" s="191">
        <v>3523224</v>
      </c>
      <c r="E59" s="191">
        <v>32395446</v>
      </c>
      <c r="F59" s="191">
        <v>0</v>
      </c>
      <c r="G59" s="191">
        <v>0</v>
      </c>
      <c r="J59" s="187"/>
    </row>
    <row r="60" spans="1:10" ht="34.5" customHeight="1">
      <c r="A60" s="197" t="s">
        <v>337</v>
      </c>
      <c r="B60" s="199" t="s">
        <v>206</v>
      </c>
      <c r="C60" s="192"/>
      <c r="D60" s="191">
        <v>0</v>
      </c>
      <c r="E60" s="191">
        <v>0</v>
      </c>
      <c r="F60" s="191">
        <v>0</v>
      </c>
      <c r="G60" s="191">
        <v>0</v>
      </c>
      <c r="J60" s="187"/>
    </row>
    <row r="61" spans="1:10" ht="34.5" customHeight="1">
      <c r="A61" s="197" t="s">
        <v>338</v>
      </c>
      <c r="B61" s="199" t="s">
        <v>207</v>
      </c>
      <c r="C61" s="192"/>
      <c r="D61" s="191">
        <v>614754</v>
      </c>
      <c r="E61" s="191">
        <v>5614754</v>
      </c>
      <c r="F61" s="191">
        <v>616438</v>
      </c>
      <c r="G61" s="191">
        <v>10609589</v>
      </c>
      <c r="J61" s="187"/>
    </row>
    <row r="62" spans="1:10" ht="34.5" customHeight="1">
      <c r="A62" s="197" t="s">
        <v>46</v>
      </c>
      <c r="B62" s="199" t="s">
        <v>208</v>
      </c>
      <c r="C62" s="192"/>
      <c r="D62" s="191">
        <v>7783050</v>
      </c>
      <c r="E62" s="191">
        <v>76324050</v>
      </c>
      <c r="F62" s="191">
        <v>7274300</v>
      </c>
      <c r="G62" s="191">
        <v>74282175</v>
      </c>
      <c r="J62" s="187"/>
    </row>
    <row r="63" spans="1:10" ht="34.5" customHeight="1">
      <c r="A63" s="197" t="s">
        <v>40</v>
      </c>
      <c r="B63" s="199" t="s">
        <v>209</v>
      </c>
      <c r="C63" s="192"/>
      <c r="D63" s="191">
        <v>0</v>
      </c>
      <c r="E63" s="191">
        <v>0</v>
      </c>
      <c r="F63" s="191">
        <v>0</v>
      </c>
      <c r="G63" s="191">
        <v>0</v>
      </c>
      <c r="J63" s="187"/>
    </row>
    <row r="64" spans="1:10" ht="34.5" customHeight="1">
      <c r="A64" s="197" t="s">
        <v>323</v>
      </c>
      <c r="B64" s="199" t="s">
        <v>210</v>
      </c>
      <c r="C64" s="190"/>
      <c r="D64" s="191">
        <v>0</v>
      </c>
      <c r="E64" s="191">
        <v>0</v>
      </c>
      <c r="F64" s="191">
        <v>0</v>
      </c>
      <c r="G64" s="191">
        <v>0</v>
      </c>
      <c r="J64" s="187"/>
    </row>
    <row r="65" spans="1:10" ht="34.5" customHeight="1">
      <c r="A65" s="197" t="s">
        <v>714</v>
      </c>
      <c r="B65" s="199" t="s">
        <v>211</v>
      </c>
      <c r="C65" s="190"/>
      <c r="D65" s="191">
        <v>0</v>
      </c>
      <c r="E65" s="191">
        <v>1100000</v>
      </c>
      <c r="F65" s="191">
        <v>0</v>
      </c>
      <c r="G65" s="191">
        <v>1100000</v>
      </c>
      <c r="J65" s="187"/>
    </row>
    <row r="66" spans="1:10" ht="34.5" customHeight="1">
      <c r="A66" s="197" t="s">
        <v>715</v>
      </c>
      <c r="B66" s="199" t="s">
        <v>212</v>
      </c>
      <c r="C66" s="190"/>
      <c r="D66" s="191">
        <v>0</v>
      </c>
      <c r="E66" s="191">
        <v>0</v>
      </c>
      <c r="F66" s="191">
        <v>0</v>
      </c>
      <c r="G66" s="191">
        <v>0</v>
      </c>
      <c r="J66" s="187"/>
    </row>
    <row r="67" spans="1:10" ht="34.5" customHeight="1">
      <c r="A67" s="197" t="s">
        <v>339</v>
      </c>
      <c r="B67" s="199" t="s">
        <v>213</v>
      </c>
      <c r="C67" s="190"/>
      <c r="D67" s="191">
        <v>0</v>
      </c>
      <c r="E67" s="191">
        <v>0</v>
      </c>
      <c r="F67" s="191">
        <v>0</v>
      </c>
      <c r="G67" s="191">
        <v>0</v>
      </c>
      <c r="J67" s="187"/>
    </row>
    <row r="68" spans="1:10" ht="34.5" customHeight="1">
      <c r="A68" s="197" t="s">
        <v>214</v>
      </c>
      <c r="B68" s="199" t="s">
        <v>215</v>
      </c>
      <c r="C68" s="190"/>
      <c r="D68" s="191">
        <v>0</v>
      </c>
      <c r="E68" s="191">
        <v>3822000</v>
      </c>
      <c r="F68" s="191">
        <v>0</v>
      </c>
      <c r="G68" s="191">
        <v>0</v>
      </c>
      <c r="J68" s="187"/>
    </row>
    <row r="69" spans="1:10" s="187" customFormat="1" ht="51" customHeight="1">
      <c r="A69" s="183" t="s">
        <v>216</v>
      </c>
      <c r="B69" s="184" t="s">
        <v>217</v>
      </c>
      <c r="C69" s="185"/>
      <c r="D69" s="186">
        <v>19424757349</v>
      </c>
      <c r="E69" s="186">
        <v>382854782439</v>
      </c>
      <c r="F69" s="186">
        <v>-62325703772</v>
      </c>
      <c r="G69" s="186">
        <v>308700096339</v>
      </c>
    </row>
    <row r="70" spans="1:10" s="187" customFormat="1" ht="34" customHeight="1">
      <c r="A70" s="183" t="s">
        <v>218</v>
      </c>
      <c r="B70" s="184" t="s">
        <v>219</v>
      </c>
      <c r="C70" s="185"/>
      <c r="D70" s="186">
        <v>0</v>
      </c>
      <c r="E70" s="186">
        <v>0</v>
      </c>
      <c r="F70" s="186">
        <v>0</v>
      </c>
      <c r="G70" s="186">
        <v>0</v>
      </c>
    </row>
    <row r="71" spans="1:10" ht="34" customHeight="1">
      <c r="A71" s="188" t="s">
        <v>367</v>
      </c>
      <c r="B71" s="193" t="s">
        <v>220</v>
      </c>
      <c r="C71" s="192"/>
      <c r="D71" s="191">
        <v>0</v>
      </c>
      <c r="E71" s="191">
        <v>0</v>
      </c>
      <c r="F71" s="191">
        <v>0</v>
      </c>
      <c r="G71" s="191">
        <v>0</v>
      </c>
      <c r="J71" s="187"/>
    </row>
    <row r="72" spans="1:10" ht="34" customHeight="1">
      <c r="A72" s="188" t="s">
        <v>340</v>
      </c>
      <c r="B72" s="193" t="s">
        <v>221</v>
      </c>
      <c r="C72" s="192"/>
      <c r="D72" s="191">
        <v>0</v>
      </c>
      <c r="E72" s="191">
        <v>0</v>
      </c>
      <c r="F72" s="191">
        <v>0</v>
      </c>
      <c r="G72" s="191">
        <v>0</v>
      </c>
      <c r="J72" s="187"/>
    </row>
    <row r="73" spans="1:10" s="187" customFormat="1" ht="50.5" customHeight="1">
      <c r="A73" s="183" t="s">
        <v>222</v>
      </c>
      <c r="B73" s="184" t="s">
        <v>223</v>
      </c>
      <c r="C73" s="185"/>
      <c r="D73" s="186">
        <v>19424757349</v>
      </c>
      <c r="E73" s="186">
        <v>382854782439</v>
      </c>
      <c r="F73" s="186">
        <v>-62325703772</v>
      </c>
      <c r="G73" s="186">
        <v>308700096339</v>
      </c>
    </row>
    <row r="74" spans="1:10" ht="39" customHeight="1">
      <c r="A74" s="194" t="s">
        <v>224</v>
      </c>
      <c r="B74" s="189" t="s">
        <v>225</v>
      </c>
      <c r="C74" s="192"/>
      <c r="D74" s="191">
        <v>8447341925</v>
      </c>
      <c r="E74" s="191">
        <v>263190680123</v>
      </c>
      <c r="F74" s="191">
        <v>28908717550</v>
      </c>
      <c r="G74" s="191">
        <v>155924352592</v>
      </c>
      <c r="J74" s="187"/>
    </row>
    <row r="75" spans="1:10" ht="39" customHeight="1">
      <c r="A75" s="194" t="s">
        <v>226</v>
      </c>
      <c r="B75" s="189" t="s">
        <v>227</v>
      </c>
      <c r="C75" s="192"/>
      <c r="D75" s="191">
        <v>10977415424</v>
      </c>
      <c r="E75" s="191">
        <v>119664102316</v>
      </c>
      <c r="F75" s="191">
        <v>-91234421322</v>
      </c>
      <c r="G75" s="191">
        <v>152775743747</v>
      </c>
      <c r="J75" s="187"/>
    </row>
    <row r="76" spans="1:10" s="187" customFormat="1" ht="39" customHeight="1">
      <c r="A76" s="183" t="s">
        <v>228</v>
      </c>
      <c r="B76" s="184" t="s">
        <v>229</v>
      </c>
      <c r="C76" s="185"/>
      <c r="D76" s="186">
        <v>0</v>
      </c>
      <c r="E76" s="186">
        <v>0</v>
      </c>
      <c r="F76" s="186">
        <v>0</v>
      </c>
      <c r="G76" s="186">
        <v>0</v>
      </c>
    </row>
    <row r="77" spans="1:10" s="187" customFormat="1" ht="50.5" customHeight="1">
      <c r="A77" s="183" t="s">
        <v>230</v>
      </c>
      <c r="B77" s="184" t="s">
        <v>231</v>
      </c>
      <c r="C77" s="185"/>
      <c r="D77" s="186">
        <v>19424757349</v>
      </c>
      <c r="E77" s="186">
        <v>382854782439</v>
      </c>
      <c r="F77" s="186">
        <v>-62325703772</v>
      </c>
      <c r="G77" s="186">
        <v>308700096339</v>
      </c>
    </row>
    <row r="80" spans="1:10" s="187" customFormat="1" ht="16.899999999999999" customHeight="1">
      <c r="A80" s="200" t="s">
        <v>232</v>
      </c>
      <c r="B80" s="227" t="s">
        <v>233</v>
      </c>
      <c r="C80" s="227"/>
      <c r="D80" s="227"/>
      <c r="E80" s="227"/>
      <c r="F80" s="227"/>
      <c r="G80" s="227"/>
    </row>
    <row r="93" spans="1:7">
      <c r="A93" s="201" t="s">
        <v>1385</v>
      </c>
      <c r="B93" s="235" t="s">
        <v>1386</v>
      </c>
      <c r="C93" s="235"/>
      <c r="D93" s="235"/>
      <c r="E93" s="235"/>
      <c r="F93" s="235" t="s">
        <v>1387</v>
      </c>
      <c r="G93" s="235"/>
    </row>
    <row r="94" spans="1:7" ht="16.899999999999999" customHeight="1">
      <c r="A94" s="202" t="s">
        <v>1383</v>
      </c>
      <c r="B94" s="236" t="s">
        <v>1379</v>
      </c>
      <c r="C94" s="236"/>
      <c r="D94" s="236"/>
      <c r="E94" s="236"/>
      <c r="F94" s="236" t="s">
        <v>1369</v>
      </c>
      <c r="G94" s="236"/>
    </row>
    <row r="95" spans="1:7" ht="16.899999999999999" customHeight="1">
      <c r="A95" s="203" t="s">
        <v>1380</v>
      </c>
      <c r="B95" s="237" t="s">
        <v>1381</v>
      </c>
      <c r="C95" s="237"/>
      <c r="D95" s="237"/>
      <c r="E95" s="237"/>
      <c r="F95" s="237" t="s">
        <v>1371</v>
      </c>
      <c r="G95" s="237"/>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47" fitToHeight="0" orientation="portrait" r:id="rId1"/>
  <headerFooter>
    <oddHeader>&amp;L&amp;"Arial"&amp;9&amp;KA80000CONFIDENTIAL&amp;1#</oddHeader>
  </headerFooter>
  <rowBreaks count="1" manualBreakCount="1">
    <brk id="47" max="6" man="1"/>
  </rowBreaks>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tabSelected="1" view="pageBreakPreview" topLeftCell="A44" zoomScaleNormal="100" zoomScaleSheetLayoutView="100" workbookViewId="0">
      <selection activeCell="D45" sqref="D45"/>
    </sheetView>
  </sheetViews>
  <sheetFormatPr defaultColWidth="8.7265625" defaultRowHeight="53.25" customHeight="1"/>
  <cols>
    <col min="1" max="1" width="8.7265625" style="15"/>
    <col min="2" max="2" width="63.81640625" style="15" customWidth="1"/>
    <col min="3" max="3" width="10.7265625" style="15" bestFit="1" customWidth="1"/>
    <col min="4" max="4" width="41.7265625" style="15" customWidth="1"/>
    <col min="5" max="5" width="37.54296875" style="15" customWidth="1"/>
    <col min="6" max="6" width="8.453125" style="128" customWidth="1"/>
    <col min="7" max="16384" width="8.7265625" style="128"/>
  </cols>
  <sheetData>
    <row r="1" spans="1:6" ht="53.25" customHeight="1">
      <c r="A1" s="216" t="s">
        <v>639</v>
      </c>
      <c r="B1" s="216"/>
      <c r="C1" s="216"/>
      <c r="D1" s="216"/>
      <c r="E1" s="216"/>
      <c r="F1" s="129"/>
    </row>
    <row r="2" spans="1:6" ht="66" customHeight="1">
      <c r="A2" s="217" t="s">
        <v>640</v>
      </c>
      <c r="B2" s="217"/>
      <c r="C2" s="217"/>
      <c r="D2" s="217"/>
      <c r="E2" s="217"/>
      <c r="F2" s="130"/>
    </row>
    <row r="3" spans="1:6" ht="40.5" customHeight="1">
      <c r="A3" s="218" t="s">
        <v>590</v>
      </c>
      <c r="B3" s="218"/>
      <c r="C3" s="218"/>
      <c r="D3" s="218"/>
      <c r="E3" s="218"/>
      <c r="F3" s="129"/>
    </row>
    <row r="4" spans="1:6" ht="12.5" hidden="1">
      <c r="A4" s="218"/>
      <c r="B4" s="218"/>
      <c r="C4" s="218"/>
      <c r="D4" s="218"/>
      <c r="E4" s="218"/>
      <c r="F4" s="129"/>
    </row>
    <row r="5" spans="1:6" ht="12.5">
      <c r="A5" s="219" t="s">
        <v>1361</v>
      </c>
      <c r="B5" s="219"/>
      <c r="C5" s="219"/>
      <c r="D5" s="219"/>
      <c r="E5" s="219"/>
      <c r="F5" s="131"/>
    </row>
    <row r="6" spans="1:6" ht="12.5"/>
    <row r="7" spans="1:6" ht="12.5">
      <c r="A7" s="99" t="s">
        <v>2</v>
      </c>
      <c r="C7" s="220" t="s">
        <v>1362</v>
      </c>
      <c r="D7" s="220"/>
      <c r="E7" s="220"/>
    </row>
    <row r="8" spans="1:6" ht="12.5">
      <c r="A8" s="15" t="s">
        <v>15</v>
      </c>
      <c r="C8" s="215" t="s">
        <v>1363</v>
      </c>
      <c r="D8" s="215"/>
      <c r="E8" s="215"/>
    </row>
    <row r="9" spans="1:6" ht="12.5">
      <c r="A9" s="99" t="s">
        <v>3</v>
      </c>
      <c r="C9" s="220" t="s">
        <v>1364</v>
      </c>
      <c r="D9" s="220"/>
      <c r="E9" s="220"/>
    </row>
    <row r="10" spans="1:6" ht="12.5">
      <c r="A10" s="15" t="s">
        <v>4</v>
      </c>
      <c r="C10" s="215" t="s">
        <v>1365</v>
      </c>
      <c r="D10" s="215"/>
      <c r="E10" s="215"/>
    </row>
    <row r="11" spans="1:6" ht="12.5">
      <c r="A11" s="99" t="s">
        <v>5</v>
      </c>
      <c r="C11" s="220" t="s">
        <v>690</v>
      </c>
      <c r="D11" s="220"/>
      <c r="E11" s="220"/>
    </row>
    <row r="12" spans="1:6" ht="12.5">
      <c r="A12" s="15" t="s">
        <v>6</v>
      </c>
      <c r="C12" s="215" t="s">
        <v>1382</v>
      </c>
      <c r="D12" s="215"/>
      <c r="E12" s="215"/>
    </row>
    <row r="13" spans="1:6" ht="12.5">
      <c r="A13" s="99" t="s">
        <v>7</v>
      </c>
      <c r="C13" s="220" t="s">
        <v>1366</v>
      </c>
      <c r="D13" s="220"/>
      <c r="E13" s="220"/>
    </row>
    <row r="14" spans="1:6" ht="12.5">
      <c r="A14" s="15" t="s">
        <v>8</v>
      </c>
      <c r="C14" s="215" t="s">
        <v>1367</v>
      </c>
      <c r="D14" s="215"/>
      <c r="E14" s="215"/>
    </row>
    <row r="15" spans="1:6" ht="12.5"/>
    <row r="16" spans="1:6" ht="12.5">
      <c r="A16" s="93" t="s">
        <v>637</v>
      </c>
      <c r="B16" s="94" t="s">
        <v>638</v>
      </c>
    </row>
    <row r="17" spans="1:5" ht="12.5">
      <c r="A17" s="20" t="s">
        <v>28</v>
      </c>
      <c r="B17" s="21" t="s">
        <v>354</v>
      </c>
    </row>
    <row r="18" spans="1:5" ht="37.5">
      <c r="A18" s="145" t="s">
        <v>17</v>
      </c>
      <c r="B18" s="145" t="s">
        <v>627</v>
      </c>
      <c r="C18" s="145" t="s">
        <v>19</v>
      </c>
      <c r="D18" s="146" t="s">
        <v>1374</v>
      </c>
      <c r="E18" s="146" t="s">
        <v>1375</v>
      </c>
    </row>
    <row r="19" spans="1:5" s="132" customFormat="1" ht="25">
      <c r="A19" s="39" t="s">
        <v>16</v>
      </c>
      <c r="B19" s="87" t="s">
        <v>112</v>
      </c>
      <c r="C19" s="88" t="s">
        <v>113</v>
      </c>
      <c r="D19" s="166"/>
      <c r="E19" s="166"/>
    </row>
    <row r="20" spans="1:5" ht="37.5">
      <c r="A20" s="100">
        <v>1</v>
      </c>
      <c r="B20" s="89" t="s">
        <v>612</v>
      </c>
      <c r="C20" s="90" t="s">
        <v>114</v>
      </c>
      <c r="D20" s="166">
        <v>1.9182486730730499E-2</v>
      </c>
      <c r="E20" s="166">
        <v>1.98217264762632E-2</v>
      </c>
    </row>
    <row r="21" spans="1:5" ht="50">
      <c r="A21" s="100">
        <v>2</v>
      </c>
      <c r="B21" s="89" t="s">
        <v>613</v>
      </c>
      <c r="C21" s="90" t="s">
        <v>115</v>
      </c>
      <c r="D21" s="166">
        <v>1.11647910621421E-3</v>
      </c>
      <c r="E21" s="166">
        <v>1.2403561178990601E-3</v>
      </c>
    </row>
    <row r="22" spans="1:5" ht="67.5" customHeight="1">
      <c r="A22" s="100">
        <v>3</v>
      </c>
      <c r="B22" s="89" t="s">
        <v>614</v>
      </c>
      <c r="C22" s="90" t="s">
        <v>116</v>
      </c>
      <c r="D22" s="166">
        <v>3.9979569822258803E-4</v>
      </c>
      <c r="E22" s="166">
        <v>4.12219294717607E-4</v>
      </c>
    </row>
    <row r="23" spans="1:5" ht="50.5" customHeight="1">
      <c r="A23" s="100">
        <v>4</v>
      </c>
      <c r="B23" s="89" t="s">
        <v>355</v>
      </c>
      <c r="C23" s="90" t="s">
        <v>117</v>
      </c>
      <c r="D23" s="166">
        <v>8.0599055109843506E-5</v>
      </c>
      <c r="E23" s="166">
        <v>9.0893462337911701E-5</v>
      </c>
    </row>
    <row r="24" spans="1:5" ht="58" customHeight="1">
      <c r="A24" s="100">
        <v>5</v>
      </c>
      <c r="B24" s="89" t="s">
        <v>615</v>
      </c>
      <c r="C24" s="90" t="s">
        <v>616</v>
      </c>
      <c r="D24" s="92"/>
      <c r="E24" s="92"/>
    </row>
    <row r="25" spans="1:5" ht="58" customHeight="1">
      <c r="A25" s="100">
        <v>6</v>
      </c>
      <c r="B25" s="89" t="s">
        <v>617</v>
      </c>
      <c r="C25" s="90" t="s">
        <v>585</v>
      </c>
      <c r="D25" s="92"/>
      <c r="E25" s="92"/>
    </row>
    <row r="26" spans="1:5" ht="50">
      <c r="A26" s="100">
        <v>7</v>
      </c>
      <c r="B26" s="89" t="s">
        <v>356</v>
      </c>
      <c r="C26" s="90" t="s">
        <v>118</v>
      </c>
      <c r="D26" s="166">
        <v>1.1806478827418001E-4</v>
      </c>
      <c r="E26" s="166">
        <v>1.3101206139257799E-4</v>
      </c>
    </row>
    <row r="27" spans="1:5" ht="34.5" customHeight="1">
      <c r="A27" s="100">
        <v>8</v>
      </c>
      <c r="B27" s="89" t="s">
        <v>618</v>
      </c>
      <c r="C27" s="90" t="s">
        <v>119</v>
      </c>
      <c r="D27" s="166">
        <v>2.1360736000794099E-2</v>
      </c>
      <c r="E27" s="166">
        <v>2.14704980814872E-2</v>
      </c>
    </row>
    <row r="28" spans="1:5" ht="27" customHeight="1">
      <c r="A28" s="100">
        <v>9</v>
      </c>
      <c r="B28" s="89" t="s">
        <v>701</v>
      </c>
      <c r="C28" s="90" t="s">
        <v>120</v>
      </c>
      <c r="D28" s="166">
        <v>3.74735336702429</v>
      </c>
      <c r="E28" s="166">
        <v>3.8076855072487001</v>
      </c>
    </row>
    <row r="29" spans="1:5" ht="54" customHeight="1">
      <c r="A29" s="100">
        <v>10</v>
      </c>
      <c r="B29" s="89" t="s">
        <v>619</v>
      </c>
      <c r="C29" s="90" t="s">
        <v>585</v>
      </c>
      <c r="D29" s="92"/>
      <c r="E29" s="92"/>
    </row>
    <row r="30" spans="1:5" s="132" customFormat="1" ht="31.5" customHeight="1">
      <c r="A30" s="39" t="s">
        <v>22</v>
      </c>
      <c r="B30" s="87" t="s">
        <v>121</v>
      </c>
      <c r="C30" s="88" t="s">
        <v>122</v>
      </c>
      <c r="D30" s="91"/>
      <c r="E30" s="91"/>
    </row>
    <row r="31" spans="1:5" ht="37.5">
      <c r="A31" s="240">
        <v>1</v>
      </c>
      <c r="B31" s="89" t="s">
        <v>123</v>
      </c>
      <c r="C31" s="90" t="s">
        <v>124</v>
      </c>
      <c r="D31" s="102">
        <v>284624564500</v>
      </c>
      <c r="E31" s="102">
        <v>279372456400</v>
      </c>
    </row>
    <row r="32" spans="1:5" ht="30.65" customHeight="1">
      <c r="A32" s="241"/>
      <c r="B32" s="89" t="s">
        <v>125</v>
      </c>
      <c r="C32" s="90" t="s">
        <v>126</v>
      </c>
      <c r="D32" s="102">
        <v>284624564500</v>
      </c>
      <c r="E32" s="102">
        <v>279372456400</v>
      </c>
    </row>
    <row r="33" spans="1:5" ht="30.65" customHeight="1">
      <c r="A33" s="242"/>
      <c r="B33" s="89" t="s">
        <v>620</v>
      </c>
      <c r="C33" s="90" t="s">
        <v>127</v>
      </c>
      <c r="D33" s="92">
        <v>28462456.449999999</v>
      </c>
      <c r="E33" s="92">
        <v>27937245.640000001</v>
      </c>
    </row>
    <row r="34" spans="1:5" ht="42.65" customHeight="1">
      <c r="A34" s="239">
        <v>2</v>
      </c>
      <c r="B34" s="89" t="s">
        <v>128</v>
      </c>
      <c r="C34" s="90" t="s">
        <v>129</v>
      </c>
      <c r="D34" s="102">
        <v>26225436000</v>
      </c>
      <c r="E34" s="102">
        <v>5252108100</v>
      </c>
    </row>
    <row r="35" spans="1:5" ht="31" customHeight="1">
      <c r="A35" s="239"/>
      <c r="B35" s="89" t="s">
        <v>130</v>
      </c>
      <c r="C35" s="90" t="s">
        <v>621</v>
      </c>
      <c r="D35" s="92">
        <v>2622543.6</v>
      </c>
      <c r="E35" s="92">
        <v>525210.81000000006</v>
      </c>
    </row>
    <row r="36" spans="1:5" ht="31" customHeight="1">
      <c r="A36" s="239"/>
      <c r="B36" s="89" t="s">
        <v>131</v>
      </c>
      <c r="C36" s="90" t="s">
        <v>622</v>
      </c>
      <c r="D36" s="102">
        <v>26225436000</v>
      </c>
      <c r="E36" s="102">
        <v>5252108100</v>
      </c>
    </row>
    <row r="37" spans="1:5" ht="31" customHeight="1">
      <c r="A37" s="239"/>
      <c r="B37" s="89" t="s">
        <v>623</v>
      </c>
      <c r="C37" s="90" t="s">
        <v>132</v>
      </c>
      <c r="D37" s="92">
        <v>4260361.5199999996</v>
      </c>
      <c r="E37" s="92">
        <v>2809199.52</v>
      </c>
    </row>
    <row r="38" spans="1:5" ht="31" customHeight="1">
      <c r="A38" s="239"/>
      <c r="B38" s="89" t="s">
        <v>327</v>
      </c>
      <c r="C38" s="90" t="s">
        <v>133</v>
      </c>
      <c r="D38" s="102">
        <v>42603615200</v>
      </c>
      <c r="E38" s="102">
        <v>28091995200</v>
      </c>
    </row>
    <row r="39" spans="1:5" ht="31" customHeight="1">
      <c r="A39" s="239"/>
      <c r="B39" s="89" t="s">
        <v>645</v>
      </c>
      <c r="C39" s="90" t="s">
        <v>134</v>
      </c>
      <c r="D39" s="92">
        <v>-1637817.92</v>
      </c>
      <c r="E39" s="92">
        <v>-2283988.71</v>
      </c>
    </row>
    <row r="40" spans="1:5" ht="44.5" customHeight="1">
      <c r="A40" s="239"/>
      <c r="B40" s="89" t="s">
        <v>328</v>
      </c>
      <c r="C40" s="90" t="s">
        <v>135</v>
      </c>
      <c r="D40" s="102">
        <v>-16378179200</v>
      </c>
      <c r="E40" s="102">
        <v>-22839887100</v>
      </c>
    </row>
    <row r="41" spans="1:5" ht="35.15" customHeight="1">
      <c r="A41" s="239">
        <v>3</v>
      </c>
      <c r="B41" s="89" t="s">
        <v>329</v>
      </c>
      <c r="C41" s="90" t="s">
        <v>136</v>
      </c>
      <c r="D41" s="102">
        <v>310850000500</v>
      </c>
      <c r="E41" s="102">
        <v>284624564500</v>
      </c>
    </row>
    <row r="42" spans="1:5" ht="37.5">
      <c r="A42" s="239"/>
      <c r="B42" s="89" t="s">
        <v>624</v>
      </c>
      <c r="C42" s="90" t="s">
        <v>137</v>
      </c>
      <c r="D42" s="102">
        <v>310850000500</v>
      </c>
      <c r="E42" s="102">
        <v>284624564500</v>
      </c>
    </row>
    <row r="43" spans="1:5" ht="34" customHeight="1">
      <c r="A43" s="239"/>
      <c r="B43" s="89" t="s">
        <v>625</v>
      </c>
      <c r="C43" s="90" t="s">
        <v>138</v>
      </c>
      <c r="D43" s="92">
        <v>31085000.050000001</v>
      </c>
      <c r="E43" s="92">
        <v>28462456.449999999</v>
      </c>
    </row>
    <row r="44" spans="1:5" ht="60.65" customHeight="1">
      <c r="A44" s="100">
        <v>4</v>
      </c>
      <c r="B44" s="89" t="s">
        <v>139</v>
      </c>
      <c r="C44" s="90" t="s">
        <v>140</v>
      </c>
      <c r="D44" s="166">
        <v>5.1200000000000002E-2</v>
      </c>
      <c r="E44" s="166">
        <v>2.6925118053189E-3</v>
      </c>
    </row>
    <row r="45" spans="1:5" ht="31.5" customHeight="1">
      <c r="A45" s="100">
        <v>5</v>
      </c>
      <c r="B45" s="89" t="s">
        <v>141</v>
      </c>
      <c r="C45" s="90" t="s">
        <v>142</v>
      </c>
      <c r="D45" s="166">
        <v>0.2079</v>
      </c>
      <c r="E45" s="166">
        <v>0.17430000000000001</v>
      </c>
    </row>
    <row r="46" spans="1:5" ht="31.5" customHeight="1">
      <c r="A46" s="100">
        <v>6</v>
      </c>
      <c r="B46" s="89" t="s">
        <v>143</v>
      </c>
      <c r="C46" s="90" t="s">
        <v>144</v>
      </c>
      <c r="D46" s="166">
        <v>0.16619999999999999</v>
      </c>
      <c r="E46" s="166">
        <v>0.1221</v>
      </c>
    </row>
    <row r="47" spans="1:5" ht="31.5" customHeight="1">
      <c r="A47" s="100">
        <v>7</v>
      </c>
      <c r="B47" s="89" t="s">
        <v>145</v>
      </c>
      <c r="C47" s="90" t="s">
        <v>146</v>
      </c>
      <c r="D47" s="102">
        <v>33484</v>
      </c>
      <c r="E47" s="102">
        <v>33341</v>
      </c>
    </row>
    <row r="48" spans="1:5" ht="31.5" customHeight="1">
      <c r="A48" s="100">
        <v>8</v>
      </c>
      <c r="B48" s="89" t="s">
        <v>330</v>
      </c>
      <c r="C48" s="90" t="s">
        <v>147</v>
      </c>
      <c r="D48" s="92">
        <v>81062.399999999994</v>
      </c>
      <c r="E48" s="92">
        <v>80612.89</v>
      </c>
    </row>
    <row r="49" spans="1:5" ht="25">
      <c r="A49" s="100">
        <v>9</v>
      </c>
      <c r="B49" s="89" t="s">
        <v>626</v>
      </c>
      <c r="C49" s="90" t="s">
        <v>586</v>
      </c>
      <c r="D49" s="92"/>
      <c r="E49" s="92"/>
    </row>
    <row r="50" spans="1:5" ht="31.5" customHeight="1">
      <c r="A50" s="238" t="s">
        <v>696</v>
      </c>
      <c r="B50" s="215"/>
      <c r="C50" s="215"/>
      <c r="D50" s="215"/>
      <c r="E50" s="215"/>
    </row>
    <row r="51" spans="1:5" ht="95.25" customHeight="1">
      <c r="A51" s="238" t="s">
        <v>1384</v>
      </c>
      <c r="B51" s="215"/>
      <c r="C51" s="215"/>
      <c r="D51" s="215"/>
      <c r="E51" s="215"/>
    </row>
    <row r="52" spans="1:5" ht="12.5">
      <c r="A52" s="25" t="s">
        <v>10</v>
      </c>
      <c r="D52" s="25" t="s">
        <v>11</v>
      </c>
    </row>
    <row r="53" spans="1:5" s="133" customFormat="1" ht="12.5">
      <c r="A53" s="26" t="s">
        <v>12</v>
      </c>
      <c r="B53" s="26"/>
      <c r="C53" s="26"/>
      <c r="D53" s="26" t="s">
        <v>13</v>
      </c>
      <c r="E53" s="26"/>
    </row>
    <row r="54" spans="1:5" ht="12.5"/>
    <row r="55" spans="1:5" ht="12.5"/>
    <row r="56" spans="1:5" ht="12.5"/>
    <row r="57" spans="1:5" ht="12.5"/>
    <row r="58" spans="1:5" ht="12.5"/>
    <row r="59" spans="1:5" ht="12.5"/>
    <row r="60" spans="1:5" ht="12.5"/>
    <row r="61" spans="1:5" ht="12.5"/>
    <row r="62" spans="1:5" ht="12.5">
      <c r="A62" s="38"/>
      <c r="B62" s="38"/>
      <c r="D62" s="38"/>
      <c r="E62" s="38"/>
    </row>
    <row r="63" spans="1:5" ht="12.5">
      <c r="A63" s="25" t="s">
        <v>14</v>
      </c>
      <c r="D63" s="25" t="s">
        <v>1362</v>
      </c>
    </row>
    <row r="64" spans="1:5" ht="12.5">
      <c r="A64" s="25" t="s">
        <v>1368</v>
      </c>
      <c r="D64" s="25" t="s">
        <v>1369</v>
      </c>
    </row>
    <row r="65" spans="1:4" ht="12.5">
      <c r="A65" s="15" t="s">
        <v>1370</v>
      </c>
      <c r="D65" s="15" t="s">
        <v>1371</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&amp;L&amp;"Arial"&amp;9&amp;KA80000CONFIDENTIAL&amp;1#</oddHeader>
  </headerFooter>
  <rowBreaks count="1" manualBreakCount="1">
    <brk id="39" max="4"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topLeftCell="A122" zoomScaleNormal="100" zoomScaleSheetLayoutView="100" workbookViewId="0">
      <selection activeCell="C130" sqref="C130"/>
    </sheetView>
  </sheetViews>
  <sheetFormatPr defaultColWidth="8.7265625" defaultRowHeight="12.5"/>
  <cols>
    <col min="1" max="1" width="7.1796875" style="15" customWidth="1"/>
    <col min="2" max="2" width="81" style="15" customWidth="1"/>
    <col min="3" max="3" width="10.54296875" style="15" customWidth="1"/>
    <col min="4" max="4" width="15.1796875" style="15" customWidth="1"/>
    <col min="5" max="5" width="27.54296875" style="15" customWidth="1"/>
    <col min="6" max="6" width="28" style="15" bestFit="1" customWidth="1"/>
    <col min="7" max="7" width="8.7265625" style="1"/>
    <col min="8" max="16384" width="8.7265625" style="30"/>
  </cols>
  <sheetData>
    <row r="1" spans="1:6" ht="65.25" customHeight="1">
      <c r="A1" s="216" t="s">
        <v>697</v>
      </c>
      <c r="B1" s="216"/>
      <c r="C1" s="216"/>
      <c r="D1" s="216"/>
      <c r="E1" s="216"/>
      <c r="F1" s="216"/>
    </row>
    <row r="2" spans="1:6" ht="64.5" customHeight="1">
      <c r="A2" s="217" t="s">
        <v>698</v>
      </c>
      <c r="B2" s="217"/>
      <c r="C2" s="217"/>
      <c r="D2" s="217"/>
      <c r="E2" s="217"/>
      <c r="F2" s="217"/>
    </row>
    <row r="3" spans="1:6" ht="31.15" customHeight="1">
      <c r="A3" s="218" t="s">
        <v>234</v>
      </c>
      <c r="B3" s="218"/>
      <c r="C3" s="218"/>
      <c r="D3" s="218"/>
      <c r="E3" s="218"/>
      <c r="F3" s="218"/>
    </row>
    <row r="4" spans="1:6" ht="6" customHeight="1"/>
    <row r="5" spans="1:6" ht="16.899999999999999" customHeight="1">
      <c r="A5" s="219" t="s">
        <v>1360</v>
      </c>
      <c r="B5" s="219"/>
      <c r="C5" s="219"/>
      <c r="D5" s="219"/>
      <c r="E5" s="219"/>
      <c r="F5" s="219"/>
    </row>
    <row r="6" spans="1:6" ht="16.899999999999999" customHeight="1"/>
    <row r="7" spans="1:6" ht="16.899999999999999" customHeight="1">
      <c r="A7" s="134" t="s">
        <v>2</v>
      </c>
      <c r="C7" s="210" t="s">
        <v>1362</v>
      </c>
      <c r="D7" s="210"/>
      <c r="E7" s="210"/>
      <c r="F7" s="210"/>
    </row>
    <row r="8" spans="1:6" ht="16.899999999999999" customHeight="1">
      <c r="A8" s="15" t="s">
        <v>15</v>
      </c>
      <c r="C8" s="238" t="s">
        <v>1363</v>
      </c>
      <c r="D8" s="238"/>
      <c r="E8" s="238"/>
      <c r="F8" s="238"/>
    </row>
    <row r="9" spans="1:6" ht="16.899999999999999" customHeight="1">
      <c r="A9" s="134" t="s">
        <v>3</v>
      </c>
      <c r="C9" s="210" t="s">
        <v>1364</v>
      </c>
      <c r="D9" s="210"/>
      <c r="E9" s="210"/>
      <c r="F9" s="210"/>
    </row>
    <row r="10" spans="1:6" ht="16.899999999999999" customHeight="1">
      <c r="A10" s="15" t="s">
        <v>4</v>
      </c>
      <c r="C10" s="238" t="s">
        <v>1365</v>
      </c>
      <c r="D10" s="238"/>
      <c r="E10" s="238"/>
      <c r="F10" s="238"/>
    </row>
    <row r="11" spans="1:6" ht="16.899999999999999" customHeight="1">
      <c r="A11" s="134" t="s">
        <v>5</v>
      </c>
      <c r="C11" s="210" t="s">
        <v>690</v>
      </c>
      <c r="D11" s="210"/>
      <c r="E11" s="210"/>
      <c r="F11" s="210"/>
    </row>
    <row r="12" spans="1:6" ht="16.899999999999999" customHeight="1">
      <c r="A12" s="15" t="s">
        <v>6</v>
      </c>
      <c r="C12" s="238" t="s">
        <v>1382</v>
      </c>
      <c r="D12" s="238"/>
      <c r="E12" s="238"/>
      <c r="F12" s="238"/>
    </row>
    <row r="13" spans="1:6" ht="16.899999999999999" customHeight="1">
      <c r="A13" s="134" t="s">
        <v>7</v>
      </c>
      <c r="C13" s="210" t="s">
        <v>1366</v>
      </c>
      <c r="D13" s="210"/>
      <c r="E13" s="210"/>
      <c r="F13" s="210"/>
    </row>
    <row r="14" spans="1:6" ht="16.899999999999999" customHeight="1">
      <c r="A14" s="15" t="s">
        <v>8</v>
      </c>
      <c r="C14" s="238" t="s">
        <v>1367</v>
      </c>
      <c r="D14" s="238"/>
      <c r="E14" s="238"/>
      <c r="F14" s="238"/>
    </row>
    <row r="15" spans="1:6" ht="16.899999999999999" customHeight="1"/>
    <row r="16" spans="1:6" ht="46.9" customHeight="1">
      <c r="A16" s="31" t="s">
        <v>235</v>
      </c>
      <c r="B16" s="31" t="s">
        <v>149</v>
      </c>
      <c r="C16" s="31" t="s">
        <v>150</v>
      </c>
      <c r="D16" s="31" t="s">
        <v>151</v>
      </c>
      <c r="E16" s="31" t="s">
        <v>1372</v>
      </c>
      <c r="F16" s="31" t="s">
        <v>1373</v>
      </c>
    </row>
    <row r="17" spans="1:7" ht="30.65" customHeight="1">
      <c r="A17" s="16" t="s">
        <v>16</v>
      </c>
      <c r="B17" s="40" t="s">
        <v>381</v>
      </c>
      <c r="C17" s="11" t="s">
        <v>16</v>
      </c>
      <c r="D17" s="23"/>
      <c r="E17" s="23"/>
      <c r="F17" s="23"/>
    </row>
    <row r="18" spans="1:7" ht="30.65" customHeight="1">
      <c r="A18" s="42" t="s">
        <v>382</v>
      </c>
      <c r="B18" s="43" t="s">
        <v>383</v>
      </c>
      <c r="C18" s="44" t="s">
        <v>384</v>
      </c>
      <c r="D18" s="42"/>
      <c r="E18" s="41">
        <v>58966760393</v>
      </c>
      <c r="F18" s="41">
        <v>109135254537</v>
      </c>
    </row>
    <row r="19" spans="1:7" ht="30.65" customHeight="1">
      <c r="A19" s="42" t="s">
        <v>385</v>
      </c>
      <c r="B19" s="43" t="s">
        <v>386</v>
      </c>
      <c r="C19" s="44" t="s">
        <v>387</v>
      </c>
      <c r="D19" s="42"/>
      <c r="E19" s="41">
        <v>58966760393</v>
      </c>
      <c r="F19" s="41">
        <v>109135254537</v>
      </c>
    </row>
    <row r="20" spans="1:7" s="48" customFormat="1" ht="30.65" customHeight="1">
      <c r="A20" s="42" t="s">
        <v>388</v>
      </c>
      <c r="B20" s="45" t="s">
        <v>389</v>
      </c>
      <c r="C20" s="46" t="s">
        <v>390</v>
      </c>
      <c r="D20" s="42"/>
      <c r="E20" s="41">
        <v>8253542436</v>
      </c>
      <c r="F20" s="41">
        <v>7290573540</v>
      </c>
      <c r="G20" s="47"/>
    </row>
    <row r="21" spans="1:7" s="48" customFormat="1" ht="30.65" customHeight="1">
      <c r="A21" s="42" t="s">
        <v>388</v>
      </c>
      <c r="B21" s="45" t="s">
        <v>391</v>
      </c>
      <c r="C21" s="46" t="s">
        <v>392</v>
      </c>
      <c r="D21" s="42"/>
      <c r="E21" s="41">
        <v>151980129</v>
      </c>
      <c r="F21" s="41">
        <v>213429560</v>
      </c>
      <c r="G21" s="47"/>
    </row>
    <row r="22" spans="1:7" s="48" customFormat="1" ht="30.65" customHeight="1">
      <c r="A22" s="42" t="s">
        <v>388</v>
      </c>
      <c r="B22" s="45" t="s">
        <v>393</v>
      </c>
      <c r="C22" s="46" t="s">
        <v>394</v>
      </c>
      <c r="D22" s="42"/>
      <c r="E22" s="41">
        <v>50561237828</v>
      </c>
      <c r="F22" s="41">
        <v>101631251437</v>
      </c>
      <c r="G22" s="47"/>
    </row>
    <row r="23" spans="1:7" ht="30.65" customHeight="1">
      <c r="A23" s="42" t="s">
        <v>388</v>
      </c>
      <c r="B23" s="45" t="s">
        <v>21</v>
      </c>
      <c r="C23" s="46" t="s">
        <v>395</v>
      </c>
      <c r="D23" s="42"/>
      <c r="E23" s="41">
        <v>0</v>
      </c>
      <c r="F23" s="41">
        <v>0</v>
      </c>
    </row>
    <row r="24" spans="1:7" ht="30.65" customHeight="1">
      <c r="A24" s="42" t="s">
        <v>396</v>
      </c>
      <c r="B24" s="43" t="s">
        <v>397</v>
      </c>
      <c r="C24" s="44" t="s">
        <v>398</v>
      </c>
      <c r="D24" s="42"/>
      <c r="E24" s="41">
        <v>0</v>
      </c>
      <c r="F24" s="41">
        <v>0</v>
      </c>
    </row>
    <row r="25" spans="1:7" ht="30.65" customHeight="1">
      <c r="A25" s="42" t="s">
        <v>399</v>
      </c>
      <c r="B25" s="43" t="s">
        <v>400</v>
      </c>
      <c r="C25" s="44" t="s">
        <v>401</v>
      </c>
      <c r="D25" s="42"/>
      <c r="E25" s="41">
        <v>2536149865950</v>
      </c>
      <c r="F25" s="41">
        <v>2227235763000</v>
      </c>
    </row>
    <row r="26" spans="1:7" ht="30.65" customHeight="1">
      <c r="A26" s="42" t="s">
        <v>402</v>
      </c>
      <c r="B26" s="43" t="s">
        <v>403</v>
      </c>
      <c r="C26" s="44" t="s">
        <v>404</v>
      </c>
      <c r="D26" s="42"/>
      <c r="E26" s="41">
        <v>2536149865950</v>
      </c>
      <c r="F26" s="41">
        <v>2227235763000</v>
      </c>
    </row>
    <row r="27" spans="1:7" ht="30.65" customHeight="1">
      <c r="A27" s="42" t="s">
        <v>388</v>
      </c>
      <c r="B27" s="45" t="s">
        <v>702</v>
      </c>
      <c r="C27" s="46" t="s">
        <v>405</v>
      </c>
      <c r="D27" s="42"/>
      <c r="E27" s="41">
        <v>2535160693950</v>
      </c>
      <c r="F27" s="41">
        <v>2225501913000</v>
      </c>
    </row>
    <row r="28" spans="1:7" ht="30.65" customHeight="1">
      <c r="A28" s="42" t="s">
        <v>388</v>
      </c>
      <c r="B28" s="45" t="s">
        <v>703</v>
      </c>
      <c r="C28" s="46" t="s">
        <v>406</v>
      </c>
      <c r="D28" s="42"/>
      <c r="E28" s="41">
        <v>0</v>
      </c>
      <c r="F28" s="41">
        <v>0</v>
      </c>
    </row>
    <row r="29" spans="1:7" ht="30.65" customHeight="1">
      <c r="A29" s="42" t="s">
        <v>388</v>
      </c>
      <c r="B29" s="45" t="s">
        <v>407</v>
      </c>
      <c r="C29" s="46" t="s">
        <v>408</v>
      </c>
      <c r="D29" s="42"/>
      <c r="E29" s="41">
        <v>0</v>
      </c>
      <c r="F29" s="41">
        <v>0</v>
      </c>
    </row>
    <row r="30" spans="1:7" ht="30.65" customHeight="1">
      <c r="A30" s="42" t="s">
        <v>388</v>
      </c>
      <c r="B30" s="45" t="s">
        <v>409</v>
      </c>
      <c r="C30" s="46" t="s">
        <v>410</v>
      </c>
      <c r="D30" s="42"/>
      <c r="E30" s="41">
        <v>0</v>
      </c>
      <c r="F30" s="41">
        <v>0</v>
      </c>
    </row>
    <row r="31" spans="1:7" ht="30.65" customHeight="1">
      <c r="A31" s="42" t="s">
        <v>388</v>
      </c>
      <c r="B31" s="45" t="s">
        <v>708</v>
      </c>
      <c r="C31" s="46" t="s">
        <v>411</v>
      </c>
      <c r="D31" s="42"/>
      <c r="E31" s="41">
        <v>0</v>
      </c>
      <c r="F31" s="41">
        <v>0</v>
      </c>
    </row>
    <row r="32" spans="1:7" ht="30.65" customHeight="1">
      <c r="A32" s="42" t="s">
        <v>388</v>
      </c>
      <c r="B32" s="45" t="s">
        <v>368</v>
      </c>
      <c r="C32" s="46" t="s">
        <v>412</v>
      </c>
      <c r="D32" s="42"/>
      <c r="E32" s="41">
        <v>0</v>
      </c>
      <c r="F32" s="41">
        <v>0</v>
      </c>
    </row>
    <row r="33" spans="1:6" ht="30.65" customHeight="1">
      <c r="A33" s="42" t="s">
        <v>388</v>
      </c>
      <c r="B33" s="45" t="s">
        <v>369</v>
      </c>
      <c r="C33" s="46" t="s">
        <v>413</v>
      </c>
      <c r="D33" s="42"/>
      <c r="E33" s="41">
        <v>989172000</v>
      </c>
      <c r="F33" s="41">
        <v>1733850000</v>
      </c>
    </row>
    <row r="34" spans="1:6" ht="30.65" customHeight="1">
      <c r="A34" s="42" t="s">
        <v>388</v>
      </c>
      <c r="B34" s="45" t="s">
        <v>370</v>
      </c>
      <c r="C34" s="46" t="s">
        <v>414</v>
      </c>
      <c r="D34" s="42"/>
      <c r="E34" s="41">
        <v>0</v>
      </c>
      <c r="F34" s="41">
        <v>0</v>
      </c>
    </row>
    <row r="35" spans="1:6" ht="30.65" customHeight="1">
      <c r="A35" s="42" t="s">
        <v>388</v>
      </c>
      <c r="B35" s="45" t="s">
        <v>415</v>
      </c>
      <c r="C35" s="46" t="s">
        <v>416</v>
      </c>
      <c r="D35" s="42"/>
      <c r="E35" s="41">
        <v>0</v>
      </c>
      <c r="F35" s="41">
        <v>0</v>
      </c>
    </row>
    <row r="36" spans="1:6" ht="30.65" customHeight="1">
      <c r="A36" s="42" t="s">
        <v>388</v>
      </c>
      <c r="B36" s="45" t="s">
        <v>371</v>
      </c>
      <c r="C36" s="46" t="s">
        <v>417</v>
      </c>
      <c r="D36" s="42"/>
      <c r="E36" s="41">
        <v>0</v>
      </c>
      <c r="F36" s="41">
        <v>0</v>
      </c>
    </row>
    <row r="37" spans="1:6" ht="30.65" customHeight="1">
      <c r="A37" s="42" t="s">
        <v>418</v>
      </c>
      <c r="B37" s="43" t="s">
        <v>419</v>
      </c>
      <c r="C37" s="44" t="s">
        <v>420</v>
      </c>
      <c r="D37" s="42"/>
      <c r="E37" s="41">
        <v>0</v>
      </c>
      <c r="F37" s="41">
        <v>0</v>
      </c>
    </row>
    <row r="38" spans="1:6" ht="30.65" customHeight="1">
      <c r="A38" s="42" t="s">
        <v>421</v>
      </c>
      <c r="B38" s="43" t="s">
        <v>422</v>
      </c>
      <c r="C38" s="44" t="s">
        <v>423</v>
      </c>
      <c r="D38" s="42"/>
      <c r="E38" s="41">
        <v>52894006671</v>
      </c>
      <c r="F38" s="41">
        <v>73813007920</v>
      </c>
    </row>
    <row r="39" spans="1:6" ht="30.65" customHeight="1">
      <c r="A39" s="42" t="s">
        <v>424</v>
      </c>
      <c r="B39" s="43" t="s">
        <v>425</v>
      </c>
      <c r="C39" s="44" t="s">
        <v>426</v>
      </c>
      <c r="D39" s="42"/>
      <c r="E39" s="41">
        <v>48528246100</v>
      </c>
      <c r="F39" s="41">
        <v>72490906000</v>
      </c>
    </row>
    <row r="40" spans="1:6" ht="30.65" customHeight="1">
      <c r="A40" s="42" t="s">
        <v>388</v>
      </c>
      <c r="B40" s="45" t="s">
        <v>427</v>
      </c>
      <c r="C40" s="46" t="s">
        <v>428</v>
      </c>
      <c r="D40" s="42"/>
      <c r="E40" s="41">
        <v>0</v>
      </c>
      <c r="F40" s="41">
        <v>0</v>
      </c>
    </row>
    <row r="41" spans="1:6" ht="30.65" customHeight="1">
      <c r="A41" s="42" t="s">
        <v>429</v>
      </c>
      <c r="B41" s="43" t="s">
        <v>430</v>
      </c>
      <c r="C41" s="44" t="s">
        <v>431</v>
      </c>
      <c r="D41" s="42"/>
      <c r="E41" s="41">
        <v>5195706000</v>
      </c>
      <c r="F41" s="41">
        <v>2140160000</v>
      </c>
    </row>
    <row r="42" spans="1:6" ht="30.65" customHeight="1">
      <c r="A42" s="42" t="s">
        <v>432</v>
      </c>
      <c r="B42" s="43" t="s">
        <v>433</v>
      </c>
      <c r="C42" s="44" t="s">
        <v>434</v>
      </c>
      <c r="D42" s="42"/>
      <c r="E42" s="41">
        <v>866400000</v>
      </c>
      <c r="F42" s="41">
        <v>866400000</v>
      </c>
    </row>
    <row r="43" spans="1:6" ht="30.65" customHeight="1">
      <c r="A43" s="42" t="s">
        <v>388</v>
      </c>
      <c r="B43" s="45" t="s">
        <v>372</v>
      </c>
      <c r="C43" s="46" t="s">
        <v>435</v>
      </c>
      <c r="D43" s="42"/>
      <c r="E43" s="41">
        <v>866400000</v>
      </c>
      <c r="F43" s="41">
        <v>866400000</v>
      </c>
    </row>
    <row r="44" spans="1:6" ht="30.65" customHeight="1">
      <c r="A44" s="42" t="s">
        <v>388</v>
      </c>
      <c r="B44" s="45" t="s">
        <v>373</v>
      </c>
      <c r="C44" s="46" t="s">
        <v>436</v>
      </c>
      <c r="D44" s="42"/>
      <c r="E44" s="41">
        <v>0</v>
      </c>
      <c r="F44" s="41">
        <v>0</v>
      </c>
    </row>
    <row r="45" spans="1:6" ht="30.65" customHeight="1">
      <c r="A45" s="42" t="s">
        <v>388</v>
      </c>
      <c r="B45" s="45" t="s">
        <v>437</v>
      </c>
      <c r="C45" s="46" t="s">
        <v>438</v>
      </c>
      <c r="D45" s="42"/>
      <c r="E45" s="41">
        <v>0</v>
      </c>
      <c r="F45" s="41">
        <v>0</v>
      </c>
    </row>
    <row r="46" spans="1:6" ht="30.65" customHeight="1">
      <c r="A46" s="42" t="s">
        <v>388</v>
      </c>
      <c r="B46" s="45" t="s">
        <v>439</v>
      </c>
      <c r="C46" s="46" t="s">
        <v>440</v>
      </c>
      <c r="D46" s="42"/>
      <c r="E46" s="41">
        <v>0</v>
      </c>
      <c r="F46" s="41">
        <v>0</v>
      </c>
    </row>
    <row r="47" spans="1:6" ht="30.65" customHeight="1">
      <c r="A47" s="42" t="s">
        <v>388</v>
      </c>
      <c r="B47" s="45" t="s">
        <v>711</v>
      </c>
      <c r="C47" s="46" t="s">
        <v>441</v>
      </c>
      <c r="D47" s="42"/>
      <c r="E47" s="41">
        <v>0</v>
      </c>
      <c r="F47" s="41">
        <v>0</v>
      </c>
    </row>
    <row r="48" spans="1:6" ht="30.65" customHeight="1">
      <c r="A48" s="42" t="s">
        <v>388</v>
      </c>
      <c r="B48" s="43" t="s">
        <v>442</v>
      </c>
      <c r="C48" s="44" t="s">
        <v>443</v>
      </c>
      <c r="D48" s="42"/>
      <c r="E48" s="41">
        <v>866400000</v>
      </c>
      <c r="F48" s="41">
        <v>866400000</v>
      </c>
    </row>
    <row r="49" spans="1:7" ht="30.65" customHeight="1">
      <c r="A49" s="42" t="s">
        <v>444</v>
      </c>
      <c r="B49" s="43" t="s">
        <v>445</v>
      </c>
      <c r="C49" s="44" t="s">
        <v>446</v>
      </c>
      <c r="D49" s="42"/>
      <c r="E49" s="41">
        <v>4329306000</v>
      </c>
      <c r="F49" s="41">
        <v>1273760000</v>
      </c>
    </row>
    <row r="50" spans="1:7" ht="30.65" customHeight="1">
      <c r="A50" s="42" t="s">
        <v>388</v>
      </c>
      <c r="B50" s="45" t="s">
        <v>447</v>
      </c>
      <c r="C50" s="46" t="s">
        <v>448</v>
      </c>
      <c r="D50" s="42"/>
      <c r="E50" s="41">
        <v>4329306000</v>
      </c>
      <c r="F50" s="41">
        <v>1273760000</v>
      </c>
    </row>
    <row r="51" spans="1:7" ht="30.65" customHeight="1">
      <c r="A51" s="42" t="s">
        <v>388</v>
      </c>
      <c r="B51" s="45" t="s">
        <v>449</v>
      </c>
      <c r="C51" s="46" t="s">
        <v>450</v>
      </c>
      <c r="D51" s="42"/>
      <c r="E51" s="41">
        <v>0</v>
      </c>
      <c r="F51" s="41">
        <v>0</v>
      </c>
    </row>
    <row r="52" spans="1:7" ht="30.65" customHeight="1">
      <c r="A52" s="42" t="s">
        <v>388</v>
      </c>
      <c r="B52" s="45" t="s">
        <v>451</v>
      </c>
      <c r="C52" s="46" t="s">
        <v>452</v>
      </c>
      <c r="D52" s="42"/>
      <c r="E52" s="41">
        <v>0</v>
      </c>
      <c r="F52" s="41">
        <v>0</v>
      </c>
    </row>
    <row r="53" spans="1:7" ht="30.65" customHeight="1">
      <c r="A53" s="42" t="s">
        <v>388</v>
      </c>
      <c r="B53" s="45" t="s">
        <v>453</v>
      </c>
      <c r="C53" s="46" t="s">
        <v>454</v>
      </c>
      <c r="D53" s="42"/>
      <c r="E53" s="41">
        <v>0</v>
      </c>
      <c r="F53" s="41">
        <v>0</v>
      </c>
    </row>
    <row r="54" spans="1:7" ht="30.65" customHeight="1">
      <c r="A54" s="42" t="s">
        <v>388</v>
      </c>
      <c r="B54" s="45" t="s">
        <v>712</v>
      </c>
      <c r="C54" s="46" t="s">
        <v>455</v>
      </c>
      <c r="D54" s="42"/>
      <c r="E54" s="41">
        <v>0</v>
      </c>
      <c r="F54" s="41">
        <v>0</v>
      </c>
    </row>
    <row r="55" spans="1:7" ht="30.65" customHeight="1">
      <c r="A55" s="42" t="s">
        <v>388</v>
      </c>
      <c r="B55" s="45" t="s">
        <v>456</v>
      </c>
      <c r="C55" s="46" t="s">
        <v>457</v>
      </c>
      <c r="D55" s="42"/>
      <c r="E55" s="41">
        <v>0</v>
      </c>
      <c r="F55" s="41">
        <v>0</v>
      </c>
    </row>
    <row r="56" spans="1:7" ht="30.65" customHeight="1">
      <c r="A56" s="42" t="s">
        <v>458</v>
      </c>
      <c r="B56" s="43" t="s">
        <v>459</v>
      </c>
      <c r="C56" s="44" t="s">
        <v>460</v>
      </c>
      <c r="D56" s="42"/>
      <c r="E56" s="41">
        <v>36454571</v>
      </c>
      <c r="F56" s="41">
        <v>48341920</v>
      </c>
    </row>
    <row r="57" spans="1:7" s="48" customFormat="1" ht="30.65" customHeight="1">
      <c r="A57" s="42" t="s">
        <v>388</v>
      </c>
      <c r="B57" s="45" t="s">
        <v>461</v>
      </c>
      <c r="C57" s="46" t="s">
        <v>462</v>
      </c>
      <c r="D57" s="42"/>
      <c r="E57" s="41">
        <v>0</v>
      </c>
      <c r="F57" s="41">
        <v>0</v>
      </c>
      <c r="G57" s="47"/>
    </row>
    <row r="58" spans="1:7" ht="30.65" customHeight="1">
      <c r="A58" s="42" t="s">
        <v>388</v>
      </c>
      <c r="B58" s="45" t="s">
        <v>463</v>
      </c>
      <c r="C58" s="46" t="s">
        <v>464</v>
      </c>
      <c r="D58" s="42"/>
      <c r="E58" s="41">
        <v>36454571</v>
      </c>
      <c r="F58" s="41">
        <v>48341920</v>
      </c>
    </row>
    <row r="59" spans="1:7" ht="30.65" customHeight="1">
      <c r="A59" s="42" t="s">
        <v>388</v>
      </c>
      <c r="B59" s="45" t="s">
        <v>465</v>
      </c>
      <c r="C59" s="46" t="s">
        <v>466</v>
      </c>
      <c r="D59" s="42"/>
      <c r="E59" s="41">
        <v>0</v>
      </c>
      <c r="F59" s="41">
        <v>0</v>
      </c>
    </row>
    <row r="60" spans="1:7" ht="30.65" customHeight="1">
      <c r="A60" s="42" t="s">
        <v>467</v>
      </c>
      <c r="B60" s="43" t="s">
        <v>468</v>
      </c>
      <c r="C60" s="44" t="s">
        <v>469</v>
      </c>
      <c r="D60" s="42"/>
      <c r="E60" s="41">
        <v>-866400000</v>
      </c>
      <c r="F60" s="41">
        <v>-866400000</v>
      </c>
    </row>
    <row r="61" spans="1:7" ht="30.65" customHeight="1">
      <c r="A61" s="16" t="s">
        <v>388</v>
      </c>
      <c r="B61" s="40" t="s">
        <v>374</v>
      </c>
      <c r="C61" s="11" t="s">
        <v>470</v>
      </c>
      <c r="D61" s="23"/>
      <c r="E61" s="23">
        <v>2648010633014</v>
      </c>
      <c r="F61" s="23">
        <v>2410184025457</v>
      </c>
    </row>
    <row r="62" spans="1:7" ht="30.65" customHeight="1">
      <c r="A62" s="16" t="s">
        <v>22</v>
      </c>
      <c r="B62" s="40" t="s">
        <v>471</v>
      </c>
      <c r="C62" s="11" t="s">
        <v>22</v>
      </c>
      <c r="D62" s="23"/>
      <c r="E62" s="23"/>
      <c r="F62" s="23"/>
    </row>
    <row r="63" spans="1:7" ht="30.65" customHeight="1">
      <c r="A63" s="42" t="s">
        <v>382</v>
      </c>
      <c r="B63" s="43" t="s">
        <v>472</v>
      </c>
      <c r="C63" s="44" t="s">
        <v>473</v>
      </c>
      <c r="D63" s="42"/>
      <c r="E63" s="41">
        <v>0</v>
      </c>
      <c r="F63" s="41">
        <v>0</v>
      </c>
    </row>
    <row r="64" spans="1:7" ht="30.65" customHeight="1">
      <c r="A64" s="42" t="s">
        <v>388</v>
      </c>
      <c r="B64" s="45" t="s">
        <v>474</v>
      </c>
      <c r="C64" s="46" t="s">
        <v>475</v>
      </c>
      <c r="D64" s="42"/>
      <c r="E64" s="41">
        <v>0</v>
      </c>
      <c r="F64" s="41">
        <v>0</v>
      </c>
    </row>
    <row r="65" spans="1:6" ht="30.65" customHeight="1">
      <c r="A65" s="42" t="s">
        <v>388</v>
      </c>
      <c r="B65" s="45" t="s">
        <v>476</v>
      </c>
      <c r="C65" s="46" t="s">
        <v>477</v>
      </c>
      <c r="D65" s="42"/>
      <c r="E65" s="41">
        <v>0</v>
      </c>
      <c r="F65" s="41">
        <v>0</v>
      </c>
    </row>
    <row r="66" spans="1:6" ht="30.65" customHeight="1">
      <c r="A66" s="42" t="s">
        <v>399</v>
      </c>
      <c r="B66" s="43" t="s">
        <v>478</v>
      </c>
      <c r="C66" s="44" t="s">
        <v>479</v>
      </c>
      <c r="D66" s="42"/>
      <c r="E66" s="41">
        <v>47045700000</v>
      </c>
      <c r="F66" s="41">
        <v>79980355000</v>
      </c>
    </row>
    <row r="67" spans="1:6" ht="30.65" customHeight="1">
      <c r="A67" s="42" t="s">
        <v>421</v>
      </c>
      <c r="B67" s="43" t="s">
        <v>480</v>
      </c>
      <c r="C67" s="44" t="s">
        <v>481</v>
      </c>
      <c r="D67" s="42"/>
      <c r="E67" s="41">
        <v>325061456</v>
      </c>
      <c r="F67" s="41">
        <v>222329283</v>
      </c>
    </row>
    <row r="68" spans="1:6" ht="30.65" customHeight="1">
      <c r="A68" s="42" t="s">
        <v>388</v>
      </c>
      <c r="B68" s="45" t="s">
        <v>482</v>
      </c>
      <c r="C68" s="46" t="s">
        <v>483</v>
      </c>
      <c r="D68" s="42"/>
      <c r="E68" s="41">
        <v>6835448</v>
      </c>
      <c r="F68" s="41">
        <v>6835448</v>
      </c>
    </row>
    <row r="69" spans="1:6" ht="30.65" customHeight="1">
      <c r="A69" s="42" t="s">
        <v>388</v>
      </c>
      <c r="B69" s="45" t="s">
        <v>484</v>
      </c>
      <c r="C69" s="46" t="s">
        <v>485</v>
      </c>
      <c r="D69" s="42"/>
      <c r="E69" s="41">
        <v>318226008</v>
      </c>
      <c r="F69" s="41">
        <v>215493835</v>
      </c>
    </row>
    <row r="70" spans="1:6" ht="30.65" customHeight="1">
      <c r="A70" s="42" t="s">
        <v>486</v>
      </c>
      <c r="B70" s="43" t="s">
        <v>487</v>
      </c>
      <c r="C70" s="44" t="s">
        <v>488</v>
      </c>
      <c r="D70" s="42"/>
      <c r="E70" s="41">
        <v>125701915</v>
      </c>
      <c r="F70" s="41">
        <v>180331857</v>
      </c>
    </row>
    <row r="71" spans="1:6" ht="30.65" customHeight="1">
      <c r="A71" s="42" t="s">
        <v>489</v>
      </c>
      <c r="B71" s="43" t="s">
        <v>490</v>
      </c>
      <c r="C71" s="44" t="s">
        <v>491</v>
      </c>
      <c r="D71" s="42"/>
      <c r="E71" s="41">
        <v>39925000</v>
      </c>
      <c r="F71" s="41">
        <v>39925000</v>
      </c>
    </row>
    <row r="72" spans="1:6" ht="30.65" customHeight="1">
      <c r="A72" s="42" t="s">
        <v>492</v>
      </c>
      <c r="B72" s="43" t="s">
        <v>493</v>
      </c>
      <c r="C72" s="44" t="s">
        <v>494</v>
      </c>
      <c r="D72" s="42"/>
      <c r="E72" s="41">
        <v>247804091</v>
      </c>
      <c r="F72" s="41">
        <v>319087722</v>
      </c>
    </row>
    <row r="73" spans="1:6" ht="30.65" customHeight="1">
      <c r="A73" s="42" t="s">
        <v>388</v>
      </c>
      <c r="B73" s="45" t="s">
        <v>377</v>
      </c>
      <c r="C73" s="46" t="s">
        <v>495</v>
      </c>
      <c r="D73" s="42"/>
      <c r="E73" s="41">
        <v>151294122</v>
      </c>
      <c r="F73" s="41">
        <v>246460016</v>
      </c>
    </row>
    <row r="74" spans="1:6" ht="30.65" customHeight="1">
      <c r="A74" s="42" t="s">
        <v>388</v>
      </c>
      <c r="B74" s="45" t="s">
        <v>496</v>
      </c>
      <c r="C74" s="46" t="s">
        <v>497</v>
      </c>
      <c r="D74" s="42"/>
      <c r="E74" s="41">
        <v>151294122</v>
      </c>
      <c r="F74" s="41">
        <v>246460016</v>
      </c>
    </row>
    <row r="75" spans="1:6" ht="30.65" customHeight="1">
      <c r="A75" s="42" t="s">
        <v>388</v>
      </c>
      <c r="B75" s="45" t="s">
        <v>498</v>
      </c>
      <c r="C75" s="46" t="s">
        <v>499</v>
      </c>
      <c r="D75" s="42"/>
      <c r="E75" s="41">
        <v>0</v>
      </c>
      <c r="F75" s="41">
        <v>0</v>
      </c>
    </row>
    <row r="76" spans="1:6" ht="30.65" customHeight="1">
      <c r="A76" s="42" t="s">
        <v>388</v>
      </c>
      <c r="B76" s="45" t="s">
        <v>500</v>
      </c>
      <c r="C76" s="46" t="s">
        <v>501</v>
      </c>
      <c r="D76" s="42"/>
      <c r="E76" s="41">
        <v>51880000</v>
      </c>
      <c r="F76" s="41">
        <v>35380000</v>
      </c>
    </row>
    <row r="77" spans="1:6" ht="30.65" customHeight="1">
      <c r="A77" s="42" t="s">
        <v>388</v>
      </c>
      <c r="B77" s="45" t="s">
        <v>502</v>
      </c>
      <c r="C77" s="46" t="s">
        <v>503</v>
      </c>
      <c r="D77" s="42"/>
      <c r="E77" s="41">
        <v>25381335</v>
      </c>
      <c r="F77" s="41">
        <v>18982679</v>
      </c>
    </row>
    <row r="78" spans="1:6" ht="30.65" customHeight="1">
      <c r="A78" s="42" t="s">
        <v>388</v>
      </c>
      <c r="B78" s="45" t="s">
        <v>504</v>
      </c>
      <c r="C78" s="46" t="s">
        <v>505</v>
      </c>
      <c r="D78" s="42"/>
      <c r="E78" s="41">
        <v>0</v>
      </c>
      <c r="F78" s="41">
        <v>0</v>
      </c>
    </row>
    <row r="79" spans="1:6" ht="30.65" customHeight="1">
      <c r="A79" s="42" t="s">
        <v>388</v>
      </c>
      <c r="B79" s="45" t="s">
        <v>506</v>
      </c>
      <c r="C79" s="46" t="s">
        <v>507</v>
      </c>
      <c r="D79" s="42"/>
      <c r="E79" s="41">
        <v>19248634</v>
      </c>
      <c r="F79" s="41">
        <v>18265027</v>
      </c>
    </row>
    <row r="80" spans="1:6" ht="30.65" customHeight="1">
      <c r="A80" s="42" t="s">
        <v>388</v>
      </c>
      <c r="B80" s="45" t="s">
        <v>508</v>
      </c>
      <c r="C80" s="46" t="s">
        <v>509</v>
      </c>
      <c r="D80" s="42"/>
      <c r="E80" s="41">
        <v>0</v>
      </c>
      <c r="F80" s="41">
        <v>0</v>
      </c>
    </row>
    <row r="81" spans="1:6" ht="30.65" customHeight="1">
      <c r="A81" s="42" t="s">
        <v>388</v>
      </c>
      <c r="B81" s="45" t="s">
        <v>510</v>
      </c>
      <c r="C81" s="46" t="s">
        <v>511</v>
      </c>
      <c r="D81" s="42"/>
      <c r="E81" s="41">
        <v>0</v>
      </c>
      <c r="F81" s="41">
        <v>0</v>
      </c>
    </row>
    <row r="82" spans="1:6" ht="30.65" customHeight="1">
      <c r="A82" s="42" t="s">
        <v>512</v>
      </c>
      <c r="B82" s="43" t="s">
        <v>513</v>
      </c>
      <c r="C82" s="44" t="s">
        <v>514</v>
      </c>
      <c r="D82" s="42"/>
      <c r="E82" s="41">
        <v>8253542436</v>
      </c>
      <c r="F82" s="41">
        <v>7290573540</v>
      </c>
    </row>
    <row r="83" spans="1:6" ht="30.65" customHeight="1">
      <c r="A83" s="42" t="s">
        <v>388</v>
      </c>
      <c r="B83" s="45" t="s">
        <v>375</v>
      </c>
      <c r="C83" s="46" t="s">
        <v>515</v>
      </c>
      <c r="D83" s="42"/>
      <c r="E83" s="41">
        <v>8253542436</v>
      </c>
      <c r="F83" s="41">
        <v>7290573540</v>
      </c>
    </row>
    <row r="84" spans="1:6" ht="30.65" customHeight="1">
      <c r="A84" s="42" t="s">
        <v>388</v>
      </c>
      <c r="B84" s="45" t="s">
        <v>376</v>
      </c>
      <c r="C84" s="46" t="s">
        <v>516</v>
      </c>
      <c r="D84" s="42"/>
      <c r="E84" s="41">
        <v>0</v>
      </c>
      <c r="F84" s="41">
        <v>0</v>
      </c>
    </row>
    <row r="85" spans="1:6" ht="30.65" customHeight="1">
      <c r="A85" s="42" t="s">
        <v>517</v>
      </c>
      <c r="B85" s="43" t="s">
        <v>518</v>
      </c>
      <c r="C85" s="44" t="s">
        <v>519</v>
      </c>
      <c r="D85" s="42"/>
      <c r="E85" s="41">
        <v>67693053224</v>
      </c>
      <c r="F85" s="41">
        <v>23470834590</v>
      </c>
    </row>
    <row r="86" spans="1:6" ht="30.65" customHeight="1">
      <c r="A86" s="42" t="s">
        <v>520</v>
      </c>
      <c r="B86" s="43" t="s">
        <v>521</v>
      </c>
      <c r="C86" s="44" t="s">
        <v>522</v>
      </c>
      <c r="D86" s="42"/>
      <c r="E86" s="41">
        <v>4241624717</v>
      </c>
      <c r="F86" s="41">
        <v>4034509011</v>
      </c>
    </row>
    <row r="87" spans="1:6" ht="30.65" customHeight="1">
      <c r="A87" s="42" t="s">
        <v>388</v>
      </c>
      <c r="B87" s="45" t="s">
        <v>523</v>
      </c>
      <c r="C87" s="46" t="s">
        <v>524</v>
      </c>
      <c r="D87" s="42"/>
      <c r="E87" s="41">
        <v>3926981906</v>
      </c>
      <c r="F87" s="41">
        <v>3718204013</v>
      </c>
    </row>
    <row r="88" spans="1:6" ht="30.65" customHeight="1">
      <c r="A88" s="42" t="s">
        <v>388</v>
      </c>
      <c r="B88" s="45" t="s">
        <v>525</v>
      </c>
      <c r="C88" s="46" t="s">
        <v>526</v>
      </c>
      <c r="D88" s="42"/>
      <c r="E88" s="41">
        <v>157453475</v>
      </c>
      <c r="F88" s="41">
        <v>166770852</v>
      </c>
    </row>
    <row r="89" spans="1:6" ht="30.65" customHeight="1">
      <c r="A89" s="42" t="s">
        <v>388</v>
      </c>
      <c r="B89" s="45" t="s">
        <v>23</v>
      </c>
      <c r="C89" s="46" t="s">
        <v>527</v>
      </c>
      <c r="D89" s="42"/>
      <c r="E89" s="41">
        <v>80553475</v>
      </c>
      <c r="F89" s="41">
        <v>76270852</v>
      </c>
    </row>
    <row r="90" spans="1:6" ht="30.65" customHeight="1">
      <c r="A90" s="42" t="s">
        <v>388</v>
      </c>
      <c r="B90" s="45" t="s">
        <v>35</v>
      </c>
      <c r="C90" s="46" t="s">
        <v>528</v>
      </c>
      <c r="D90" s="42"/>
      <c r="E90" s="41">
        <v>65900000</v>
      </c>
      <c r="F90" s="41">
        <v>79500000</v>
      </c>
    </row>
    <row r="91" spans="1:6" ht="30.65" customHeight="1">
      <c r="A91" s="42" t="s">
        <v>388</v>
      </c>
      <c r="B91" s="45" t="s">
        <v>713</v>
      </c>
      <c r="C91" s="46" t="s">
        <v>529</v>
      </c>
      <c r="D91" s="42"/>
      <c r="E91" s="41">
        <v>11000000</v>
      </c>
      <c r="F91" s="41">
        <v>11000000</v>
      </c>
    </row>
    <row r="92" spans="1:6" ht="30.65" customHeight="1">
      <c r="A92" s="42" t="s">
        <v>388</v>
      </c>
      <c r="B92" s="45" t="s">
        <v>530</v>
      </c>
      <c r="C92" s="46" t="s">
        <v>531</v>
      </c>
      <c r="D92" s="42"/>
      <c r="E92" s="41">
        <v>55380513</v>
      </c>
      <c r="F92" s="41">
        <v>52436209</v>
      </c>
    </row>
    <row r="93" spans="1:6" ht="30.65" customHeight="1">
      <c r="A93" s="42" t="s">
        <v>388</v>
      </c>
      <c r="B93" s="45" t="s">
        <v>532</v>
      </c>
      <c r="C93" s="46" t="s">
        <v>533</v>
      </c>
      <c r="D93" s="42"/>
      <c r="E93" s="41">
        <v>88608823</v>
      </c>
      <c r="F93" s="41">
        <v>83897937</v>
      </c>
    </row>
    <row r="94" spans="1:6" ht="30.65" customHeight="1">
      <c r="A94" s="42" t="s">
        <v>388</v>
      </c>
      <c r="B94" s="45" t="s">
        <v>534</v>
      </c>
      <c r="C94" s="46" t="s">
        <v>535</v>
      </c>
      <c r="D94" s="42"/>
      <c r="E94" s="41">
        <v>13200000</v>
      </c>
      <c r="F94" s="41">
        <v>13200000</v>
      </c>
    </row>
    <row r="95" spans="1:6" ht="30.65" customHeight="1">
      <c r="A95" s="42" t="s">
        <v>388</v>
      </c>
      <c r="B95" s="45" t="s">
        <v>536</v>
      </c>
      <c r="C95" s="46" t="s">
        <v>537</v>
      </c>
      <c r="D95" s="42"/>
      <c r="E95" s="41">
        <v>0</v>
      </c>
      <c r="F95" s="41">
        <v>0</v>
      </c>
    </row>
    <row r="96" spans="1:6" ht="30.65" customHeight="1">
      <c r="A96" s="42" t="s">
        <v>388</v>
      </c>
      <c r="B96" s="45" t="s">
        <v>538</v>
      </c>
      <c r="C96" s="46" t="s">
        <v>539</v>
      </c>
      <c r="D96" s="42"/>
      <c r="E96" s="41">
        <v>0</v>
      </c>
      <c r="F96" s="41">
        <v>0</v>
      </c>
    </row>
    <row r="97" spans="1:6" ht="30.65" customHeight="1">
      <c r="A97" s="42" t="s">
        <v>164</v>
      </c>
      <c r="B97" s="43" t="s">
        <v>540</v>
      </c>
      <c r="C97" s="44" t="s">
        <v>541</v>
      </c>
      <c r="D97" s="42"/>
      <c r="E97" s="41">
        <v>213297720</v>
      </c>
      <c r="F97" s="41">
        <v>205019923</v>
      </c>
    </row>
    <row r="98" spans="1:6" ht="30.65" customHeight="1">
      <c r="A98" s="42" t="s">
        <v>388</v>
      </c>
      <c r="B98" s="45" t="s">
        <v>379</v>
      </c>
      <c r="C98" s="46" t="s">
        <v>542</v>
      </c>
      <c r="D98" s="42"/>
      <c r="E98" s="41">
        <v>23500000</v>
      </c>
      <c r="F98" s="41">
        <v>15836957</v>
      </c>
    </row>
    <row r="99" spans="1:6" ht="30.65" customHeight="1">
      <c r="A99" s="42" t="s">
        <v>388</v>
      </c>
      <c r="B99" s="45" t="s">
        <v>380</v>
      </c>
      <c r="C99" s="46" t="s">
        <v>543</v>
      </c>
      <c r="D99" s="42"/>
      <c r="E99" s="41">
        <v>0</v>
      </c>
      <c r="F99" s="41">
        <v>0</v>
      </c>
    </row>
    <row r="100" spans="1:6" ht="30.65" customHeight="1">
      <c r="A100" s="42" t="s">
        <v>388</v>
      </c>
      <c r="B100" s="45" t="s">
        <v>544</v>
      </c>
      <c r="C100" s="46" t="s">
        <v>545</v>
      </c>
      <c r="D100" s="42"/>
      <c r="E100" s="41">
        <v>5614754</v>
      </c>
      <c r="F100" s="41">
        <v>5000000</v>
      </c>
    </row>
    <row r="101" spans="1:6" ht="30.65" customHeight="1">
      <c r="A101" s="42" t="s">
        <v>388</v>
      </c>
      <c r="B101" s="45" t="s">
        <v>546</v>
      </c>
      <c r="C101" s="46" t="s">
        <v>547</v>
      </c>
      <c r="D101" s="42"/>
      <c r="E101" s="41">
        <v>7700000</v>
      </c>
      <c r="F101" s="41">
        <v>7700000</v>
      </c>
    </row>
    <row r="102" spans="1:6" ht="30.65" customHeight="1">
      <c r="A102" s="42" t="s">
        <v>388</v>
      </c>
      <c r="B102" s="45" t="s">
        <v>378</v>
      </c>
      <c r="C102" s="46" t="s">
        <v>548</v>
      </c>
      <c r="D102" s="42"/>
      <c r="E102" s="41">
        <v>176482966</v>
      </c>
      <c r="F102" s="41">
        <v>176482966</v>
      </c>
    </row>
    <row r="103" spans="1:6" ht="30.65" customHeight="1">
      <c r="A103" s="16" t="s">
        <v>388</v>
      </c>
      <c r="B103" s="40" t="s">
        <v>549</v>
      </c>
      <c r="C103" s="11" t="s">
        <v>550</v>
      </c>
      <c r="D103" s="23"/>
      <c r="E103" s="23">
        <v>128185710559</v>
      </c>
      <c r="F103" s="23">
        <v>115742965926</v>
      </c>
    </row>
    <row r="104" spans="1:6" ht="44.5" customHeight="1">
      <c r="A104" s="16" t="s">
        <v>26</v>
      </c>
      <c r="B104" s="40" t="s">
        <v>551</v>
      </c>
      <c r="C104" s="11" t="s">
        <v>552</v>
      </c>
      <c r="D104" s="23"/>
      <c r="E104" s="23">
        <v>2519824922455</v>
      </c>
      <c r="F104" s="23">
        <v>2294441059531</v>
      </c>
    </row>
    <row r="105" spans="1:6" ht="29.5" customHeight="1">
      <c r="A105" s="42" t="s">
        <v>382</v>
      </c>
      <c r="B105" s="43" t="s">
        <v>553</v>
      </c>
      <c r="C105" s="44" t="s">
        <v>554</v>
      </c>
      <c r="D105" s="42"/>
      <c r="E105" s="41">
        <v>310850000500</v>
      </c>
      <c r="F105" s="41">
        <v>284624564500</v>
      </c>
    </row>
    <row r="106" spans="1:6" ht="29.5" customHeight="1">
      <c r="A106" s="42" t="s">
        <v>385</v>
      </c>
      <c r="B106" s="43" t="s">
        <v>555</v>
      </c>
      <c r="C106" s="44" t="s">
        <v>556</v>
      </c>
      <c r="D106" s="42"/>
      <c r="E106" s="41">
        <v>2139014564700</v>
      </c>
      <c r="F106" s="41">
        <v>2096410949500</v>
      </c>
    </row>
    <row r="107" spans="1:6" ht="29.5" customHeight="1">
      <c r="A107" s="42" t="s">
        <v>396</v>
      </c>
      <c r="B107" s="43" t="s">
        <v>557</v>
      </c>
      <c r="C107" s="44" t="s">
        <v>558</v>
      </c>
      <c r="D107" s="42"/>
      <c r="E107" s="41">
        <v>-1828164564200</v>
      </c>
      <c r="F107" s="41">
        <v>-1811786385000</v>
      </c>
    </row>
    <row r="108" spans="1:6" ht="29.5" customHeight="1">
      <c r="A108" s="42" t="s">
        <v>399</v>
      </c>
      <c r="B108" s="43" t="s">
        <v>559</v>
      </c>
      <c r="C108" s="44" t="s">
        <v>560</v>
      </c>
      <c r="D108" s="42"/>
      <c r="E108" s="41">
        <v>1475974026353</v>
      </c>
      <c r="F108" s="41">
        <v>1296240356778</v>
      </c>
    </row>
    <row r="109" spans="1:6" ht="29.5" customHeight="1">
      <c r="A109" s="42" t="s">
        <v>421</v>
      </c>
      <c r="B109" s="43" t="s">
        <v>561</v>
      </c>
      <c r="C109" s="44" t="s">
        <v>562</v>
      </c>
      <c r="D109" s="42"/>
      <c r="E109" s="41">
        <v>733000895602</v>
      </c>
      <c r="F109" s="41">
        <v>713576138253</v>
      </c>
    </row>
    <row r="110" spans="1:6" ht="29.5" customHeight="1">
      <c r="A110" s="42" t="s">
        <v>424</v>
      </c>
      <c r="B110" s="43" t="s">
        <v>563</v>
      </c>
      <c r="C110" s="44" t="s">
        <v>564</v>
      </c>
      <c r="D110" s="42"/>
      <c r="E110" s="41">
        <v>713576138253</v>
      </c>
      <c r="F110" s="41">
        <v>654699301982</v>
      </c>
    </row>
    <row r="111" spans="1:6" ht="29.5" customHeight="1">
      <c r="A111" s="42" t="s">
        <v>429</v>
      </c>
      <c r="B111" s="43" t="s">
        <v>565</v>
      </c>
      <c r="C111" s="44" t="s">
        <v>566</v>
      </c>
      <c r="D111" s="42"/>
      <c r="E111" s="41">
        <v>19424757349</v>
      </c>
      <c r="F111" s="41">
        <v>58876836271</v>
      </c>
    </row>
    <row r="112" spans="1:6" ht="29.5" customHeight="1">
      <c r="A112" s="16" t="s">
        <v>27</v>
      </c>
      <c r="B112" s="40" t="s">
        <v>567</v>
      </c>
      <c r="C112" s="11" t="s">
        <v>568</v>
      </c>
      <c r="D112" s="23"/>
      <c r="E112" s="52">
        <v>81062.399999999994</v>
      </c>
      <c r="F112" s="52">
        <v>80612.89</v>
      </c>
    </row>
    <row r="113" spans="1:7" ht="29.5" customHeight="1">
      <c r="A113" s="16" t="s">
        <v>28</v>
      </c>
      <c r="B113" s="40" t="s">
        <v>569</v>
      </c>
      <c r="C113" s="11" t="s">
        <v>570</v>
      </c>
      <c r="D113" s="23"/>
      <c r="E113" s="23">
        <v>0</v>
      </c>
      <c r="F113" s="23">
        <v>0</v>
      </c>
    </row>
    <row r="114" spans="1:7" ht="29.5" customHeight="1">
      <c r="A114" s="42" t="s">
        <v>382</v>
      </c>
      <c r="B114" s="43" t="s">
        <v>571</v>
      </c>
      <c r="C114" s="44" t="s">
        <v>572</v>
      </c>
      <c r="D114" s="42"/>
      <c r="E114" s="41">
        <v>0</v>
      </c>
      <c r="F114" s="41">
        <v>0</v>
      </c>
    </row>
    <row r="115" spans="1:7" ht="29.5" customHeight="1">
      <c r="A115" s="42" t="s">
        <v>399</v>
      </c>
      <c r="B115" s="43" t="s">
        <v>573</v>
      </c>
      <c r="C115" s="44" t="s">
        <v>574</v>
      </c>
      <c r="D115" s="42"/>
      <c r="E115" s="41">
        <v>0</v>
      </c>
      <c r="F115" s="41">
        <v>0</v>
      </c>
    </row>
    <row r="116" spans="1:7" ht="29.5" customHeight="1">
      <c r="A116" s="16" t="s">
        <v>29</v>
      </c>
      <c r="B116" s="40" t="s">
        <v>575</v>
      </c>
      <c r="C116" s="11" t="s">
        <v>29</v>
      </c>
      <c r="D116" s="23"/>
      <c r="E116" s="23"/>
      <c r="F116" s="23"/>
    </row>
    <row r="117" spans="1:7" ht="29.5" customHeight="1">
      <c r="A117" s="42" t="s">
        <v>382</v>
      </c>
      <c r="B117" s="43" t="s">
        <v>576</v>
      </c>
      <c r="C117" s="44" t="s">
        <v>577</v>
      </c>
      <c r="D117" s="42"/>
      <c r="E117" s="41">
        <v>0</v>
      </c>
      <c r="F117" s="41">
        <v>0</v>
      </c>
    </row>
    <row r="118" spans="1:7" ht="29.5" customHeight="1">
      <c r="A118" s="42" t="s">
        <v>399</v>
      </c>
      <c r="B118" s="43" t="s">
        <v>578</v>
      </c>
      <c r="C118" s="44" t="s">
        <v>579</v>
      </c>
      <c r="D118" s="42"/>
      <c r="E118" s="41">
        <v>0</v>
      </c>
      <c r="F118" s="41">
        <v>0</v>
      </c>
    </row>
    <row r="119" spans="1:7" ht="29.5" customHeight="1">
      <c r="A119" s="42" t="s">
        <v>421</v>
      </c>
      <c r="B119" s="43" t="s">
        <v>580</v>
      </c>
      <c r="C119" s="44" t="s">
        <v>581</v>
      </c>
      <c r="D119" s="42"/>
      <c r="E119" s="41">
        <v>0</v>
      </c>
      <c r="F119" s="41">
        <v>0</v>
      </c>
    </row>
    <row r="120" spans="1:7" ht="29.5" customHeight="1">
      <c r="A120" s="49" t="s">
        <v>486</v>
      </c>
      <c r="B120" s="50" t="s">
        <v>582</v>
      </c>
      <c r="C120" s="44" t="s">
        <v>583</v>
      </c>
      <c r="D120" s="49"/>
      <c r="E120" s="51">
        <v>31085000.050000001</v>
      </c>
      <c r="F120" s="51">
        <v>28462456.449999999</v>
      </c>
    </row>
    <row r="121" spans="1:7" s="37" customFormat="1" ht="13">
      <c r="A121" s="15"/>
      <c r="B121" s="15"/>
      <c r="C121" s="15"/>
      <c r="D121" s="15"/>
      <c r="E121" s="15"/>
      <c r="F121" s="15"/>
      <c r="G121" s="2"/>
    </row>
    <row r="123" spans="1:7" ht="16.899999999999999" customHeight="1">
      <c r="A123" s="244" t="s">
        <v>232</v>
      </c>
      <c r="B123" s="244"/>
      <c r="C123" s="244" t="s">
        <v>233</v>
      </c>
      <c r="D123" s="244"/>
      <c r="E123" s="244"/>
      <c r="F123" s="244"/>
    </row>
    <row r="136" spans="1:7">
      <c r="A136" s="243" t="s">
        <v>587</v>
      </c>
      <c r="B136" s="243"/>
      <c r="C136" s="243" t="s">
        <v>588</v>
      </c>
      <c r="D136" s="243"/>
      <c r="E136" s="243"/>
      <c r="F136" s="15" t="s">
        <v>1388</v>
      </c>
    </row>
    <row r="137" spans="1:7" ht="16.899999999999999" customHeight="1">
      <c r="A137" s="245" t="s">
        <v>1383</v>
      </c>
      <c r="B137" s="245"/>
      <c r="C137" s="245" t="s">
        <v>1379</v>
      </c>
      <c r="D137" s="245"/>
      <c r="E137" s="245"/>
      <c r="F137" s="174" t="s">
        <v>1369</v>
      </c>
      <c r="G137" s="204"/>
    </row>
    <row r="138" spans="1:7" ht="16.899999999999999" customHeight="1">
      <c r="A138" s="243" t="s">
        <v>1380</v>
      </c>
      <c r="B138" s="243"/>
      <c r="C138" s="243" t="s">
        <v>1381</v>
      </c>
      <c r="D138" s="243"/>
      <c r="E138" s="243"/>
      <c r="F138" s="243" t="s">
        <v>1389</v>
      </c>
      <c r="G138" s="243"/>
    </row>
  </sheetData>
  <mergeCells count="21">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 ref="F138:G138"/>
  </mergeCells>
  <printOptions horizontalCentered="1"/>
  <pageMargins left="0.3" right="0.3" top="0.75" bottom="0.75" header="0.3" footer="0.3"/>
  <pageSetup paperSize="9" scale="54" fitToHeight="0" orientation="portrait" r:id="rId1"/>
  <headerFooter>
    <oddHeader>&amp;L&amp;"Arial"&amp;9&amp;KA80000CONFIDENTIAL&amp;1#</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51"/>
  <sheetViews>
    <sheetView view="pageBreakPreview" zoomScaleNormal="85" zoomScaleSheetLayoutView="100" workbookViewId="0">
      <selection activeCell="G13" sqref="G13:J13"/>
    </sheetView>
  </sheetViews>
  <sheetFormatPr defaultColWidth="9.1796875" defaultRowHeight="13"/>
  <cols>
    <col min="1" max="1" width="4.81640625" style="143" customWidth="1"/>
    <col min="2" max="2" width="34.453125" style="140" customWidth="1"/>
    <col min="3" max="3" width="14.453125" style="140" customWidth="1"/>
    <col min="4" max="4" width="11.81640625" style="140" customWidth="1"/>
    <col min="5" max="5" width="12.26953125" style="140" customWidth="1"/>
    <col min="6" max="6" width="12.54296875" style="140" customWidth="1"/>
    <col min="7" max="7" width="16.453125" style="140" customWidth="1"/>
    <col min="8" max="9" width="19" style="140" customWidth="1"/>
    <col min="10" max="10" width="43.54296875" style="140" customWidth="1"/>
    <col min="11" max="16384" width="9.1796875" style="140"/>
  </cols>
  <sheetData>
    <row r="1" spans="1:10" s="139" customFormat="1" ht="46.5" customHeight="1">
      <c r="A1" s="246" t="s">
        <v>639</v>
      </c>
      <c r="B1" s="246"/>
      <c r="C1" s="246"/>
      <c r="D1" s="246"/>
      <c r="E1" s="246"/>
      <c r="F1" s="246"/>
      <c r="G1" s="246"/>
      <c r="H1" s="246"/>
      <c r="I1" s="246"/>
      <c r="J1" s="246"/>
    </row>
    <row r="2" spans="1:10" ht="49" customHeight="1">
      <c r="A2" s="247" t="s">
        <v>641</v>
      </c>
      <c r="B2" s="247"/>
      <c r="C2" s="247"/>
      <c r="D2" s="247"/>
      <c r="E2" s="247"/>
      <c r="F2" s="247"/>
      <c r="G2" s="247"/>
      <c r="H2" s="247"/>
      <c r="I2" s="247"/>
      <c r="J2" s="247"/>
    </row>
    <row r="3" spans="1:10" ht="19.149999999999999" customHeight="1">
      <c r="A3" s="248" t="s">
        <v>590</v>
      </c>
      <c r="B3" s="248"/>
      <c r="C3" s="248"/>
      <c r="D3" s="248"/>
      <c r="E3" s="248"/>
      <c r="F3" s="248"/>
      <c r="G3" s="248"/>
      <c r="H3" s="248"/>
      <c r="I3" s="248"/>
      <c r="J3" s="248"/>
    </row>
    <row r="4" spans="1:10" ht="21.65" customHeight="1">
      <c r="A4" s="248"/>
      <c r="B4" s="248"/>
      <c r="C4" s="248"/>
      <c r="D4" s="248"/>
      <c r="E4" s="248"/>
      <c r="F4" s="248"/>
      <c r="G4" s="248"/>
      <c r="H4" s="248"/>
      <c r="I4" s="248"/>
      <c r="J4" s="248"/>
    </row>
    <row r="5" spans="1:10">
      <c r="A5" s="249" t="s">
        <v>1361</v>
      </c>
      <c r="B5" s="249"/>
      <c r="C5" s="249"/>
      <c r="D5" s="249"/>
      <c r="E5" s="249"/>
      <c r="F5" s="249"/>
      <c r="G5" s="249"/>
      <c r="H5" s="249"/>
      <c r="I5" s="249"/>
      <c r="J5" s="249"/>
    </row>
    <row r="6" spans="1:10">
      <c r="A6" s="135"/>
      <c r="B6" s="135"/>
      <c r="C6" s="135"/>
      <c r="D6" s="135"/>
      <c r="E6" s="135"/>
      <c r="F6" s="55"/>
      <c r="G6" s="141"/>
      <c r="H6" s="141"/>
      <c r="I6" s="141"/>
      <c r="J6" s="141"/>
    </row>
    <row r="7" spans="1:10">
      <c r="A7" s="250" t="s">
        <v>2</v>
      </c>
      <c r="B7" s="251"/>
      <c r="C7" s="141"/>
      <c r="D7" s="141"/>
      <c r="E7" s="141"/>
      <c r="F7" s="141"/>
      <c r="G7" s="252" t="s">
        <v>1362</v>
      </c>
      <c r="H7" s="252"/>
      <c r="I7" s="252"/>
      <c r="J7" s="252"/>
    </row>
    <row r="8" spans="1:10" ht="15" customHeight="1">
      <c r="A8" s="253" t="s">
        <v>15</v>
      </c>
      <c r="B8" s="253"/>
      <c r="C8" s="141"/>
      <c r="D8" s="141"/>
      <c r="E8" s="141"/>
      <c r="F8" s="141"/>
      <c r="G8" s="254" t="s">
        <v>1363</v>
      </c>
      <c r="H8" s="254"/>
      <c r="I8" s="254"/>
      <c r="J8" s="254"/>
    </row>
    <row r="9" spans="1:10">
      <c r="A9" s="255" t="s">
        <v>3</v>
      </c>
      <c r="B9" s="256"/>
      <c r="C9" s="141"/>
      <c r="D9" s="141"/>
      <c r="E9" s="141"/>
      <c r="F9" s="141"/>
      <c r="G9" s="257" t="s">
        <v>1364</v>
      </c>
      <c r="H9" s="257"/>
      <c r="I9" s="257"/>
      <c r="J9" s="257"/>
    </row>
    <row r="10" spans="1:10" ht="15" customHeight="1">
      <c r="A10" s="256" t="s">
        <v>4</v>
      </c>
      <c r="B10" s="256"/>
      <c r="C10" s="141"/>
      <c r="D10" s="141"/>
      <c r="E10" s="141"/>
      <c r="F10" s="141"/>
      <c r="G10" s="254" t="s">
        <v>1365</v>
      </c>
      <c r="H10" s="254"/>
      <c r="I10" s="254"/>
      <c r="J10" s="254"/>
    </row>
    <row r="11" spans="1:10" ht="15" customHeight="1">
      <c r="A11" s="255" t="s">
        <v>5</v>
      </c>
      <c r="B11" s="258"/>
      <c r="C11" s="141"/>
      <c r="D11" s="141"/>
      <c r="E11" s="141"/>
      <c r="F11" s="141"/>
      <c r="G11" s="252" t="s">
        <v>690</v>
      </c>
      <c r="H11" s="252"/>
      <c r="I11" s="252"/>
      <c r="J11" s="252"/>
    </row>
    <row r="12" spans="1:10" ht="15" customHeight="1">
      <c r="A12" s="56" t="s">
        <v>584</v>
      </c>
      <c r="B12" s="136"/>
      <c r="C12" s="141"/>
      <c r="D12" s="141"/>
      <c r="E12" s="141"/>
      <c r="F12" s="141"/>
      <c r="G12" s="254" t="s">
        <v>1382</v>
      </c>
      <c r="H12" s="254"/>
      <c r="I12" s="254"/>
      <c r="J12" s="254"/>
    </row>
    <row r="13" spans="1:10" ht="15" customHeight="1">
      <c r="A13" s="57" t="s">
        <v>7</v>
      </c>
      <c r="B13" s="58"/>
      <c r="C13" s="141"/>
      <c r="D13" s="141"/>
      <c r="E13" s="141"/>
      <c r="F13" s="141"/>
      <c r="G13" s="252" t="s">
        <v>1366</v>
      </c>
      <c r="H13" s="252"/>
      <c r="I13" s="252"/>
      <c r="J13" s="252"/>
    </row>
    <row r="14" spans="1:10">
      <c r="A14" s="59" t="s">
        <v>8</v>
      </c>
      <c r="B14" s="59"/>
      <c r="C14" s="61"/>
      <c r="D14" s="61"/>
      <c r="E14" s="61"/>
      <c r="F14" s="61"/>
      <c r="G14" s="259" t="s">
        <v>1367</v>
      </c>
      <c r="H14" s="259"/>
      <c r="I14" s="259"/>
      <c r="J14" s="259"/>
    </row>
    <row r="15" spans="1:10">
      <c r="A15" s="93" t="s">
        <v>637</v>
      </c>
      <c r="B15" s="94" t="s">
        <v>638</v>
      </c>
      <c r="C15" s="61"/>
      <c r="D15" s="61"/>
      <c r="E15" s="61"/>
      <c r="F15" s="61"/>
      <c r="G15" s="137"/>
      <c r="H15" s="137"/>
      <c r="I15" s="137"/>
      <c r="J15" s="137"/>
    </row>
    <row r="16" spans="1:10">
      <c r="A16" s="71" t="s">
        <v>27</v>
      </c>
      <c r="B16" s="72" t="s">
        <v>593</v>
      </c>
      <c r="C16" s="61"/>
      <c r="D16" s="61"/>
      <c r="E16" s="61"/>
      <c r="F16" s="61"/>
      <c r="G16" s="61"/>
      <c r="H16" s="61"/>
      <c r="I16" s="61"/>
      <c r="J16" s="61"/>
    </row>
    <row r="17" spans="1:10" s="60" customFormat="1" ht="36" customHeight="1">
      <c r="A17" s="260" t="s">
        <v>235</v>
      </c>
      <c r="B17" s="260" t="s">
        <v>628</v>
      </c>
      <c r="C17" s="260" t="s">
        <v>629</v>
      </c>
      <c r="D17" s="260" t="s">
        <v>630</v>
      </c>
      <c r="E17" s="260" t="s">
        <v>631</v>
      </c>
      <c r="F17" s="260" t="s">
        <v>632</v>
      </c>
      <c r="G17" s="260" t="s">
        <v>633</v>
      </c>
      <c r="H17" s="261"/>
      <c r="I17" s="260" t="s">
        <v>642</v>
      </c>
      <c r="J17" s="261"/>
    </row>
    <row r="18" spans="1:10" s="60" customFormat="1" ht="87" customHeight="1">
      <c r="A18" s="261"/>
      <c r="B18" s="261"/>
      <c r="C18" s="261"/>
      <c r="D18" s="261"/>
      <c r="E18" s="261"/>
      <c r="F18" s="261"/>
      <c r="G18" s="138" t="s">
        <v>634</v>
      </c>
      <c r="H18" s="138" t="s">
        <v>635</v>
      </c>
      <c r="I18" s="138" t="s">
        <v>634</v>
      </c>
      <c r="J18" s="138" t="s">
        <v>636</v>
      </c>
    </row>
    <row r="19" spans="1:10" s="60" customFormat="1" ht="45.75" customHeight="1">
      <c r="A19" s="164" t="s">
        <v>991</v>
      </c>
      <c r="B19" s="164" t="s">
        <v>992</v>
      </c>
      <c r="C19" s="164"/>
      <c r="D19" s="164"/>
      <c r="E19" s="164"/>
      <c r="F19" s="167"/>
      <c r="G19" s="164"/>
      <c r="H19" s="166"/>
      <c r="I19" s="164"/>
      <c r="J19" s="166"/>
    </row>
    <row r="20" spans="1:10">
      <c r="A20" s="164" t="s">
        <v>993</v>
      </c>
      <c r="B20" s="164" t="s">
        <v>994</v>
      </c>
      <c r="C20" s="164" t="s">
        <v>995</v>
      </c>
      <c r="D20" s="164" t="s">
        <v>996</v>
      </c>
      <c r="E20" s="164" t="s">
        <v>997</v>
      </c>
      <c r="F20" s="167" t="s">
        <v>998</v>
      </c>
      <c r="G20" s="164" t="s">
        <v>999</v>
      </c>
      <c r="H20" s="166" t="s">
        <v>1000</v>
      </c>
      <c r="I20" s="164" t="s">
        <v>1001</v>
      </c>
      <c r="J20" s="166" t="s">
        <v>1002</v>
      </c>
    </row>
    <row r="21" spans="1:10" ht="25">
      <c r="A21" s="169" t="s">
        <v>1003</v>
      </c>
      <c r="B21" s="169" t="s">
        <v>1004</v>
      </c>
      <c r="C21" s="169"/>
      <c r="D21" s="169"/>
      <c r="E21" s="169"/>
      <c r="F21" s="171">
        <v>0</v>
      </c>
      <c r="G21" s="169"/>
      <c r="H21" s="170">
        <v>0</v>
      </c>
      <c r="I21" s="169"/>
      <c r="J21" s="170">
        <v>0</v>
      </c>
    </row>
    <row r="22" spans="1:10" ht="25">
      <c r="A22" s="164" t="s">
        <v>1005</v>
      </c>
      <c r="B22" s="164" t="s">
        <v>1006</v>
      </c>
      <c r="C22" s="164"/>
      <c r="D22" s="164"/>
      <c r="E22" s="164"/>
      <c r="F22" s="167"/>
      <c r="G22" s="164"/>
      <c r="H22" s="166"/>
      <c r="I22" s="164"/>
      <c r="J22" s="166"/>
    </row>
    <row r="23" spans="1:10">
      <c r="A23" s="164" t="s">
        <v>1007</v>
      </c>
      <c r="B23" s="164" t="s">
        <v>1008</v>
      </c>
      <c r="C23" s="164" t="s">
        <v>1009</v>
      </c>
      <c r="D23" s="164" t="s">
        <v>1010</v>
      </c>
      <c r="E23" s="164" t="s">
        <v>1011</v>
      </c>
      <c r="F23" s="167" t="s">
        <v>1012</v>
      </c>
      <c r="G23" s="164" t="s">
        <v>1013</v>
      </c>
      <c r="H23" s="166" t="s">
        <v>1014</v>
      </c>
      <c r="I23" s="164" t="s">
        <v>1015</v>
      </c>
      <c r="J23" s="166" t="s">
        <v>1016</v>
      </c>
    </row>
    <row r="24" spans="1:10" ht="25">
      <c r="A24" s="169" t="s">
        <v>1017</v>
      </c>
      <c r="B24" s="169" t="s">
        <v>1018</v>
      </c>
      <c r="C24" s="169"/>
      <c r="D24" s="169"/>
      <c r="E24" s="169"/>
      <c r="F24" s="171">
        <v>0</v>
      </c>
      <c r="G24" s="169"/>
      <c r="H24" s="170">
        <v>0</v>
      </c>
      <c r="I24" s="169"/>
      <c r="J24" s="170">
        <v>0</v>
      </c>
    </row>
    <row r="25" spans="1:10" ht="25">
      <c r="A25" s="169" t="s">
        <v>1019</v>
      </c>
      <c r="B25" s="169" t="s">
        <v>1020</v>
      </c>
      <c r="C25" s="169"/>
      <c r="D25" s="169"/>
      <c r="E25" s="169"/>
      <c r="F25" s="171">
        <v>0</v>
      </c>
      <c r="G25" s="169"/>
      <c r="H25" s="170">
        <v>0</v>
      </c>
      <c r="I25" s="169"/>
      <c r="J25" s="170">
        <v>0</v>
      </c>
    </row>
    <row r="26" spans="1:10" ht="25">
      <c r="A26" s="164" t="s">
        <v>1021</v>
      </c>
      <c r="B26" s="164" t="s">
        <v>1022</v>
      </c>
      <c r="C26" s="164"/>
      <c r="D26" s="164"/>
      <c r="E26" s="164"/>
      <c r="F26" s="167"/>
      <c r="G26" s="164"/>
      <c r="H26" s="166"/>
      <c r="I26" s="164"/>
      <c r="J26" s="166"/>
    </row>
    <row r="27" spans="1:10">
      <c r="A27" s="164" t="s">
        <v>1023</v>
      </c>
      <c r="B27" s="164" t="s">
        <v>1024</v>
      </c>
      <c r="C27" s="164" t="s">
        <v>1025</v>
      </c>
      <c r="D27" s="164" t="s">
        <v>1026</v>
      </c>
      <c r="E27" s="164" t="s">
        <v>1027</v>
      </c>
      <c r="F27" s="167" t="s">
        <v>1028</v>
      </c>
      <c r="G27" s="164" t="s">
        <v>1029</v>
      </c>
      <c r="H27" s="166" t="s">
        <v>1030</v>
      </c>
      <c r="I27" s="164" t="s">
        <v>1031</v>
      </c>
      <c r="J27" s="166" t="s">
        <v>1032</v>
      </c>
    </row>
    <row r="28" spans="1:10" ht="25">
      <c r="A28" s="169" t="s">
        <v>1033</v>
      </c>
      <c r="B28" s="169" t="s">
        <v>1034</v>
      </c>
      <c r="C28" s="169"/>
      <c r="D28" s="169"/>
      <c r="E28" s="169"/>
      <c r="F28" s="171">
        <v>0</v>
      </c>
      <c r="G28" s="169"/>
      <c r="H28" s="170">
        <v>0</v>
      </c>
      <c r="I28" s="169"/>
      <c r="J28" s="170">
        <v>0</v>
      </c>
    </row>
    <row r="29" spans="1:10" ht="25">
      <c r="A29" s="164" t="s">
        <v>1035</v>
      </c>
      <c r="B29" s="164" t="s">
        <v>1036</v>
      </c>
      <c r="C29" s="164"/>
      <c r="D29" s="164"/>
      <c r="E29" s="164"/>
      <c r="F29" s="167"/>
      <c r="G29" s="164"/>
      <c r="H29" s="166"/>
      <c r="I29" s="164"/>
      <c r="J29" s="166"/>
    </row>
    <row r="30" spans="1:10">
      <c r="A30" s="164" t="s">
        <v>1037</v>
      </c>
      <c r="B30" s="164" t="s">
        <v>1038</v>
      </c>
      <c r="C30" s="164" t="s">
        <v>1039</v>
      </c>
      <c r="D30" s="164" t="s">
        <v>1040</v>
      </c>
      <c r="E30" s="164" t="s">
        <v>1041</v>
      </c>
      <c r="F30" s="167" t="s">
        <v>1042</v>
      </c>
      <c r="G30" s="164" t="s">
        <v>1043</v>
      </c>
      <c r="H30" s="166" t="s">
        <v>1044</v>
      </c>
      <c r="I30" s="164" t="s">
        <v>1045</v>
      </c>
      <c r="J30" s="166" t="s">
        <v>1046</v>
      </c>
    </row>
    <row r="31" spans="1:10" ht="25">
      <c r="A31" s="169" t="s">
        <v>1047</v>
      </c>
      <c r="B31" s="169" t="s">
        <v>1048</v>
      </c>
      <c r="C31" s="169"/>
      <c r="D31" s="169"/>
      <c r="E31" s="169"/>
      <c r="F31" s="171">
        <v>0</v>
      </c>
      <c r="G31" s="169"/>
      <c r="H31" s="170">
        <v>0</v>
      </c>
      <c r="I31" s="169"/>
      <c r="J31" s="170">
        <v>0</v>
      </c>
    </row>
    <row r="32" spans="1:10" ht="25">
      <c r="A32" s="169" t="s">
        <v>1049</v>
      </c>
      <c r="B32" s="169" t="s">
        <v>1050</v>
      </c>
      <c r="C32" s="169"/>
      <c r="D32" s="169"/>
      <c r="E32" s="169"/>
      <c r="F32" s="171">
        <v>0</v>
      </c>
      <c r="G32" s="169"/>
      <c r="H32" s="170">
        <v>0</v>
      </c>
      <c r="I32" s="169"/>
      <c r="J32" s="170">
        <v>0</v>
      </c>
    </row>
    <row r="33" spans="1:10" s="142" customFormat="1" ht="45.75" customHeight="1">
      <c r="A33" s="62" t="s">
        <v>10</v>
      </c>
      <c r="B33" s="63"/>
      <c r="C33" s="64"/>
      <c r="D33" s="61"/>
      <c r="E33" s="61"/>
      <c r="F33" s="61"/>
      <c r="G33" s="61"/>
      <c r="H33" s="61"/>
      <c r="I33" s="65" t="s">
        <v>11</v>
      </c>
      <c r="J33" s="61"/>
    </row>
    <row r="34" spans="1:10">
      <c r="A34" s="66" t="s">
        <v>12</v>
      </c>
      <c r="B34" s="63"/>
      <c r="C34" s="64"/>
      <c r="D34" s="61"/>
      <c r="E34" s="61"/>
      <c r="F34" s="61"/>
      <c r="G34" s="61"/>
      <c r="H34" s="61"/>
      <c r="I34" s="67" t="s">
        <v>13</v>
      </c>
      <c r="J34" s="61"/>
    </row>
    <row r="35" spans="1:10">
      <c r="A35" s="66"/>
      <c r="B35" s="63"/>
      <c r="C35" s="64"/>
      <c r="D35" s="61"/>
      <c r="E35" s="61"/>
      <c r="F35" s="61"/>
      <c r="G35" s="61"/>
      <c r="H35" s="61"/>
      <c r="I35" s="67"/>
      <c r="J35" s="61"/>
    </row>
    <row r="36" spans="1:10">
      <c r="A36" s="66"/>
      <c r="B36" s="63"/>
      <c r="C36" s="64"/>
      <c r="D36" s="61"/>
      <c r="E36" s="61"/>
      <c r="F36" s="61"/>
      <c r="G36" s="61"/>
      <c r="H36" s="61"/>
      <c r="I36" s="67"/>
      <c r="J36" s="61"/>
    </row>
    <row r="37" spans="1:10">
      <c r="A37" s="66"/>
      <c r="B37" s="63"/>
      <c r="C37" s="64"/>
      <c r="D37" s="61"/>
      <c r="E37" s="61"/>
      <c r="F37" s="61"/>
      <c r="G37" s="61"/>
      <c r="H37" s="61"/>
      <c r="I37" s="67"/>
      <c r="J37" s="61"/>
    </row>
    <row r="38" spans="1:10">
      <c r="A38" s="66"/>
      <c r="B38" s="63"/>
      <c r="C38" s="64"/>
      <c r="D38" s="61"/>
      <c r="E38" s="61"/>
      <c r="F38" s="61"/>
      <c r="G38" s="61"/>
      <c r="H38" s="61"/>
      <c r="I38" s="67"/>
      <c r="J38" s="61"/>
    </row>
    <row r="39" spans="1:10">
      <c r="A39" s="66"/>
      <c r="B39" s="63"/>
      <c r="C39" s="64"/>
      <c r="D39" s="61"/>
      <c r="E39" s="61"/>
      <c r="F39" s="61"/>
      <c r="G39" s="61"/>
      <c r="H39" s="61"/>
      <c r="I39" s="67"/>
      <c r="J39" s="61"/>
    </row>
    <row r="40" spans="1:10">
      <c r="A40" s="63"/>
      <c r="B40" s="63"/>
      <c r="C40" s="64"/>
      <c r="D40" s="141"/>
      <c r="E40" s="141"/>
      <c r="F40" s="141"/>
      <c r="G40" s="141"/>
      <c r="H40" s="141"/>
      <c r="I40" s="64"/>
      <c r="J40" s="141"/>
    </row>
    <row r="41" spans="1:10">
      <c r="A41" s="144"/>
      <c r="B41" s="141"/>
      <c r="C41" s="141"/>
      <c r="D41" s="141"/>
      <c r="E41" s="141"/>
      <c r="F41" s="141"/>
      <c r="G41" s="61"/>
      <c r="H41" s="141"/>
      <c r="I41" s="141"/>
      <c r="J41" s="141"/>
    </row>
    <row r="42" spans="1:10">
      <c r="A42" s="144"/>
      <c r="B42" s="141"/>
      <c r="C42" s="141"/>
      <c r="D42" s="141"/>
      <c r="E42" s="141"/>
      <c r="F42" s="141"/>
      <c r="G42" s="141"/>
      <c r="H42" s="141"/>
      <c r="I42" s="141"/>
      <c r="J42" s="141"/>
    </row>
    <row r="43" spans="1:10">
      <c r="A43" s="144"/>
      <c r="B43" s="141"/>
      <c r="C43" s="141"/>
      <c r="D43" s="141"/>
      <c r="E43" s="141"/>
      <c r="F43" s="141"/>
      <c r="G43" s="141"/>
      <c r="H43" s="141"/>
      <c r="I43" s="141"/>
      <c r="J43" s="141"/>
    </row>
    <row r="44" spans="1:10">
      <c r="A44" s="144"/>
      <c r="B44" s="141"/>
      <c r="C44" s="141"/>
      <c r="D44" s="141"/>
      <c r="E44" s="141"/>
      <c r="F44" s="141"/>
      <c r="G44" s="141"/>
      <c r="H44" s="141"/>
      <c r="I44" s="141"/>
      <c r="J44" s="141"/>
    </row>
    <row r="45" spans="1:10" s="60" customFormat="1" ht="12.5">
      <c r="A45" s="205" t="s">
        <v>14</v>
      </c>
      <c r="B45" s="205"/>
      <c r="C45" s="162"/>
      <c r="D45" s="61"/>
      <c r="E45" s="61"/>
      <c r="F45" s="61"/>
      <c r="G45" s="61"/>
      <c r="H45" s="61"/>
      <c r="I45" s="161" t="s">
        <v>1362</v>
      </c>
      <c r="J45" s="162"/>
    </row>
    <row r="46" spans="1:10" s="60" customFormat="1" ht="12.5">
      <c r="A46" s="160" t="s">
        <v>1368</v>
      </c>
      <c r="B46" s="158"/>
      <c r="C46" s="61"/>
      <c r="D46" s="61"/>
      <c r="E46" s="61"/>
      <c r="F46" s="61"/>
      <c r="G46" s="61"/>
      <c r="H46" s="61"/>
      <c r="I46" s="72" t="s">
        <v>1369</v>
      </c>
      <c r="J46" s="61"/>
    </row>
    <row r="47" spans="1:10" s="60" customFormat="1" ht="12.5">
      <c r="A47" s="158" t="s">
        <v>1370</v>
      </c>
      <c r="B47" s="158"/>
      <c r="C47" s="61"/>
      <c r="D47" s="61"/>
      <c r="E47" s="61"/>
      <c r="F47" s="61"/>
      <c r="G47" s="61"/>
      <c r="H47" s="61"/>
      <c r="I47" s="61" t="s">
        <v>1371</v>
      </c>
      <c r="J47" s="61"/>
    </row>
    <row r="48" spans="1:10" s="60" customFormat="1" ht="12.5">
      <c r="A48" s="159"/>
      <c r="B48" s="61"/>
      <c r="C48" s="61"/>
      <c r="D48" s="61"/>
      <c r="E48" s="61"/>
      <c r="F48" s="61"/>
      <c r="G48" s="61"/>
      <c r="H48" s="61"/>
      <c r="I48" s="61"/>
      <c r="J48" s="61"/>
    </row>
    <row r="49" spans="1:10" s="60" customFormat="1" ht="12.5">
      <c r="A49" s="159"/>
      <c r="B49" s="61"/>
      <c r="C49" s="61"/>
      <c r="D49" s="61"/>
      <c r="E49" s="61"/>
      <c r="F49" s="61"/>
      <c r="G49" s="61"/>
      <c r="H49" s="61"/>
      <c r="I49" s="61"/>
      <c r="J49" s="61"/>
    </row>
    <row r="50" spans="1:10">
      <c r="A50" s="144"/>
      <c r="B50" s="141"/>
      <c r="C50" s="141"/>
      <c r="D50" s="141"/>
      <c r="E50" s="141"/>
      <c r="F50" s="141"/>
      <c r="G50" s="141"/>
      <c r="H50" s="141"/>
      <c r="I50" s="141"/>
      <c r="J50" s="141"/>
    </row>
    <row r="51" spans="1:10">
      <c r="A51" s="144"/>
      <c r="B51" s="141"/>
      <c r="C51" s="141"/>
      <c r="D51" s="141"/>
      <c r="E51" s="141"/>
      <c r="F51" s="141"/>
      <c r="G51" s="141"/>
      <c r="H51" s="141"/>
      <c r="I51" s="141"/>
      <c r="J51" s="141"/>
    </row>
  </sheetData>
  <mergeCells count="25">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76"/>
  <sheetViews>
    <sheetView zoomScaleNormal="100" workbookViewId="0">
      <selection activeCell="D2" sqref="D2"/>
    </sheetView>
  </sheetViews>
  <sheetFormatPr defaultRowHeight="61.5" customHeight="1"/>
  <cols>
    <col min="1" max="1" width="11.453125" bestFit="1" customWidth="1"/>
    <col min="2" max="2" width="98.26953125" customWidth="1"/>
    <col min="3" max="3" width="33.453125" customWidth="1"/>
    <col min="4" max="4" width="10.26953125" customWidth="1"/>
  </cols>
  <sheetData>
    <row r="1" spans="1:4" ht="15.75" customHeight="1">
      <c r="D1" t="s">
        <v>240</v>
      </c>
    </row>
    <row r="2" spans="1:4" s="3" customFormat="1" ht="61.5" customHeight="1">
      <c r="A2" s="3" t="s">
        <v>237</v>
      </c>
      <c r="B2" s="3" t="s">
        <v>238</v>
      </c>
      <c r="C2" s="3" t="s">
        <v>239</v>
      </c>
    </row>
    <row r="3" spans="1:4" ht="57" customHeight="1">
      <c r="A3" t="s">
        <v>589</v>
      </c>
      <c r="B3" t="s">
        <v>694</v>
      </c>
    </row>
    <row r="4" spans="1:4" ht="52.5" customHeight="1">
      <c r="A4" t="s">
        <v>240</v>
      </c>
      <c r="B4" t="s">
        <v>690</v>
      </c>
    </row>
    <row r="5" spans="1:4" ht="57.75" customHeight="1">
      <c r="A5" t="s">
        <v>241</v>
      </c>
      <c r="B5" t="s">
        <v>691</v>
      </c>
    </row>
    <row r="6" spans="1:4" ht="61.5" customHeight="1">
      <c r="A6" t="s">
        <v>242</v>
      </c>
      <c r="B6" t="s">
        <v>243</v>
      </c>
    </row>
    <row r="7" spans="1:4" ht="61.5" customHeight="1">
      <c r="A7" t="s">
        <v>244</v>
      </c>
      <c r="B7" t="s">
        <v>692</v>
      </c>
    </row>
    <row r="8" spans="1:4" ht="61.5" customHeight="1">
      <c r="A8" t="s">
        <v>245</v>
      </c>
      <c r="B8" t="s">
        <v>693</v>
      </c>
    </row>
    <row r="9" spans="1:4" ht="61.5" customHeight="1">
      <c r="A9" t="s">
        <v>247</v>
      </c>
      <c r="B9" t="s">
        <v>248</v>
      </c>
    </row>
    <row r="10" spans="1:4" ht="61.5" customHeight="1">
      <c r="A10" t="s">
        <v>246</v>
      </c>
      <c r="B10" t="s">
        <v>248</v>
      </c>
    </row>
    <row r="11" spans="1:4" ht="61.5" customHeight="1">
      <c r="A11" t="s">
        <v>249</v>
      </c>
      <c r="B11" t="s">
        <v>250</v>
      </c>
    </row>
    <row r="12" spans="1:4" ht="61.5" customHeight="1">
      <c r="A12" t="s">
        <v>251</v>
      </c>
      <c r="B12" t="s">
        <v>252</v>
      </c>
    </row>
    <row r="13" spans="1:4" ht="61.5" customHeight="1">
      <c r="A13" t="s">
        <v>253</v>
      </c>
      <c r="B13" t="s">
        <v>254</v>
      </c>
    </row>
    <row r="14" spans="1:4" ht="61.5" customHeight="1">
      <c r="A14" t="s">
        <v>255</v>
      </c>
      <c r="B14" t="s">
        <v>256</v>
      </c>
    </row>
    <row r="15" spans="1:4" ht="61.5" customHeight="1">
      <c r="A15" t="s">
        <v>257</v>
      </c>
      <c r="B15" t="s">
        <v>258</v>
      </c>
    </row>
    <row r="16" spans="1:4" ht="61.5" customHeight="1">
      <c r="A16" t="s">
        <v>259</v>
      </c>
      <c r="B16" t="s">
        <v>260</v>
      </c>
    </row>
    <row r="17" spans="1:2" ht="61.5" customHeight="1">
      <c r="A17" t="s">
        <v>261</v>
      </c>
      <c r="B17" t="s">
        <v>262</v>
      </c>
    </row>
    <row r="18" spans="1:2" ht="61.5" customHeight="1">
      <c r="A18" t="s">
        <v>263</v>
      </c>
      <c r="B18" t="s">
        <v>264</v>
      </c>
    </row>
    <row r="19" spans="1:2" ht="61.5" customHeight="1">
      <c r="A19" t="s">
        <v>265</v>
      </c>
      <c r="B19" t="s">
        <v>266</v>
      </c>
    </row>
    <row r="20" spans="1:2" ht="61.5" customHeight="1">
      <c r="A20" t="s">
        <v>267</v>
      </c>
      <c r="B20" t="s">
        <v>268</v>
      </c>
    </row>
    <row r="21" spans="1:2" ht="61.5" customHeight="1">
      <c r="A21" t="s">
        <v>269</v>
      </c>
      <c r="B21" t="s">
        <v>270</v>
      </c>
    </row>
    <row r="22" spans="1:2" ht="61.5" customHeight="1">
      <c r="A22" t="s">
        <v>280</v>
      </c>
      <c r="B22" t="s">
        <v>281</v>
      </c>
    </row>
    <row r="23" spans="1:2" ht="61.5" customHeight="1">
      <c r="A23" t="s">
        <v>282</v>
      </c>
      <c r="B23" t="s">
        <v>283</v>
      </c>
    </row>
    <row r="24" spans="1:2" ht="61.5" customHeight="1">
      <c r="A24" t="s">
        <v>284</v>
      </c>
      <c r="B24" t="s">
        <v>285</v>
      </c>
    </row>
    <row r="25" spans="1:2" ht="61.5" customHeight="1">
      <c r="A25" t="s">
        <v>286</v>
      </c>
      <c r="B25" t="s">
        <v>287</v>
      </c>
    </row>
    <row r="26" spans="1:2" ht="61.5" customHeight="1">
      <c r="A26" t="s">
        <v>288</v>
      </c>
      <c r="B26" t="s">
        <v>289</v>
      </c>
    </row>
    <row r="27" spans="1:2" ht="61.5" customHeight="1">
      <c r="A27" t="s">
        <v>290</v>
      </c>
      <c r="B27" t="s">
        <v>291</v>
      </c>
    </row>
    <row r="28" spans="1:2" ht="61.5" customHeight="1">
      <c r="A28" t="s">
        <v>292</v>
      </c>
      <c r="B28" t="s">
        <v>293</v>
      </c>
    </row>
    <row r="29" spans="1:2" ht="61.5" customHeight="1">
      <c r="A29" t="s">
        <v>294</v>
      </c>
      <c r="B29" t="s">
        <v>295</v>
      </c>
    </row>
    <row r="30" spans="1:2" ht="61.5" customHeight="1">
      <c r="A30" t="s">
        <v>296</v>
      </c>
      <c r="B30" t="s">
        <v>297</v>
      </c>
    </row>
    <row r="31" spans="1:2" ht="61.5" customHeight="1">
      <c r="A31" t="s">
        <v>271</v>
      </c>
      <c r="B31" t="s">
        <v>272</v>
      </c>
    </row>
    <row r="32" spans="1:2" ht="61.5" customHeight="1">
      <c r="A32" t="s">
        <v>299</v>
      </c>
      <c r="B32" t="s">
        <v>300</v>
      </c>
    </row>
    <row r="33" spans="1:2" ht="61.5" customHeight="1">
      <c r="A33" t="s">
        <v>301</v>
      </c>
      <c r="B33" t="s">
        <v>302</v>
      </c>
    </row>
    <row r="34" spans="1:2" ht="61.5" customHeight="1">
      <c r="A34" t="s">
        <v>303</v>
      </c>
      <c r="B34" t="s">
        <v>298</v>
      </c>
    </row>
    <row r="35" spans="1:2" ht="61.5" customHeight="1">
      <c r="A35" t="s">
        <v>304</v>
      </c>
      <c r="B35" t="s">
        <v>305</v>
      </c>
    </row>
    <row r="36" spans="1:2" ht="61.5" customHeight="1">
      <c r="A36" t="s">
        <v>306</v>
      </c>
      <c r="B36" t="s">
        <v>307</v>
      </c>
    </row>
    <row r="37" spans="1:2" ht="61.5" customHeight="1">
      <c r="A37" t="s">
        <v>308</v>
      </c>
      <c r="B37" t="s">
        <v>309</v>
      </c>
    </row>
    <row r="38" spans="1:2" ht="61.5" customHeight="1">
      <c r="A38" t="s">
        <v>296</v>
      </c>
      <c r="B38" t="s">
        <v>297</v>
      </c>
    </row>
    <row r="39" spans="1:2" ht="61.5" customHeight="1">
      <c r="A39" t="s">
        <v>310</v>
      </c>
      <c r="B39" t="s">
        <v>311</v>
      </c>
    </row>
    <row r="40" spans="1:2" ht="61.5" customHeight="1">
      <c r="A40" t="s">
        <v>646</v>
      </c>
      <c r="B40" t="s">
        <v>647</v>
      </c>
    </row>
    <row r="41" spans="1:2" ht="61.5" customHeight="1">
      <c r="A41" t="s">
        <v>648</v>
      </c>
      <c r="B41" t="s">
        <v>649</v>
      </c>
    </row>
    <row r="42" spans="1:2" ht="61.5" customHeight="1">
      <c r="A42" t="s">
        <v>650</v>
      </c>
      <c r="B42" t="s">
        <v>651</v>
      </c>
    </row>
    <row r="43" spans="1:2" ht="61.5" customHeight="1">
      <c r="A43" t="s">
        <v>652</v>
      </c>
      <c r="B43" t="s">
        <v>653</v>
      </c>
    </row>
    <row r="44" spans="1:2" ht="61.5" customHeight="1">
      <c r="A44" t="s">
        <v>654</v>
      </c>
      <c r="B44" t="s">
        <v>655</v>
      </c>
    </row>
    <row r="45" spans="1:2" ht="61.5" customHeight="1">
      <c r="A45" t="s">
        <v>656</v>
      </c>
      <c r="B45" t="s">
        <v>657</v>
      </c>
    </row>
    <row r="46" spans="1:2" ht="61.5" customHeight="1">
      <c r="A46" t="s">
        <v>658</v>
      </c>
      <c r="B46" t="s">
        <v>659</v>
      </c>
    </row>
    <row r="47" spans="1:2" ht="61.5" customHeight="1">
      <c r="A47" t="s">
        <v>660</v>
      </c>
      <c r="B47" t="s">
        <v>661</v>
      </c>
    </row>
    <row r="48" spans="1:2" ht="61.5" customHeight="1">
      <c r="A48" t="s">
        <v>662</v>
      </c>
      <c r="B48" t="s">
        <v>663</v>
      </c>
    </row>
    <row r="49" spans="1:2" ht="61.5" customHeight="1">
      <c r="A49" t="s">
        <v>664</v>
      </c>
      <c r="B49" t="s">
        <v>665</v>
      </c>
    </row>
    <row r="50" spans="1:2" ht="61.5" customHeight="1">
      <c r="A50" t="s">
        <v>666</v>
      </c>
      <c r="B50" t="s">
        <v>695</v>
      </c>
    </row>
    <row r="51" spans="1:2" ht="61.5" customHeight="1">
      <c r="A51" t="s">
        <v>667</v>
      </c>
      <c r="B51" t="s">
        <v>668</v>
      </c>
    </row>
    <row r="52" spans="1:2" ht="61.5" customHeight="1">
      <c r="A52" t="s">
        <v>669</v>
      </c>
      <c r="B52" t="s">
        <v>670</v>
      </c>
    </row>
    <row r="53" spans="1:2" ht="61.5" customHeight="1">
      <c r="A53" t="s">
        <v>671</v>
      </c>
    </row>
    <row r="54" spans="1:2" ht="61.5" customHeight="1">
      <c r="A54" t="s">
        <v>672</v>
      </c>
    </row>
    <row r="55" spans="1:2" ht="61.5" customHeight="1">
      <c r="A55" t="s">
        <v>673</v>
      </c>
    </row>
    <row r="56" spans="1:2" ht="61.5" customHeight="1">
      <c r="A56" t="s">
        <v>674</v>
      </c>
      <c r="B56" t="s">
        <v>675</v>
      </c>
    </row>
    <row r="57" spans="1:2" ht="61.5" customHeight="1">
      <c r="A57" t="s">
        <v>676</v>
      </c>
    </row>
    <row r="58" spans="1:2" ht="61.5" customHeight="1">
      <c r="A58" t="s">
        <v>677</v>
      </c>
    </row>
    <row r="59" spans="1:2" ht="61.5" customHeight="1">
      <c r="A59" t="s">
        <v>678</v>
      </c>
    </row>
    <row r="60" spans="1:2" ht="61.5" customHeight="1">
      <c r="A60" t="s">
        <v>679</v>
      </c>
    </row>
    <row r="61" spans="1:2" ht="61.5" customHeight="1">
      <c r="A61" t="s">
        <v>680</v>
      </c>
    </row>
    <row r="62" spans="1:2" ht="61.5" customHeight="1">
      <c r="A62" t="s">
        <v>681</v>
      </c>
    </row>
    <row r="63" spans="1:2" ht="61.5" customHeight="1">
      <c r="A63" t="s">
        <v>682</v>
      </c>
    </row>
    <row r="64" spans="1:2" ht="61.5" customHeight="1">
      <c r="A64" t="s">
        <v>683</v>
      </c>
    </row>
    <row r="65" spans="1:2" ht="61.5" customHeight="1">
      <c r="A65" t="s">
        <v>684</v>
      </c>
    </row>
    <row r="66" spans="1:2" ht="61.5" customHeight="1">
      <c r="A66" t="s">
        <v>685</v>
      </c>
    </row>
    <row r="67" spans="1:2" ht="61.5" customHeight="1">
      <c r="A67" t="s">
        <v>686</v>
      </c>
    </row>
    <row r="68" spans="1:2" ht="61.5" customHeight="1">
      <c r="A68" t="s">
        <v>687</v>
      </c>
    </row>
    <row r="69" spans="1:2" ht="61.5" customHeight="1">
      <c r="A69" t="s">
        <v>688</v>
      </c>
    </row>
    <row r="70" spans="1:2" ht="61.5" customHeight="1">
      <c r="A70" t="s">
        <v>689</v>
      </c>
    </row>
    <row r="71" spans="1:2" ht="61.5" customHeight="1">
      <c r="A71" t="s">
        <v>704</v>
      </c>
      <c r="B71" t="s">
        <v>705</v>
      </c>
    </row>
    <row r="72" spans="1:2" ht="61.5" customHeight="1">
      <c r="A72" t="s">
        <v>706</v>
      </c>
    </row>
    <row r="73" spans="1:2" ht="61.5" customHeight="1">
      <c r="A73" t="s">
        <v>707</v>
      </c>
    </row>
    <row r="74" spans="1:2" ht="61.5" customHeight="1">
      <c r="A74" t="s">
        <v>718</v>
      </c>
    </row>
    <row r="75" spans="1:2" ht="61.5" customHeight="1">
      <c r="A75" t="s">
        <v>719</v>
      </c>
    </row>
    <row r="76" spans="1:2" ht="61.5" customHeight="1">
      <c r="A76" t="s">
        <v>720</v>
      </c>
    </row>
  </sheetData>
  <conditionalFormatting sqref="A38:A70 A1:A21 A72:A73 A76:A1048576">
    <cfRule type="duplicateValues" dxfId="10" priority="26"/>
    <cfRule type="duplicateValues" dxfId="9" priority="29"/>
  </conditionalFormatting>
  <conditionalFormatting sqref="A22:B37 B39">
    <cfRule type="duplicateValues" dxfId="8" priority="41"/>
  </conditionalFormatting>
  <conditionalFormatting sqref="D1">
    <cfRule type="duplicateValues" dxfId="7" priority="13"/>
    <cfRule type="duplicateValues" dxfId="6" priority="14"/>
  </conditionalFormatting>
  <conditionalFormatting sqref="A71">
    <cfRule type="duplicateValues" dxfId="5" priority="5"/>
    <cfRule type="duplicateValues" dxfId="4" priority="6"/>
  </conditionalFormatting>
  <conditionalFormatting sqref="A74">
    <cfRule type="duplicateValues" dxfId="3" priority="3"/>
    <cfRule type="duplicateValues" dxfId="2" priority="4"/>
  </conditionalFormatting>
  <conditionalFormatting sqref="A75">
    <cfRule type="duplicateValues" dxfId="1" priority="1"/>
    <cfRule type="duplicateValues" dxfId="0" priority="2"/>
  </conditionalFormatting>
  <pageMargins left="0.7" right="0.7" top="0.75" bottom="0.75" header="0.3" footer="0.3"/>
  <pageSetup orientation="portrait" r:id="rId1"/>
  <headerFooter>
    <oddHeader>&amp;L&amp;"Arial"&amp;9&amp;KA80000CONFIDENTIAL&amp;1#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o9gT7mmJjhJm5fWhr+1VV0aHWk9wBlUJB2pu6hvQTlw=</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xq+651ioZyVW+JIyiWGeNjCaN34eQx63XfWk9x+t2+k=</DigestValue>
    </Reference>
  </SignedInfo>
  <SignatureValue>i/ILHp8ZxT8gfUkJVi+mOv9hok6Tr8rk/he7BdqiBBWaClqW7X338Ng+0HGhlVN9pS6gU2LS4vo/
uwkePL0j3oklUUv8DcosT/wJLcOr/dt6gGkSXtUfHTnt2rT+52kZEs+yTON5biul8dt32lx9OrAs
a3S4aHvhjco1Pk8d6x5DhlhIQBkchT+Rdh/PNU+Za70ACkZYfviz9iXPdygkh7HSp6ATIPuggj6L
SHlfV66LSS9RjpQUYFdFHrrwZ1GC4HtGMrmvGUjygF1SBAuPX6Wu/TgtdkBdMjS+5Xp0ilgA2HbB
+HeRWABAqLh1Nl7Tt+b4xfoRycd1anDCUQWmlg==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13"/>
          </Transform>
          <Transform Algorithm="http://www.w3.org/TR/2001/REC-xml-c14n-20010315"/>
        </Transforms>
        <DigestMethod Algorithm="http://www.w3.org/2001/04/xmlenc#sha256"/>
        <DigestValue>lrVg9fRbRhzj3L8+QGHmJxgMb7HDoVSIZJmZnPkf+bw=</DigestValue>
      </Reference>
      <Reference URI="/xl/calcChain.xml?ContentType=application/vnd.openxmlformats-officedocument.spreadsheetml.calcChain+xml">
        <DigestMethod Algorithm="http://www.w3.org/2001/04/xmlenc#sha256"/>
        <DigestValue>qwHWvzk5NttX+uBkKaj5vozpvHZfpEx1J8eYGyIcl+Y=</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14"/>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6"/>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W50Ai8G0VKByoyeDKRvSzTCIA6W+4mXybUhnbRugRb4=</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3c9wftdfk7Sgw9KnwNth77/UeuP4y/EGgL9R+q2OhxE=</DigestValue>
      </Reference>
      <Reference URI="/xl/drawings/drawing2.xml?ContentType=application/vnd.openxmlformats-officedocument.drawing+xml">
        <DigestMethod Algorithm="http://www.w3.org/2001/04/xmlenc#sha256"/>
        <DigestValue>zank4g41IyrZXa8cIAi462lAYecYDpFiLVvheGmMBLU=</DigestValue>
      </Reference>
      <Reference URI="/xl/drawings/drawing3.xml?ContentType=application/vnd.openxmlformats-officedocument.drawing+xml">
        <DigestMethod Algorithm="http://www.w3.org/2001/04/xmlenc#sha256"/>
        <DigestValue>j+E7SkK1a1aiAQ/2uHCG3FBAAVnrHbjMkyWooB4LLZM=</DigestValue>
      </Reference>
      <Reference URI="/xl/drawings/drawing4.xml?ContentType=application/vnd.openxmlformats-officedocument.drawing+xml">
        <DigestMethod Algorithm="http://www.w3.org/2001/04/xmlenc#sha256"/>
        <DigestValue>j9NZX/po7X1bRTBUKXskFIugNuEc3K4z0uw+eJR5xDQ=</DigestValue>
      </Reference>
      <Reference URI="/xl/drawings/drawing5.xml?ContentType=application/vnd.openxmlformats-officedocument.drawing+xml">
        <DigestMethod Algorithm="http://www.w3.org/2001/04/xmlenc#sha256"/>
        <DigestValue>eNVXpVCrt0zjBX5qKASLmuAhMZJgwRmgj2tlHle7B68=</DigestValue>
      </Reference>
      <Reference URI="/xl/drawings/drawing6.xml?ContentType=application/vnd.openxmlformats-officedocument.drawing+xml">
        <DigestMethod Algorithm="http://www.w3.org/2001/04/xmlenc#sha256"/>
        <DigestValue>6J5DW+pOCz9EB8okz+zJD/Jd/bs2Oz6caR47SujjLYE=</DigestValue>
      </Reference>
      <Reference URI="/xl/drawings/drawing7.xml?ContentType=application/vnd.openxmlformats-officedocument.drawing+xml">
        <DigestMethod Algorithm="http://www.w3.org/2001/04/xmlenc#sha256"/>
        <DigestValue>xiPr46Tt6KT+OEK4iR3XCKxWe2NpFcUmAj8OXOxT+Sg=</DigestValue>
      </Reference>
      <Reference URI="/xl/drawings/drawing8.xml?ContentType=application/vnd.openxmlformats-officedocument.drawing+xml">
        <DigestMethod Algorithm="http://www.w3.org/2001/04/xmlenc#sha256"/>
        <DigestValue>eC4bGMtmbpMJyPFOJDt+/zZ0/anNLSoDOWNA5DB9dDE=</DigestValue>
      </Reference>
      <Reference URI="/xl/drawings/vmlDrawing1.vml?ContentType=application/vnd.openxmlformats-officedocument.vmlDrawing">
        <DigestMethod Algorithm="http://www.w3.org/2001/04/xmlenc#sha256"/>
        <DigestValue>+JWLmxsOvk+XqxN4PAnfR1kX/vgKwF1cOUJod5ifrrQ=</DigestValue>
      </Reference>
      <Reference URI="/xl/drawings/vmlDrawing2.vml?ContentType=application/vnd.openxmlformats-officedocument.vmlDrawing">
        <DigestMethod Algorithm="http://www.w3.org/2001/04/xmlenc#sha256"/>
        <DigestValue>QMLMOISLvsBLr3YdNBqBGrQ9cx/34zd8oo35fniP9EU=</DigestValue>
      </Reference>
      <Reference URI="/xl/drawings/vmlDrawing3.vml?ContentType=application/vnd.openxmlformats-officedocument.vmlDrawing">
        <DigestMethod Algorithm="http://www.w3.org/2001/04/xmlenc#sha256"/>
        <DigestValue>+y+kNqousZgZwayASyW0+jAJ7uCey/fDIeO3PwTzfCg=</DigestValue>
      </Reference>
      <Reference URI="/xl/drawings/vmlDrawing4.vml?ContentType=application/vnd.openxmlformats-officedocument.vmlDrawing">
        <DigestMethod Algorithm="http://www.w3.org/2001/04/xmlenc#sha256"/>
        <DigestValue>Z+7YNFrEc3J798pELtJXHYNK9vxhm1o8bFHQzwQEEn0=</DigestValue>
      </Reference>
      <Reference URI="/xl/drawings/vmlDrawing5.vml?ContentType=application/vnd.openxmlformats-officedocument.vmlDrawing">
        <DigestMethod Algorithm="http://www.w3.org/2001/04/xmlenc#sha256"/>
        <DigestValue>UrjCjtbbPlsIttFCtAgImBqY7z8KdYf4YyiXoJPSjqY=</DigestValue>
      </Reference>
      <Reference URI="/xl/drawings/vmlDrawing6.vml?ContentType=application/vnd.openxmlformats-officedocument.vmlDrawing">
        <DigestMethod Algorithm="http://www.w3.org/2001/04/xmlenc#sha256"/>
        <DigestValue>c1OAdg2ge6KzTLgrkRq0QqM5n0yy7uGZVI84lBwN94A=</DigestValue>
      </Reference>
      <Reference URI="/xl/drawings/vmlDrawing7.vml?ContentType=application/vnd.openxmlformats-officedocument.vmlDrawing">
        <DigestMethod Algorithm="http://www.w3.org/2001/04/xmlenc#sha256"/>
        <DigestValue>AF6aFi3wWN8hmXynvYNmwMo8yq29L1lt4A4A53gUB9Q=</DigestValue>
      </Reference>
      <Reference URI="/xl/media/image1.emf?ContentType=image/x-emf">
        <DigestMethod Algorithm="http://www.w3.org/2001/04/xmlenc#sha256"/>
        <DigestValue>vvek+ICTTUJlg5VtERHRAyu/NWJFUdNorMrdprjHVLE=</DigestValue>
      </Reference>
      <Reference URI="/xl/media/image10.png?ContentType=image/png">
        <DigestMethod Algorithm="http://www.w3.org/2001/04/xmlenc#sha256"/>
        <DigestValue>SF6lIEP1cWrixGLlmKbDwtfQEVVVSqyr4UGAExXHkRI=</DigestValue>
      </Reference>
      <Reference URI="/xl/media/image11.png?ContentType=image/png">
        <DigestMethod Algorithm="http://www.w3.org/2001/04/xmlenc#sha256"/>
        <DigestValue>nm7L/P9WE9GNscuDnBKAar5SNauglawjFq/j/r/Q3Y0=</DigestValue>
      </Reference>
      <Reference URI="/xl/media/image12.png?ContentType=image/png">
        <DigestMethod Algorithm="http://www.w3.org/2001/04/xmlenc#sha256"/>
        <DigestValue>RTP7uLdrbjo2BTyctwZo7RYHvZa5BeSgClbeqqlfBa4=</DigestValue>
      </Reference>
      <Reference URI="/xl/media/image13.jpeg?ContentType=image/jpeg">
        <DigestMethod Algorithm="http://www.w3.org/2001/04/xmlenc#sha256"/>
        <DigestValue>iIytnUqpm1OstWpGPvo3d9ZyLo1HT/gkVsavSoNMx/0=</DigestValue>
      </Reference>
      <Reference URI="/xl/media/image14.jpeg?ContentType=image/jpeg">
        <DigestMethod Algorithm="http://www.w3.org/2001/04/xmlenc#sha256"/>
        <DigestValue>p0cj4QWkXd7goU0cJIoMMYvkHzp5h8sNoH6P0OF3thM=</DigestValue>
      </Reference>
      <Reference URI="/xl/media/image15.jpeg?ContentType=image/jpeg">
        <DigestMethod Algorithm="http://www.w3.org/2001/04/xmlenc#sha256"/>
        <DigestValue>JrspNEDe+jYbcdSixaxxOarORGrZkGqSTV3XwCn1Z+g=</DigestValue>
      </Reference>
      <Reference URI="/xl/media/image16.png?ContentType=image/png">
        <DigestMethod Algorithm="http://www.w3.org/2001/04/xmlenc#sha256"/>
        <DigestValue>i/PXx/R/9nHm50D6GxNe6CcA3SrZA5u15aqMWRgWAcg=</DigestValue>
      </Reference>
      <Reference URI="/xl/media/image17.png?ContentType=image/png">
        <DigestMethod Algorithm="http://www.w3.org/2001/04/xmlenc#sha256"/>
        <DigestValue>4KCN1qWg6RjwirJ67bKzplrsu6pXfpywX+kyFPWsH70=</DigestValue>
      </Reference>
      <Reference URI="/xl/media/image2.emf?ContentType=image/x-emf">
        <DigestMethod Algorithm="http://www.w3.org/2001/04/xmlenc#sha256"/>
        <DigestValue>vvek+ICTTUJlg5VtERHRAyu/NWJFUdNorMrdprjHVLE=</DigestValue>
      </Reference>
      <Reference URI="/xl/media/image3.png?ContentType=image/png">
        <DigestMethod Algorithm="http://www.w3.org/2001/04/xmlenc#sha256"/>
        <DigestValue>087Yfkclt1EWim42tzxri9gvbNwr0tHdA5eGfJE27Rc=</DigestValue>
      </Reference>
      <Reference URI="/xl/media/image4.png?ContentType=image/png">
        <DigestMethod Algorithm="http://www.w3.org/2001/04/xmlenc#sha256"/>
        <DigestValue>nW2hOUOanxbHMRg2qIT6c6+JIUDHq5OoSjtxS1q6nNs=</DigestValue>
      </Reference>
      <Reference URI="/xl/media/image5.jpeg?ContentType=image/jpeg">
        <DigestMethod Algorithm="http://www.w3.org/2001/04/xmlenc#sha256"/>
        <DigestValue>0M8VOz7RUZ2vQENMoLLx5pJ3bci0svbUb1Yo1a4j7pk=</DigestValue>
      </Reference>
      <Reference URI="/xl/media/image6.png?ContentType=image/png">
        <DigestMethod Algorithm="http://www.w3.org/2001/04/xmlenc#sha256"/>
        <DigestValue>gw8E7gkqw3ghkRPZhJ33JzMUW5xh5PkuKoWt7H0R+9Q=</DigestValue>
      </Reference>
      <Reference URI="/xl/media/image7.jpeg?ContentType=image/jpeg">
        <DigestMethod Algorithm="http://www.w3.org/2001/04/xmlenc#sha256"/>
        <DigestValue>6xAH77ExkRKub6MvxU8ZySJxevPGibTT7vYIq8OWz2o=</DigestValue>
      </Reference>
      <Reference URI="/xl/media/image8.png?ContentType=image/png">
        <DigestMethod Algorithm="http://www.w3.org/2001/04/xmlenc#sha256"/>
        <DigestValue>ZAdetHgtteZB1XilMQsHJFgDMLNGPPl+fVxeCb02eWA=</DigestValue>
      </Reference>
      <Reference URI="/xl/media/image9.png?ContentType=image/png">
        <DigestMethod Algorithm="http://www.w3.org/2001/04/xmlenc#sha256"/>
        <DigestValue>9mlgneoHMIJFBiBt9idi29PyzEtQryIcH8mytcR8HuQ=</DigestValue>
      </Reference>
      <Reference URI="/xl/printerSettings/printerSettings1.bin?ContentType=application/vnd.openxmlformats-officedocument.spreadsheetml.printerSettings">
        <DigestMethod Algorithm="http://www.w3.org/2001/04/xmlenc#sha256"/>
        <DigestValue>4xC/VcQ2Jub2g4ybHKqHX6rUAwPiqX0RRTxRjvCeP2E=</DigestValue>
      </Reference>
      <Reference URI="/xl/printerSettings/printerSettings2.bin?ContentType=application/vnd.openxmlformats-officedocument.spreadsheetml.printerSettings">
        <DigestMethod Algorithm="http://www.w3.org/2001/04/xmlenc#sha256"/>
        <DigestValue>syRRG4a5+Dq+1F5BRjCog/CG0znwV49H/fSN1S4CYGo=</DigestValue>
      </Reference>
      <Reference URI="/xl/printerSettings/printerSettings3.bin?ContentType=application/vnd.openxmlformats-officedocument.spreadsheetml.printerSettings">
        <DigestMethod Algorithm="http://www.w3.org/2001/04/xmlenc#sha256"/>
        <DigestValue>syRRG4a5+Dq+1F5BRjCog/CG0znwV49H/fSN1S4CYGo=</DigestValue>
      </Reference>
      <Reference URI="/xl/printerSettings/printerSettings4.bin?ContentType=application/vnd.openxmlformats-officedocument.spreadsheetml.printerSettings">
        <DigestMethod Algorithm="http://www.w3.org/2001/04/xmlenc#sha256"/>
        <DigestValue>syRRG4a5+Dq+1F5BRjCog/CG0znwV49H/fSN1S4CYGo=</DigestValue>
      </Reference>
      <Reference URI="/xl/printerSettings/printerSettings5.bin?ContentType=application/vnd.openxmlformats-officedocument.spreadsheetml.printerSettings">
        <DigestMethod Algorithm="http://www.w3.org/2001/04/xmlenc#sha256"/>
        <DigestValue>syRRG4a5+Dq+1F5BRjCog/CG0znwV49H/fSN1S4CYGo=</DigestValue>
      </Reference>
      <Reference URI="/xl/printerSettings/printerSettings6.bin?ContentType=application/vnd.openxmlformats-officedocument.spreadsheetml.printerSettings">
        <DigestMethod Algorithm="http://www.w3.org/2001/04/xmlenc#sha256"/>
        <DigestValue>syRRG4a5+Dq+1F5BRjCog/CG0znwV49H/fSN1S4CYGo=</DigestValue>
      </Reference>
      <Reference URI="/xl/printerSettings/printerSettings7.bin?ContentType=application/vnd.openxmlformats-officedocument.spreadsheetml.printerSettings">
        <DigestMethod Algorithm="http://www.w3.org/2001/04/xmlenc#sha256"/>
        <DigestValue>syRRG4a5+Dq+1F5BRjCog/CG0znwV49H/fSN1S4CYGo=</DigestValue>
      </Reference>
      <Reference URI="/xl/printerSettings/printerSettings8.bin?ContentType=application/vnd.openxmlformats-officedocument.spreadsheetml.printerSettings">
        <DigestMethod Algorithm="http://www.w3.org/2001/04/xmlenc#sha256"/>
        <DigestValue>0jlnoHmEJZVdDbeTrWl+44uY7yYHrtAXr36SBxQIH6k=</DigestValue>
      </Reference>
      <Reference URI="/xl/printerSettings/printerSettings9.bin?ContentType=application/vnd.openxmlformats-officedocument.spreadsheetml.printerSettings">
        <DigestMethod Algorithm="http://www.w3.org/2001/04/xmlenc#sha256"/>
        <DigestValue>eEr/VCnrFvaPMDmBfeMp2LspNf+2ZRqNcVEqMp8p18Q=</DigestValue>
      </Reference>
      <Reference URI="/xl/sharedStrings.xml?ContentType=application/vnd.openxmlformats-officedocument.spreadsheetml.sharedStrings+xml">
        <DigestMethod Algorithm="http://www.w3.org/2001/04/xmlenc#sha256"/>
        <DigestValue>DpBNmsV4xH2q1cGuCWWLoRhSRVF74STjjM7QnHZxR08=</DigestValue>
      </Reference>
      <Reference URI="/xl/styles.xml?ContentType=application/vnd.openxmlformats-officedocument.spreadsheetml.styles+xml">
        <DigestMethod Algorithm="http://www.w3.org/2001/04/xmlenc#sha256"/>
        <DigestValue>5X+xkZoJYC60jrJWV7Oe1qZu3VXlJ0uaWJFa22LqxJA=</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FhxpkpiP9UTxz5YIKmCYTrccFwM0LDE7X89ipNa9kuw=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0Gw8ieZejkTBZLHr8vPxA8LqUImYLwqorSVmPTnzJMM=</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C9DxQUDAZZy3QTe+w8JtDLAliJ2w2mmT8od4UsD9boo=</DigestValue>
      </Reference>
      <Reference URI="/xl/worksheets/sheet1.xml?ContentType=application/vnd.openxmlformats-officedocument.spreadsheetml.worksheet+xml">
        <DigestMethod Algorithm="http://www.w3.org/2001/04/xmlenc#sha256"/>
        <DigestValue>1UcMkkfdEOockm+pxODZwPT1sBHZXpL+REPoUobNF6E=</DigestValue>
      </Reference>
      <Reference URI="/xl/worksheets/sheet2.xml?ContentType=application/vnd.openxmlformats-officedocument.spreadsheetml.worksheet+xml">
        <DigestMethod Algorithm="http://www.w3.org/2001/04/xmlenc#sha256"/>
        <DigestValue>pIO6SHZXGLtS0ynz1r4WhFfgwGrAsQWqChepYJu+CZs=</DigestValue>
      </Reference>
      <Reference URI="/xl/worksheets/sheet3.xml?ContentType=application/vnd.openxmlformats-officedocument.spreadsheetml.worksheet+xml">
        <DigestMethod Algorithm="http://www.w3.org/2001/04/xmlenc#sha256"/>
        <DigestValue>13n69cP7P3zPGUEqrSgNsc3886am+2K0MVmM3mtgX1U=</DigestValue>
      </Reference>
      <Reference URI="/xl/worksheets/sheet4.xml?ContentType=application/vnd.openxmlformats-officedocument.spreadsheetml.worksheet+xml">
        <DigestMethod Algorithm="http://www.w3.org/2001/04/xmlenc#sha256"/>
        <DigestValue>9J+Z071RNw8a+/+NJdJ80CSXnXKvUYuKpNtK09NutbM=</DigestValue>
      </Reference>
      <Reference URI="/xl/worksheets/sheet5.xml?ContentType=application/vnd.openxmlformats-officedocument.spreadsheetml.worksheet+xml">
        <DigestMethod Algorithm="http://www.w3.org/2001/04/xmlenc#sha256"/>
        <DigestValue>bmSGDmyyUIsg3CBxlWU0wHR7W+NNG9jS0djRI0PMECM=</DigestValue>
      </Reference>
      <Reference URI="/xl/worksheets/sheet6.xml?ContentType=application/vnd.openxmlformats-officedocument.spreadsheetml.worksheet+xml">
        <DigestMethod Algorithm="http://www.w3.org/2001/04/xmlenc#sha256"/>
        <DigestValue>uL6AbRH49DE4mI1aUlGBCMlVhDo5dNTN1hNBGOr0Kjk=</DigestValue>
      </Reference>
      <Reference URI="/xl/worksheets/sheet7.xml?ContentType=application/vnd.openxmlformats-officedocument.spreadsheetml.worksheet+xml">
        <DigestMethod Algorithm="http://www.w3.org/2001/04/xmlenc#sha256"/>
        <DigestValue>w45EA23jksjW2pm/4kBWqOwiTG8jcHoSVHGB+tMAgZo=</DigestValue>
      </Reference>
      <Reference URI="/xl/worksheets/sheet8.xml?ContentType=application/vnd.openxmlformats-officedocument.spreadsheetml.worksheet+xml">
        <DigestMethod Algorithm="http://www.w3.org/2001/04/xmlenc#sha256"/>
        <DigestValue>MbEJABzQEsU/5DB6ig2Qec4LHLWMzYLa0jt296gGwkQ=</DigestValue>
      </Reference>
      <Reference URI="/xl/worksheets/sheet9.xml?ContentType=application/vnd.openxmlformats-officedocument.spreadsheetml.worksheet+xml">
        <DigestMethod Algorithm="http://www.w3.org/2001/04/xmlenc#sha256"/>
        <DigestValue>jV3A+bHqas5LSlgg84YHoqQj9OHUz8JvdShwrMd/tk8=</DigestValue>
      </Reference>
    </Manifest>
    <SignatureProperties>
      <SignatureProperty Id="idSignatureTime" Target="#idPackageSignature">
        <mdssi:SignatureTime xmlns:mdssi="http://schemas.openxmlformats.org/package/2006/digital-signature">
          <mdssi:Format>YYYY-MM-DDThh:mm:ssTZD</mdssi:Format>
          <mdssi:Value>2024-10-04T03:14:38Z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2024-10-04T03:14:38Z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7</vt:i4>
      </vt:variant>
    </vt:vector>
  </HeadingPairs>
  <TitlesOfParts>
    <vt:vector size="16" baseType="lpstr">
      <vt:lpstr>TONGQUAN</vt:lpstr>
      <vt:lpstr>BCTaiSan_06027</vt:lpstr>
      <vt:lpstr>BCKetQuaHoatDong_06028</vt:lpstr>
      <vt:lpstr>BCDanhMucDauTu_06029</vt:lpstr>
      <vt:lpstr>BCThuNhap_06203</vt:lpstr>
      <vt:lpstr>Khac_06030</vt:lpstr>
      <vt:lpstr>BCTinhHinhTaiChinh_06105</vt:lpstr>
      <vt:lpstr>BCHoatDongVay_06026</vt:lpstr>
      <vt:lpstr>LogoFMS</vt:lpstr>
      <vt:lpstr>TONGQUAN!Print_Area</vt:lpstr>
      <vt:lpstr>BCDanhMucDauTu_06029!Print_Titles</vt:lpstr>
      <vt:lpstr>BCKetQuaHoatDong_06028!Print_Titles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2024-10-02T09:02:39Z</cp:lastPrinted>
  <dcterms:created xsi:type="dcterms:W3CDTF">2019-03-13T13:30:00Z</dcterms:created>
  <dcterms:modified xsi:type="dcterms:W3CDTF">2024-10-04T03:14:36Z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