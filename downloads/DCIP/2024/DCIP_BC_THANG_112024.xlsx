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7 VFMVFC\1. Report\2024\11. Nov\Monthly\Ky so\"/>
    </mc:Choice>
  </mc:AlternateContent>
  <xr:revisionPtr revIDLastSave="0" documentId="13_ncr:1_{3579A476-6348-40A5-B24A-CE1DCB2DFD8B}" xr6:coauthVersionLast="47" xr6:coauthVersionMax="47" xr10:uidLastSave="{00000000-0000-0000-0000-000000000000}"/>
  <bookViews>
    <workbookView xWindow="-120" yWindow="-120" windowWidth="29040" windowHeight="15840" firstSheet="2" activeTab="2" xr2:uid="{00000000-000D-0000-FFFF-FFFF00000000}"/>
  </bookViews>
  <sheets>
    <sheet name="TONGQUAN" sheetId="1" r:id="rId1"/>
    <sheet name="BCTaiSan_06027" sheetId="43" r:id="rId2"/>
    <sheet name="BCKetQuaHoatDong_06028" sheetId="29" r:id="rId3"/>
    <sheet name="BCDanhMucDauTu_06029" sheetId="44" r:id="rId4"/>
    <sheet name="Khac_06030" sheetId="32" r:id="rId5"/>
    <sheet name="BCHoatDongVay_06026" sheetId="45"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32" l="1"/>
  <c r="D64" i="32"/>
  <c r="A65" i="32"/>
  <c r="A64" i="32"/>
  <c r="A63" i="32"/>
  <c r="D53" i="32"/>
  <c r="D52" i="32"/>
  <c r="A53" i="32"/>
  <c r="A52" i="32"/>
  <c r="D107" i="29" l="1"/>
  <c r="D106" i="29"/>
  <c r="A107" i="29"/>
  <c r="A106" i="29"/>
  <c r="A105" i="29"/>
  <c r="F19" i="1" l="1"/>
  <c r="D63" i="32" l="1"/>
  <c r="D105" i="29"/>
</calcChain>
</file>

<file path=xl/sharedStrings.xml><?xml version="1.0" encoding="utf-8"?>
<sst xmlns="http://schemas.openxmlformats.org/spreadsheetml/2006/main" count="995" uniqueCount="756">
  <si>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</si>
  <si>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</si>
  <si>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</si>
  <si>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</si>
  <si>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</si>
  <si>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</si>
  <si>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</si>
  <si>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</si>
  <si>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</si>
  <si>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</si>
  <si>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</si>
  <si>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</si>
  <si>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</si>
  <si>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</si>
  <si>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</si>
  <si>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</si>
  <si>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</si>
  <si>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</si>
  <si>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</si>
  <si>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</si>
  <si>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</si>
  <si>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</si>
  <si>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</si>
  <si>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</si>
  <si>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</si>
  <si>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</si>
  <si>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</si>
  <si>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</si>
  <si>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</si>
  <si>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</si>
  <si>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</si>
  <si>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</si>
  <si>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</si>
  <si>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</si>
  <si>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</si>
  <si>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</si>
  <si>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</si>
  <si>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</si>
  <si>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</si>
  <si>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</si>
  <si>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</si>
  <si>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</si>
  <si>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</si>
  <si>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</si>
  <si>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</si>
  <si>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</si>
  <si>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</si>
  <si>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</si>
  <si>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</si>
  <si>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</si>
  <si>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</si>
  <si>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</si>
  <si>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</si>
  <si>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</si>
  <si>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</si>
  <si>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</si>
  <si>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</si>
  <si>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</si>
  <si>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</si>
  <si>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</si>
  <si>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</si>
  <si>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</si>
  <si>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</si>
  <si>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</si>
  <si>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</si>
  <si>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</si>
  <si>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</si>
  <si>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</si>
  <si>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</si>
  <si>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</si>
  <si>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</si>
  <si>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</si>
  <si>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</si>
  <si>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</si>
  <si>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</si>
  <si>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</si>
  <si>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</si>
  <si>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</si>
  <si>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</si>
  <si>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</si>
  <si>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</si>
  <si>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</si>
  <si>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</si>
  <si>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</si>
  <si>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</si>
  <si>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</si>
  <si>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</si>
  <si>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</si>
  <si>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</si>
  <si>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</si>
  <si>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</si>
  <si>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</si>
  <si>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</si>
  <si>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</si>
  <si>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</si>
  <si>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</si>
  <si>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</si>
  <si>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</si>
  <si>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</si>
  <si>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</si>
  <si>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</si>
  <si>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</si>
  <si>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</si>
  <si>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</si>
  <si>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</si>
  <si>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</si>
  <si>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</si>
  <si>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</si>
  <si>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</si>
  <si>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</si>
  <si>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</si>
  <si>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</si>
  <si>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</si>
  <si>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</si>
  <si>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</si>
  <si>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</si>
  <si>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</si>
  <si>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</si>
  <si>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</si>
  <si>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</si>
  <si>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</si>
  <si>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</si>
  <si>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</si>
  <si>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</si>
  <si>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</si>
  <si>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</si>
  <si>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</si>
  <si>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</si>
  <si>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</si>
  <si>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</si>
  <si>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</si>
  <si>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</si>
  <si>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</si>
  <si>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</si>
  <si>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</si>
  <si>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</si>
  <si>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</si>
  <si>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</si>
  <si>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</si>
  <si>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</si>
  <si>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</si>
  <si>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</si>
  <si>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</si>
  <si>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</si>
  <si>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</si>
  <si>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</si>
  <si>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</si>
  <si>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</si>
  <si>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</si>
  <si>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</si>
  <si>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</si>
  <si>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</si>
  <si>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</si>
  <si>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</si>
  <si>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</si>
  <si>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</si>
  <si>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</si>
  <si>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</si>
  <si>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</si>
  <si>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</si>
  <si>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</si>
  <si>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</si>
  <si>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</si>
  <si>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</si>
  <si>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</si>
  <si>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</si>
  <si>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</si>
  <si>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</si>
  <si>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</si>
  <si>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</si>
  <si>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</si>
  <si>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</si>
  <si>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</si>
  <si>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</si>
  <si>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</si>
  <si>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</si>
  <si>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</si>
  <si>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</si>
  <si>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</si>
  <si>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</si>
  <si>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</si>
  <si>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</si>
  <si>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</si>
  <si>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</si>
  <si>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</si>
  <si>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</si>
  <si>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</si>
  <si>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</si>
  <si>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</si>
  <si>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</si>
  <si>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</si>
  <si>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</si>
  <si>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</si>
  <si>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</si>
  <si>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</si>
  <si>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</si>
  <si>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</si>
  <si>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</si>
  <si>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</si>
  <si>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</si>
  <si>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</si>
  <si>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</si>
  <si>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</si>
  <si>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</si>
  <si>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</si>
  <si>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</si>
  <si>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</si>
  <si>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</si>
  <si>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</si>
  <si>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</si>
  <si>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</si>
  <si>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</si>
  <si>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</si>
  <si>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</si>
  <si>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</si>
  <si>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</si>
  <si>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</si>
  <si>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</si>
  <si>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</si>
  <si>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</si>
  <si>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</si>
  <si>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</si>
  <si>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</si>
  <si>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</si>
  <si>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</si>
  <si>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</si>
  <si>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</si>
  <si>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</si>
  <si>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</si>
  <si>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</si>
  <si>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</si>
  <si>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</si>
  <si>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</si>
  <si>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</si>
  <si>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</si>
  <si>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</si>
  <si>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</si>
  <si>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</si>
  <si>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</si>
  <si>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</si>
  <si>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</si>
  <si>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</si>
  <si>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</si>
  <si>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</si>
  <si>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</si>
  <si>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</si>
  <si>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</si>
  <si>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</si>
  <si>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</si>
  <si>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</si>
  <si>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</si>
  <si>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</si>
  <si>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</si>
  <si>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</si>
  <si>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</si>
  <si>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</si>
  <si>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</si>
  <si>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</si>
  <si>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</si>
  <si>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</si>
  <si>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</si>
  <si>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</si>
  <si>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</si>
  <si>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</si>
  <si>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</si>
  <si>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</si>
  <si>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</si>
  <si>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</si>
  <si>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</si>
  <si>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</si>
  <si>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</si>
  <si>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</si>
  <si>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</si>
  <si>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HDB124018</t>
  </si>
  <si>
    <t>2251.1.3</t>
  </si>
  <si>
    <t>1.4</t>
  </si>
  <si>
    <t>MSN123008</t>
  </si>
  <si>
    <t>2251.1.4</t>
  </si>
  <si>
    <t>1.5</t>
  </si>
  <si>
    <t>TCX124011</t>
  </si>
  <si>
    <t>2251.1.5</t>
  </si>
  <si>
    <t>1.6</t>
  </si>
  <si>
    <t>TCX124013</t>
  </si>
  <si>
    <t>2251.1.6</t>
  </si>
  <si>
    <t>1.7</t>
  </si>
  <si>
    <t>TNG122017</t>
  </si>
  <si>
    <t>2251.1.7</t>
  </si>
  <si>
    <t>1.8</t>
  </si>
  <si>
    <t>VND122014</t>
  </si>
  <si>
    <t>2251.1.8</t>
  </si>
  <si>
    <t>1.9</t>
  </si>
  <si>
    <t>VPI124001</t>
  </si>
  <si>
    <t>2251.1.9</t>
  </si>
  <si>
    <t>2</t>
  </si>
  <si>
    <t>Trái phiếu chưa niêm yết
Unlisted Bonds</t>
  </si>
  <si>
    <t>2251.2</t>
  </si>
  <si>
    <t>2.1</t>
  </si>
  <si>
    <t>KBC12401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</si>
  <si>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</si>
  <si>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</si>
  <si>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</si>
  <si>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</si>
  <si>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</si>
  <si>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</si>
  <si>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</si>
  <si>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</si>
  <si>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</si>
  <si>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</si>
  <si>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</si>
  <si>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</si>
  <si>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</si>
  <si>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</si>
  <si>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</si>
  <si>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</si>
  <si>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</si>
  <si>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</si>
  <si>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</si>
  <si>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</si>
  <si>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</si>
  <si>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</si>
  <si>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</si>
  <si>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</si>
  <si>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</si>
  <si>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</si>
  <si>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</si>
  <si>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</si>
  <si>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</si>
  <si>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</si>
  <si>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</si>
  <si>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</si>
  <si>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</si>
  <si>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</si>
  <si>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</si>
  <si>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</si>
  <si>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</si>
  <si>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</si>
  <si>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</si>
  <si>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</si>
  <si>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</si>
  <si>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</si>
  <si>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</si>
  <si>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</si>
  <si>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</si>
  <si>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</si>
  <si>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</si>
  <si>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</si>
  <si>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</si>
  <si>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</si>
  <si>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</si>
  <si>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</si>
  <si>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</si>
  <si>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</si>
  <si>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</si>
  <si>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</si>
  <si>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</si>
  <si>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</si>
  <si>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</si>
  <si>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</si>
  <si>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</si>
  <si>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</si>
  <si>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</si>
  <si>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</si>
  <si>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</si>
  <si>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</si>
  <si>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</si>
  <si>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</si>
  <si>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</si>
  <si>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</si>
  <si>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</si>
  <si>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</si>
  <si>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</si>
  <si>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</si>
  <si>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</si>
  <si>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</si>
  <si>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</si>
  <si>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</si>
  <si>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</si>
  <si>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</si>
  <si>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</si>
  <si>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</si>
  <si>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</si>
  <si>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</si>
  <si>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</si>
  <si>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</si>
  <si>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</si>
  <si>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</si>
  <si>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</si>
  <si>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</si>
  <si>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</si>
  <si>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</si>
  <si>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</si>
  <si>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</si>
  <si>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</si>
  <si>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</si>
  <si>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</si>
  <si>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</si>
  <si>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</si>
  <si>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</si>
  <si>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</si>
  <si>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</si>
  <si>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</si>
  <si>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</si>
  <si>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</si>
  <si>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</si>
  <si>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</si>
  <si>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</si>
  <si>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</si>
  <si>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</si>
  <si>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</si>
  <si>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</si>
  <si>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</si>
  <si>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</si>
  <si>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</si>
  <si>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</si>
  <si>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</si>
  <si>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</si>
  <si>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</si>
  <si>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</si>
  <si>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</si>
  <si>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</si>
  <si>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</si>
  <si>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</si>
  <si>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</si>
  <si>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</si>
  <si>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</si>
  <si>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</si>
  <si>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</si>
  <si>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</si>
  <si>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</si>
  <si>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</si>
  <si>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</si>
  <si>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</si>
  <si>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</si>
  <si>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</si>
  <si>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</si>
  <si>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</si>
  <si>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</si>
  <si>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</si>
  <si>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</si>
  <si>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</si>
  <si>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</si>
  <si>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</si>
  <si>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</si>
  <si>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</si>
  <si>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</si>
  <si>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</si>
  <si>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</si>
  <si>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</si>
  <si>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</si>
  <si>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</si>
  <si>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</si>
  <si>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</si>
  <si>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</si>
  <si>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</si>
  <si>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</si>
  <si>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</si>
  <si>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</si>
  <si>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</si>
  <si>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</si>
  <si>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</si>
  <si>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</si>
  <si>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</si>
  <si>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</si>
  <si>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</si>
  <si>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</si>
  <si>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</si>
  <si>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</si>
  <si>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</si>
  <si>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</si>
  <si>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</si>
  <si>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</si>
  <si>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</si>
  <si>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</si>
  <si>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</si>
  <si>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</si>
  <si>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</si>
  <si>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</si>
  <si>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</si>
  <si>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</si>
  <si>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</si>
  <si>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</si>
  <si>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</si>
  <si>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</si>
  <si>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</si>
  <si>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</si>
  <si>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</si>
  <si>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</si>
  <si>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</si>
  <si>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</si>
  <si>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</si>
  <si>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</si>
  <si>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</si>
  <si>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</si>
  <si>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</si>
  <si>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</si>
  <si>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</si>
  <si>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</si>
  <si>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</si>
  <si>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</si>
  <si>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</si>
  <si>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</si>
  <si>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</si>
  <si>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</si>
  <si>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</si>
  <si>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</si>
  <si>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</si>
  <si>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</si>
  <si>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</si>
  <si>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</si>
  <si>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</si>
  <si>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</si>
  <si>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</si>
  <si>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</si>
  <si>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</si>
  <si>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</si>
  <si>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</si>
  <si>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</si>
  <si>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</si>
  <si>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</si>
  <si>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</si>
  <si>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</si>
  <si>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</si>
  <si>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</si>
  <si>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</si>
  <si>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</si>
  <si>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</si>
  <si>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</si>
  <si>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</si>
  <si>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</si>
  <si>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</si>
  <si>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</si>
  <si>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</si>
  <si>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</si>
  <si>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</si>
  <si>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</si>
  <si>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</si>
  <si>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</si>
  <si>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</si>
  <si>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</si>
  <si>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</si>
  <si>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</si>
  <si>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</si>
  <si>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</si>
  <si>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</si>
  <si>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</si>
  <si>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</si>
  <si>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</si>
  <si>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</si>
  <si>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</si>
  <si>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</si>
  <si>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</si>
  <si>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</si>
  <si>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</si>
  <si>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</si>
  <si>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</si>
  <si>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</si>
  <si>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</si>
  <si>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</si>
  <si>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</si>
  <si>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</si>
  <si>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</si>
  <si>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</si>
  <si>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</si>
  <si>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</si>
  <si>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</si>
  <si>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</si>
  <si>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</si>
  <si>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</si>
  <si>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</si>
  <si>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</si>
  <si>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</si>
  <si>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</si>
  <si>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</si>
  <si>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</si>
  <si>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</si>
  <si>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</si>
  <si>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</si>
  <si>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</si>
  <si>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</si>
  <si>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</si>
  <si>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</si>
  <si>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</si>
  <si>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</si>
  <si>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</si>
  <si>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</si>
  <si>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</si>
  <si>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</si>
  <si>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</si>
  <si>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</si>
  <si>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</si>
  <si>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</si>
  <si>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</si>
  <si>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</si>
  <si>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</si>
  <si>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</si>
  <si>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</si>
  <si>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</si>
  <si>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</si>
  <si>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</si>
  <si>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</si>
  <si>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</si>
  <si>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</si>
  <si>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</si>
  <si>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</si>
  <si>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</si>
  <si>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</si>
  <si>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</si>
  <si>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</si>
  <si>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</si>
  <si>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</si>
  <si>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</si>
  <si>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</si>
  <si>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</si>
  <si>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</si>
  <si>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</si>
  <si>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</si>
  <si>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</si>
  <si>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</si>
  <si>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</si>
  <si>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</si>
  <si>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</si>
  <si>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</si>
  <si>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</si>
  <si>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</si>
  <si>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</si>
  <si>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</si>
  <si>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</si>
  <si>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</si>
  <si>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</si>
  <si>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</si>
  <si>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</si>
  <si>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</si>
  <si>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</si>
  <si>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</si>
  <si>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</si>
  <si>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</si>
  <si>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</si>
  <si>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</si>
  <si>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</si>
  <si>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</si>
  <si>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</si>
  <si>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</si>
  <si>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</si>
  <si>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</si>
  <si>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</si>
  <si>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</si>
  <si>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</si>
  <si>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</si>
  <si>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</si>
  <si>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</si>
  <si>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</si>
  <si>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</si>
  <si>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</si>
  <si>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</si>
  <si>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</si>
  <si>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</si>
  <si>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</si>
  <si>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</si>
  <si>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</si>
  <si>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</si>
  <si>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</si>
  <si>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</si>
  <si>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</si>
  <si>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</si>
  <si>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</si>
  <si>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</si>
  <si>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</si>
  <si>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</si>
  <si>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</si>
  <si>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</si>
  <si>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</si>
  <si>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</si>
  <si>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</si>
  <si>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</si>
  <si>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</si>
  <si>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</si>
  <si>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</si>
  <si>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</si>
  <si>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</si>
  <si>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</si>
  <si>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</si>
  <si>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</si>
  <si>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</si>
  <si>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</si>
  <si>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</si>
  <si>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</si>
  <si>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</si>
  <si>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</si>
  <si>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</si>
  <si>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</si>
  <si>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</si>
  <si>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</si>
  <si>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</si>
  <si>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</si>
  <si>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</si>
  <si>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</si>
  <si>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</si>
  <si>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</si>
  <si>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</si>
  <si>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</si>
  <si>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</si>
  <si>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</si>
  <si>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</si>
  <si>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</si>
  <si>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</si>
  <si>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</si>
  <si>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</si>
  <si>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</si>
  <si>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</si>
  <si>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</si>
  <si>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</si>
  <si>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</si>
  <si>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</si>
  <si>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</si>
  <si>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</si>
  <si>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</si>
  <si>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</si>
  <si>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</si>
  <si>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</si>
  <si>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</si>
  <si>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</si>
  <si>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</si>
  <si>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</si>
  <si>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</si>
  <si>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</si>
  <si>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</si>
  <si>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</si>
  <si>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</si>
  <si>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</si>
  <si>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</si>
  <si>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</si>
  <si>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</si>
  <si>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</si>
  <si>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</si>
  <si>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</si>
  <si>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</si>
  <si>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</si>
  <si>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</si>
  <si>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2024
/ As at 30 Nov 2024</t>
  </si>
  <si>
    <t>Tháng 11 năm 2024
/ Nov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</si>
  <si>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</si>
  <si>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</si>
  <si>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</si>
  <si>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</si>
  <si>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12 năm 2024</t>
  </si>
  <si>
    <t>02 Dec 2024</t>
  </si>
  <si>
    <t>Vũ Quang Phan</t>
  </si>
  <si>
    <t>Lê Hoàng Anh</t>
  </si>
  <si>
    <t>Phó phòng Dịch vụ nghiệp vụ giám sát Quỹ</t>
  </si>
  <si>
    <t>Quyền Giám đốc nghiệp vụ hỗ trợ đầu tư</t>
  </si>
  <si>
    <t>Ngày 30 tháng 11 năm 2024
 As at 30 Nov 2024</t>
  </si>
  <si>
    <t>Ngày 31 tháng 10 năm 2024
 As at 31 Oct 2024</t>
  </si>
  <si>
    <t>Tháng 11 năm 2024
Nov 2024</t>
  </si>
  <si>
    <t>Tháng 10 năm 2024
Oct 2024</t>
  </si>
  <si>
    <t>DC Income Plus Bond Fund (DCIP)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</si>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</sst>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165"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2" sqref="D12:I12"/>
    </sheetView>
  </sheetViews>
  <sheetFormatPr defaultColWidth="9.140625" defaultRowHeight="12.75"/>
  <cols>
    <col min="1" max="2" width="9.140625" style="79"/>
    <col min="3" max="3" width="30.140625" style="79" customWidth="1"/>
    <col min="4" max="4" width="30.85546875" style="79" customWidth="1"/>
    <col min="5" max="5" width="21.140625" style="79" customWidth="1"/>
    <col min="6" max="9" width="9.140625" style="79"/>
    <col min="10" max="10" width="11.85546875" style="79" customWidth="1"/>
    <col min="11" max="11" width="15" style="79" customWidth="1"/>
    <col min="12" max="16384" width="9.140625" style="79"/>
  </cols>
  <sheetData>
    <row r="1" spans="1:11">
      <c r="A1" s="78" t="s">
        <v>0</v>
      </c>
      <c r="C1" s="141" t="s">
        <v>738</v>
      </c>
      <c r="D1" s="142"/>
    </row>
    <row r="2" spans="1:11">
      <c r="C2" s="80" t="s">
        <v>739</v>
      </c>
      <c r="D2" s="81"/>
    </row>
    <row r="3" spans="1:11">
      <c r="D3" s="82"/>
    </row>
    <row r="4" spans="1:11">
      <c r="A4" s="78" t="s">
        <v>1</v>
      </c>
      <c r="D4" s="82"/>
    </row>
    <row r="5" spans="1:11" ht="15" customHeight="1">
      <c r="C5" s="83" t="s">
        <v>2</v>
      </c>
      <c r="D5" s="144" t="s">
        <v>740</v>
      </c>
      <c r="E5" s="144"/>
      <c r="F5" s="144"/>
      <c r="G5" s="144"/>
      <c r="H5" s="144"/>
      <c r="I5" s="144"/>
    </row>
    <row r="6" spans="1:11">
      <c r="C6" s="74" t="s">
        <v>15</v>
      </c>
      <c r="D6" s="143" t="s">
        <v>741</v>
      </c>
      <c r="E6" s="143"/>
      <c r="F6" s="143"/>
      <c r="G6" s="143"/>
      <c r="H6" s="143"/>
      <c r="I6" s="143"/>
    </row>
    <row r="7" spans="1:11">
      <c r="C7" s="84" t="s">
        <v>3</v>
      </c>
      <c r="D7" s="144" t="s">
        <v>742</v>
      </c>
      <c r="E7" s="144"/>
      <c r="F7" s="144"/>
      <c r="G7" s="144"/>
      <c r="H7" s="144"/>
      <c r="I7" s="144"/>
    </row>
    <row r="8" spans="1:11" ht="15" customHeight="1">
      <c r="C8" s="28" t="s">
        <v>4</v>
      </c>
      <c r="D8" s="143" t="s">
        <v>743</v>
      </c>
      <c r="E8" s="143"/>
      <c r="F8" s="143"/>
      <c r="G8" s="143"/>
      <c r="H8" s="143"/>
      <c r="I8" s="143"/>
    </row>
    <row r="9" spans="1:11" ht="15" customHeight="1">
      <c r="C9" s="84" t="s">
        <v>5</v>
      </c>
      <c r="D9" s="144" t="s">
        <v>239</v>
      </c>
      <c r="E9" s="144"/>
      <c r="F9" s="144"/>
      <c r="G9" s="144"/>
      <c r="H9" s="144"/>
      <c r="I9" s="144"/>
    </row>
    <row r="10" spans="1:11" ht="15" customHeight="1">
      <c r="C10" s="85" t="s">
        <v>6</v>
      </c>
      <c r="D10" s="143" t="s">
        <v>754</v>
      </c>
      <c r="E10" s="143"/>
      <c r="F10" s="143"/>
      <c r="G10" s="143"/>
      <c r="H10" s="143"/>
      <c r="I10" s="143"/>
    </row>
    <row r="11" spans="1:11">
      <c r="C11" s="86" t="s">
        <v>7</v>
      </c>
      <c r="D11" s="144" t="s">
        <v>744</v>
      </c>
      <c r="E11" s="144"/>
      <c r="F11" s="144"/>
      <c r="G11" s="144"/>
      <c r="H11" s="144"/>
      <c r="I11" s="144"/>
    </row>
    <row r="12" spans="1:11">
      <c r="C12" s="2" t="s">
        <v>8</v>
      </c>
      <c r="D12" s="143" t="s">
        <v>745</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746</v>
      </c>
      <c r="D20" s="92"/>
      <c r="F20" s="95" t="s">
        <v>747</v>
      </c>
      <c r="G20" s="1"/>
      <c r="H20" s="1"/>
      <c r="I20" s="1"/>
      <c r="J20" s="1"/>
      <c r="K20" s="93"/>
    </row>
    <row r="21" spans="3:11">
      <c r="C21" s="96" t="s">
        <v>748</v>
      </c>
      <c r="D21" s="81"/>
      <c r="F21" s="96" t="s">
        <v>749</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85" zoomScaleNormal="100" zoomScaleSheetLayoutView="85" workbookViewId="0">
      <selection activeCell="A5" sqref="A5:F5"/>
    </sheetView>
  </sheetViews>
  <sheetFormatPr defaultColWidth="8.7109375" defaultRowHeight="12.75"/>
  <cols>
    <col min="1" max="1" width="8.7109375" style="1"/>
    <col min="2" max="2" width="44.28515625" style="1" customWidth="1"/>
    <col min="3" max="3" width="10.28515625" style="1" customWidth="1"/>
    <col min="4" max="5" width="41.140625" style="1" customWidth="1"/>
    <col min="6" max="6" width="37.5703125" style="1" customWidth="1"/>
    <col min="7" max="16384" width="8.7109375" style="1"/>
  </cols>
  <sheetData>
    <row r="1" spans="1:6" s="2" customFormat="1" ht="54.75" customHeight="1">
      <c r="A1" s="145" t="s">
        <v>232</v>
      </c>
      <c r="B1" s="145"/>
      <c r="C1" s="145"/>
      <c r="D1" s="145"/>
      <c r="E1" s="145"/>
      <c r="F1" s="145"/>
    </row>
    <row r="2" spans="1:6" s="2" customFormat="1" ht="50.45" customHeight="1">
      <c r="A2" s="146" t="s">
        <v>233</v>
      </c>
      <c r="B2" s="146"/>
      <c r="C2" s="146"/>
      <c r="D2" s="146"/>
      <c r="E2" s="146"/>
      <c r="F2" s="146"/>
    </row>
    <row r="3" spans="1:6" s="2" customFormat="1">
      <c r="A3" s="147" t="s">
        <v>183</v>
      </c>
      <c r="B3" s="147"/>
      <c r="C3" s="147"/>
      <c r="D3" s="147"/>
      <c r="E3" s="147"/>
      <c r="F3" s="147"/>
    </row>
    <row r="4" spans="1:6" s="2" customFormat="1" ht="32.65" customHeight="1">
      <c r="A4" s="147"/>
      <c r="B4" s="147"/>
      <c r="C4" s="147"/>
      <c r="D4" s="147"/>
      <c r="E4" s="147"/>
      <c r="F4" s="147"/>
    </row>
    <row r="5" spans="1:6" s="2" customFormat="1" ht="16.899999999999999" customHeight="1">
      <c r="A5" s="148" t="s">
        <v>738</v>
      </c>
      <c r="B5" s="148"/>
      <c r="C5" s="148"/>
      <c r="D5" s="148"/>
      <c r="E5" s="148"/>
      <c r="F5" s="148"/>
    </row>
    <row r="6" spans="1:6">
      <c r="A6" s="9"/>
      <c r="B6" s="9"/>
      <c r="C6" s="9"/>
      <c r="D6" s="9"/>
      <c r="E6" s="9"/>
      <c r="F6" s="9"/>
    </row>
    <row r="7" spans="1:6" ht="16.899999999999999" customHeight="1">
      <c r="A7" s="144" t="s">
        <v>2</v>
      </c>
      <c r="B7" s="144"/>
      <c r="C7" s="144" t="s">
        <v>740</v>
      </c>
      <c r="D7" s="144"/>
      <c r="E7" s="144"/>
      <c r="F7" s="144"/>
    </row>
    <row r="8" spans="1:6" s="2" customFormat="1" ht="16.899999999999999" customHeight="1">
      <c r="A8" s="143" t="s">
        <v>15</v>
      </c>
      <c r="B8" s="143"/>
      <c r="C8" s="143" t="s">
        <v>741</v>
      </c>
      <c r="D8" s="143"/>
      <c r="E8" s="143"/>
      <c r="F8" s="143"/>
    </row>
    <row r="9" spans="1:6" ht="16.899999999999999" customHeight="1">
      <c r="A9" s="144" t="s">
        <v>3</v>
      </c>
      <c r="B9" s="144"/>
      <c r="C9" s="144" t="s">
        <v>742</v>
      </c>
      <c r="D9" s="144"/>
      <c r="E9" s="144"/>
      <c r="F9" s="144"/>
    </row>
    <row r="10" spans="1:6" s="2" customFormat="1" ht="16.899999999999999" customHeight="1">
      <c r="A10" s="143" t="s">
        <v>4</v>
      </c>
      <c r="B10" s="143"/>
      <c r="C10" s="143" t="s">
        <v>743</v>
      </c>
      <c r="D10" s="143"/>
      <c r="E10" s="143"/>
      <c r="F10" s="143"/>
    </row>
    <row r="11" spans="1:6" ht="16.899999999999999" customHeight="1">
      <c r="A11" s="144" t="s">
        <v>5</v>
      </c>
      <c r="B11" s="144"/>
      <c r="C11" s="144" t="s">
        <v>239</v>
      </c>
      <c r="D11" s="144"/>
      <c r="E11" s="144"/>
      <c r="F11" s="144"/>
    </row>
    <row r="12" spans="1:6" s="2" customFormat="1" ht="16.899999999999999" customHeight="1">
      <c r="A12" s="143" t="s">
        <v>6</v>
      </c>
      <c r="B12" s="143"/>
      <c r="C12" s="143" t="s">
        <v>754</v>
      </c>
      <c r="D12" s="143"/>
      <c r="E12" s="143"/>
      <c r="F12" s="143"/>
    </row>
    <row r="13" spans="1:6" ht="16.899999999999999" customHeight="1">
      <c r="A13" s="144" t="s">
        <v>7</v>
      </c>
      <c r="B13" s="144"/>
      <c r="C13" s="144" t="s">
        <v>744</v>
      </c>
      <c r="D13" s="144"/>
      <c r="E13" s="144"/>
      <c r="F13" s="144"/>
    </row>
    <row r="14" spans="1:6" s="2" customFormat="1" ht="16.899999999999999" customHeight="1">
      <c r="A14" s="143" t="s">
        <v>8</v>
      </c>
      <c r="B14" s="143"/>
      <c r="C14" s="143" t="s">
        <v>745</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750</v>
      </c>
      <c r="E18" s="7" t="s">
        <v>751</v>
      </c>
      <c r="F18" s="30" t="s">
        <v>20</v>
      </c>
    </row>
    <row r="19" spans="1:6" ht="39" customHeight="1">
      <c r="A19" s="136" t="s">
        <v>429</v>
      </c>
      <c r="B19" s="135" t="s">
        <v>430</v>
      </c>
      <c r="C19" s="136" t="s">
        <v>431</v>
      </c>
      <c r="D19" s="138"/>
      <c r="E19" s="138"/>
      <c r="F19" s="137"/>
    </row>
    <row r="20" spans="1:6" ht="39" customHeight="1">
      <c r="A20" s="131" t="s">
        <v>432</v>
      </c>
      <c r="B20" s="130" t="s">
        <v>433</v>
      </c>
      <c r="C20" s="131" t="s">
        <v>434</v>
      </c>
      <c r="D20" s="134">
        <v>318904337181</v>
      </c>
      <c r="E20" s="134">
        <v>462240792818</v>
      </c>
      <c r="F20" s="133">
        <v>1.0070649945202199</v>
      </c>
    </row>
    <row r="21" spans="1:6" ht="39" customHeight="1">
      <c r="A21" s="131" t="s">
        <v>435</v>
      </c>
      <c r="B21" s="130" t="s">
        <v>436</v>
      </c>
      <c r="C21" s="131" t="s">
        <v>437</v>
      </c>
      <c r="D21" s="134"/>
      <c r="E21" s="134"/>
      <c r="F21" s="133"/>
    </row>
    <row r="22" spans="1:6" ht="39" customHeight="1">
      <c r="A22" s="131" t="s">
        <v>438</v>
      </c>
      <c r="B22" s="130" t="s">
        <v>439</v>
      </c>
      <c r="C22" s="131" t="s">
        <v>440</v>
      </c>
      <c r="D22" s="134" t="s">
        <v>441</v>
      </c>
      <c r="E22" s="134" t="s">
        <v>442</v>
      </c>
      <c r="F22" s="133" t="s">
        <v>443</v>
      </c>
    </row>
    <row r="23" spans="1:6" ht="39" customHeight="1">
      <c r="A23" s="131" t="s">
        <v>444</v>
      </c>
      <c r="B23" s="130" t="s">
        <v>445</v>
      </c>
      <c r="C23" s="131" t="s">
        <v>446</v>
      </c>
      <c r="D23" s="134">
        <v>318904337181</v>
      </c>
      <c r="E23" s="134">
        <v>462240792818</v>
      </c>
      <c r="F23" s="133">
        <v>1.0070649945202199</v>
      </c>
    </row>
    <row r="24" spans="1:6" ht="39" customHeight="1">
      <c r="A24" s="131" t="s">
        <v>447</v>
      </c>
      <c r="B24" s="130" t="s">
        <v>448</v>
      </c>
      <c r="C24" s="131" t="s">
        <v>449</v>
      </c>
      <c r="D24" s="134" t="s">
        <v>450</v>
      </c>
      <c r="E24" s="134" t="s">
        <v>451</v>
      </c>
      <c r="F24" s="133" t="s">
        <v>452</v>
      </c>
    </row>
    <row r="25" spans="1:6" ht="48" customHeight="1">
      <c r="A25" s="131" t="s">
        <v>453</v>
      </c>
      <c r="B25" s="130" t="s">
        <v>454</v>
      </c>
      <c r="C25" s="131" t="s">
        <v>455</v>
      </c>
      <c r="D25" s="134">
        <v>28804237072</v>
      </c>
      <c r="E25" s="134">
        <v>21894476234</v>
      </c>
      <c r="F25" s="133">
        <v>1.2827263824069299</v>
      </c>
    </row>
    <row r="26" spans="1:6" ht="45" customHeight="1">
      <c r="A26" s="131" t="s">
        <v>456</v>
      </c>
      <c r="B26" s="130" t="s">
        <v>457</v>
      </c>
      <c r="C26" s="131" t="s">
        <v>458</v>
      </c>
      <c r="D26" s="134">
        <v>208776</v>
      </c>
      <c r="E26" s="134">
        <v>26949753</v>
      </c>
      <c r="F26" s="133">
        <v>2.07670355137773E-4</v>
      </c>
    </row>
    <row r="27" spans="1:6" ht="42" customHeight="1">
      <c r="A27" s="131" t="s">
        <v>459</v>
      </c>
      <c r="B27" s="130" t="s">
        <v>460</v>
      </c>
      <c r="C27" s="131" t="s">
        <v>461</v>
      </c>
      <c r="D27" s="134">
        <v>21099891333</v>
      </c>
      <c r="E27" s="134">
        <v>35519366831</v>
      </c>
      <c r="F27" s="133">
        <v>0.58276880196525305</v>
      </c>
    </row>
    <row r="28" spans="1:6" ht="48" customHeight="1">
      <c r="A28" s="131" t="s">
        <v>462</v>
      </c>
      <c r="B28" s="130" t="s">
        <v>463</v>
      </c>
      <c r="C28" s="131" t="s">
        <v>464</v>
      </c>
      <c r="D28" s="134">
        <v>0</v>
      </c>
      <c r="E28" s="134">
        <v>0</v>
      </c>
      <c r="F28" s="133"/>
    </row>
    <row r="29" spans="1:6" ht="39" customHeight="1">
      <c r="A29" s="131" t="s">
        <v>465</v>
      </c>
      <c r="B29" s="130" t="s">
        <v>466</v>
      </c>
      <c r="C29" s="131" t="s">
        <v>467</v>
      </c>
      <c r="D29" s="134">
        <v>269000000000</v>
      </c>
      <c r="E29" s="134">
        <v>404800000000</v>
      </c>
      <c r="F29" s="133">
        <v>1.04669260700389</v>
      </c>
    </row>
    <row r="30" spans="1:6" ht="39" customHeight="1">
      <c r="A30" s="131" t="s">
        <v>468</v>
      </c>
      <c r="B30" s="130" t="s">
        <v>469</v>
      </c>
      <c r="C30" s="131" t="s">
        <v>470</v>
      </c>
      <c r="D30" s="134">
        <v>796467799748</v>
      </c>
      <c r="E30" s="134">
        <v>757180537690</v>
      </c>
      <c r="F30" s="133">
        <v>0.962599314220141</v>
      </c>
    </row>
    <row r="31" spans="1:6" ht="39" customHeight="1">
      <c r="A31" s="131" t="s">
        <v>471</v>
      </c>
      <c r="B31" s="130" t="s">
        <v>472</v>
      </c>
      <c r="C31" s="131" t="s">
        <v>473</v>
      </c>
      <c r="D31" s="134" t="s">
        <v>474</v>
      </c>
      <c r="E31" s="134" t="s">
        <v>475</v>
      </c>
      <c r="F31" s="133" t="s">
        <v>476</v>
      </c>
    </row>
    <row r="32" spans="1:6" ht="39" customHeight="1">
      <c r="A32" s="131" t="s">
        <v>477</v>
      </c>
      <c r="B32" s="130" t="s">
        <v>478</v>
      </c>
      <c r="C32" s="131" t="s">
        <v>479</v>
      </c>
      <c r="D32" s="134">
        <v>0</v>
      </c>
      <c r="E32" s="134">
        <v>0</v>
      </c>
      <c r="F32" s="133"/>
    </row>
    <row r="33" spans="1:6" ht="39" customHeight="1">
      <c r="A33" s="131" t="s">
        <v>480</v>
      </c>
      <c r="B33" s="130" t="s">
        <v>481</v>
      </c>
      <c r="C33" s="131" t="s">
        <v>482</v>
      </c>
      <c r="D33" s="134">
        <v>0</v>
      </c>
      <c r="E33" s="134">
        <v>0</v>
      </c>
      <c r="F33" s="133"/>
    </row>
    <row r="34" spans="1:6" ht="39" customHeight="1">
      <c r="A34" s="131" t="s">
        <v>483</v>
      </c>
      <c r="B34" s="130" t="s">
        <v>484</v>
      </c>
      <c r="C34" s="131" t="s">
        <v>485</v>
      </c>
      <c r="D34" s="134">
        <v>489967799748</v>
      </c>
      <c r="E34" s="134">
        <v>450680537690</v>
      </c>
      <c r="F34" s="133">
        <v>0.80111132268499796</v>
      </c>
    </row>
    <row r="35" spans="1:6" ht="39" customHeight="1">
      <c r="A35" s="131" t="s">
        <v>486</v>
      </c>
      <c r="B35" s="130" t="s">
        <v>487</v>
      </c>
      <c r="C35" s="131" t="s">
        <v>488</v>
      </c>
      <c r="D35" s="134">
        <v>300000000000</v>
      </c>
      <c r="E35" s="134">
        <v>300000000000</v>
      </c>
      <c r="F35" s="133">
        <v>1.87848096868047</v>
      </c>
    </row>
    <row r="36" spans="1:6" ht="39" customHeight="1">
      <c r="A36" s="131" t="s">
        <v>489</v>
      </c>
      <c r="B36" s="130" t="s">
        <v>490</v>
      </c>
      <c r="C36" s="131" t="s">
        <v>491</v>
      </c>
      <c r="D36" s="134">
        <v>6500000000</v>
      </c>
      <c r="E36" s="134">
        <v>6500000000</v>
      </c>
      <c r="F36" s="133">
        <v>0.11586452762923399</v>
      </c>
    </row>
    <row r="37" spans="1:6" ht="39" customHeight="1">
      <c r="A37" s="131" t="s">
        <v>492</v>
      </c>
      <c r="B37" s="130" t="s">
        <v>493</v>
      </c>
      <c r="C37" s="131" t="s">
        <v>494</v>
      </c>
      <c r="D37" s="134">
        <v>0</v>
      </c>
      <c r="E37" s="134">
        <v>0</v>
      </c>
      <c r="F37" s="133"/>
    </row>
    <row r="38" spans="1:6" ht="39" customHeight="1">
      <c r="A38" s="131" t="s">
        <v>495</v>
      </c>
      <c r="B38" s="130" t="s">
        <v>496</v>
      </c>
      <c r="C38" s="131" t="s">
        <v>497</v>
      </c>
      <c r="D38" s="134">
        <v>0</v>
      </c>
      <c r="E38" s="134">
        <v>0</v>
      </c>
      <c r="F38" s="133"/>
    </row>
    <row r="39" spans="1:6" ht="39" customHeight="1">
      <c r="A39" s="131" t="s">
        <v>498</v>
      </c>
      <c r="B39" s="130" t="s">
        <v>499</v>
      </c>
      <c r="C39" s="131" t="s">
        <v>500</v>
      </c>
      <c r="D39" s="134">
        <v>0</v>
      </c>
      <c r="E39" s="134">
        <v>0</v>
      </c>
      <c r="F39" s="133"/>
    </row>
    <row r="40" spans="1:6" ht="39" customHeight="1">
      <c r="A40" s="131" t="s">
        <v>501</v>
      </c>
      <c r="B40" s="130" t="s">
        <v>502</v>
      </c>
      <c r="C40" s="131" t="s">
        <v>503</v>
      </c>
      <c r="D40" s="134">
        <v>0</v>
      </c>
      <c r="E40" s="134">
        <v>0</v>
      </c>
      <c r="F40" s="133"/>
    </row>
    <row r="41" spans="1:6" ht="39" customHeight="1">
      <c r="A41" s="131" t="s">
        <v>504</v>
      </c>
      <c r="B41" s="130" t="s">
        <v>505</v>
      </c>
      <c r="C41" s="131" t="s">
        <v>506</v>
      </c>
      <c r="D41" s="134">
        <v>0</v>
      </c>
      <c r="E41" s="134">
        <v>0</v>
      </c>
      <c r="F41" s="133"/>
    </row>
    <row r="42" spans="1:6" ht="39" customHeight="1">
      <c r="A42" s="131" t="s">
        <v>507</v>
      </c>
      <c r="B42" s="130" t="s">
        <v>508</v>
      </c>
      <c r="C42" s="131" t="s">
        <v>509</v>
      </c>
      <c r="D42" s="134" t="s">
        <v>510</v>
      </c>
      <c r="E42" s="134" t="s">
        <v>511</v>
      </c>
      <c r="F42" s="133" t="s">
        <v>512</v>
      </c>
    </row>
    <row r="43" spans="1:6" ht="39" customHeight="1">
      <c r="A43" s="131" t="s">
        <v>513</v>
      </c>
      <c r="B43" s="130" t="s">
        <v>514</v>
      </c>
      <c r="C43" s="131" t="s">
        <v>515</v>
      </c>
      <c r="D43" s="134">
        <v>15268554295</v>
      </c>
      <c r="E43" s="134">
        <v>14005264042</v>
      </c>
      <c r="F43" s="133">
        <v>0.84077601300821303</v>
      </c>
    </row>
    <row r="44" spans="1:6" ht="39" customHeight="1">
      <c r="A44" s="131" t="s">
        <v>516</v>
      </c>
      <c r="B44" s="130" t="s">
        <v>517</v>
      </c>
      <c r="C44" s="131" t="s">
        <v>518</v>
      </c>
      <c r="D44" s="134" t="s">
        <v>519</v>
      </c>
      <c r="E44" s="134" t="s">
        <v>520</v>
      </c>
      <c r="F44" s="133" t="s">
        <v>521</v>
      </c>
    </row>
    <row r="45" spans="1:6" ht="39" customHeight="1">
      <c r="A45" s="131" t="s">
        <v>522</v>
      </c>
      <c r="B45" s="130" t="s">
        <v>523</v>
      </c>
      <c r="C45" s="131" t="s">
        <v>524</v>
      </c>
      <c r="D45" s="134">
        <v>0</v>
      </c>
      <c r="E45" s="134">
        <v>0</v>
      </c>
      <c r="F45" s="133"/>
    </row>
    <row r="46" spans="1:6" ht="39" customHeight="1">
      <c r="A46" s="131" t="s">
        <v>525</v>
      </c>
      <c r="B46" s="130" t="s">
        <v>526</v>
      </c>
      <c r="C46" s="131" t="s">
        <v>527</v>
      </c>
      <c r="D46" s="134">
        <v>15268554295</v>
      </c>
      <c r="E46" s="134">
        <v>14005264042</v>
      </c>
      <c r="F46" s="133">
        <v>0.84077601300821303</v>
      </c>
    </row>
    <row r="47" spans="1:6" ht="39" customHeight="1">
      <c r="A47" s="131" t="s">
        <v>528</v>
      </c>
      <c r="B47" s="130" t="s">
        <v>529</v>
      </c>
      <c r="C47" s="131" t="s">
        <v>530</v>
      </c>
      <c r="D47" s="134">
        <v>10072339725</v>
      </c>
      <c r="E47" s="134">
        <v>8429628769</v>
      </c>
      <c r="F47" s="133">
        <v>2.4937757418526401</v>
      </c>
    </row>
    <row r="48" spans="1:6" ht="39" customHeight="1">
      <c r="A48" s="131" t="s">
        <v>531</v>
      </c>
      <c r="B48" s="130" t="s">
        <v>532</v>
      </c>
      <c r="C48" s="131" t="s">
        <v>533</v>
      </c>
      <c r="D48" s="134" t="s">
        <v>534</v>
      </c>
      <c r="E48" s="134" t="s">
        <v>535</v>
      </c>
      <c r="F48" s="133" t="s">
        <v>536</v>
      </c>
    </row>
    <row r="49" spans="1:6" ht="39" customHeight="1">
      <c r="A49" s="131" t="s">
        <v>537</v>
      </c>
      <c r="B49" s="130" t="s">
        <v>538</v>
      </c>
      <c r="C49" s="131" t="s">
        <v>539</v>
      </c>
      <c r="D49" s="134">
        <v>693161643</v>
      </c>
      <c r="E49" s="134">
        <v>705793153</v>
      </c>
      <c r="F49" s="133">
        <v>0.87505274261357002</v>
      </c>
    </row>
    <row r="50" spans="1:6" ht="39" customHeight="1">
      <c r="A50" s="131" t="s">
        <v>540</v>
      </c>
      <c r="B50" s="130" t="s">
        <v>541</v>
      </c>
      <c r="C50" s="131" t="s">
        <v>542</v>
      </c>
      <c r="D50" s="134">
        <v>9379178082</v>
      </c>
      <c r="E50" s="134">
        <v>7723835616</v>
      </c>
      <c r="F50" s="133">
        <v>2.8886965007896799</v>
      </c>
    </row>
    <row r="51" spans="1:6" ht="39" customHeight="1">
      <c r="A51" s="131" t="s">
        <v>543</v>
      </c>
      <c r="B51" s="130" t="s">
        <v>544</v>
      </c>
      <c r="C51" s="131" t="s">
        <v>545</v>
      </c>
      <c r="D51" s="134">
        <v>0</v>
      </c>
      <c r="E51" s="134">
        <v>0</v>
      </c>
      <c r="F51" s="133"/>
    </row>
    <row r="52" spans="1:6" ht="39" customHeight="1">
      <c r="A52" s="131" t="s">
        <v>546</v>
      </c>
      <c r="B52" s="130" t="s">
        <v>547</v>
      </c>
      <c r="C52" s="131" t="s">
        <v>548</v>
      </c>
      <c r="D52" s="134">
        <v>0</v>
      </c>
      <c r="E52" s="134">
        <v>0</v>
      </c>
      <c r="F52" s="133"/>
    </row>
    <row r="53" spans="1:6" ht="39" customHeight="1">
      <c r="A53" s="131" t="s">
        <v>549</v>
      </c>
      <c r="B53" s="130" t="s">
        <v>550</v>
      </c>
      <c r="C53" s="131" t="s">
        <v>551</v>
      </c>
      <c r="D53" s="134" t="s">
        <v>552</v>
      </c>
      <c r="E53" s="134" t="s">
        <v>553</v>
      </c>
      <c r="F53" s="133" t="s">
        <v>554</v>
      </c>
    </row>
    <row r="54" spans="1:6" ht="39" customHeight="1">
      <c r="A54" s="131" t="s">
        <v>555</v>
      </c>
      <c r="B54" s="130" t="s">
        <v>556</v>
      </c>
      <c r="C54" s="131" t="s">
        <v>557</v>
      </c>
      <c r="D54" s="134">
        <v>0</v>
      </c>
      <c r="E54" s="134">
        <v>0</v>
      </c>
      <c r="F54" s="133"/>
    </row>
    <row r="55" spans="1:6" ht="39" customHeight="1">
      <c r="A55" s="131" t="s">
        <v>558</v>
      </c>
      <c r="B55" s="130" t="s">
        <v>559</v>
      </c>
      <c r="C55" s="131" t="s">
        <v>560</v>
      </c>
      <c r="D55" s="134" t="s">
        <v>561</v>
      </c>
      <c r="E55" s="134" t="s">
        <v>562</v>
      </c>
      <c r="F55" s="133" t="s">
        <v>563</v>
      </c>
    </row>
    <row r="56" spans="1:6" ht="39" customHeight="1">
      <c r="A56" s="131" t="s">
        <v>564</v>
      </c>
      <c r="B56" s="130" t="s">
        <v>565</v>
      </c>
      <c r="C56" s="131" t="s">
        <v>566</v>
      </c>
      <c r="D56" s="134">
        <v>0</v>
      </c>
      <c r="E56" s="134">
        <v>0</v>
      </c>
      <c r="F56" s="133"/>
    </row>
    <row r="57" spans="1:6" ht="39" customHeight="1">
      <c r="A57" s="131" t="s">
        <v>567</v>
      </c>
      <c r="B57" s="130" t="s">
        <v>568</v>
      </c>
      <c r="C57" s="131" t="s">
        <v>569</v>
      </c>
      <c r="D57" s="134" t="s">
        <v>570</v>
      </c>
      <c r="E57" s="134" t="s">
        <v>571</v>
      </c>
      <c r="F57" s="133" t="s">
        <v>572</v>
      </c>
    </row>
    <row r="58" spans="1:6" ht="39" customHeight="1">
      <c r="A58" s="131" t="s">
        <v>573</v>
      </c>
      <c r="B58" s="130" t="s">
        <v>574</v>
      </c>
      <c r="C58" s="131" t="s">
        <v>575</v>
      </c>
      <c r="D58" s="134">
        <v>0</v>
      </c>
      <c r="E58" s="134">
        <v>0</v>
      </c>
      <c r="F58" s="133"/>
    </row>
    <row r="59" spans="1:6" ht="39" customHeight="1">
      <c r="A59" s="131" t="s">
        <v>576</v>
      </c>
      <c r="B59" s="130" t="s">
        <v>577</v>
      </c>
      <c r="C59" s="131" t="s">
        <v>578</v>
      </c>
      <c r="D59" s="134">
        <v>0</v>
      </c>
      <c r="E59" s="134">
        <v>0</v>
      </c>
      <c r="F59" s="133"/>
    </row>
    <row r="60" spans="1:6" ht="39" customHeight="1">
      <c r="A60" s="131" t="s">
        <v>579</v>
      </c>
      <c r="B60" s="130" t="s">
        <v>580</v>
      </c>
      <c r="C60" s="131" t="s">
        <v>581</v>
      </c>
      <c r="D60" s="134">
        <v>0</v>
      </c>
      <c r="E60" s="134">
        <v>0</v>
      </c>
      <c r="F60" s="133"/>
    </row>
    <row r="61" spans="1:6" ht="39" customHeight="1">
      <c r="A61" s="131" t="s">
        <v>582</v>
      </c>
      <c r="B61" s="130" t="s">
        <v>583</v>
      </c>
      <c r="C61" s="131" t="s">
        <v>584</v>
      </c>
      <c r="D61" s="134">
        <v>18884808</v>
      </c>
      <c r="E61" s="134">
        <v>30773299</v>
      </c>
      <c r="F61" s="133"/>
    </row>
    <row r="62" spans="1:6" ht="39" customHeight="1">
      <c r="A62" s="131" t="s">
        <v>585</v>
      </c>
      <c r="B62" s="130" t="s">
        <v>586</v>
      </c>
      <c r="C62" s="131" t="s">
        <v>587</v>
      </c>
      <c r="D62" s="134" t="s">
        <v>588</v>
      </c>
      <c r="E62" s="134" t="s">
        <v>589</v>
      </c>
      <c r="F62" s="133" t="s">
        <v>590</v>
      </c>
    </row>
    <row r="63" spans="1:6" ht="39" customHeight="1">
      <c r="A63" s="136" t="s">
        <v>591</v>
      </c>
      <c r="B63" s="135" t="s">
        <v>592</v>
      </c>
      <c r="C63" s="136" t="s">
        <v>593</v>
      </c>
      <c r="D63" s="138">
        <v>1140731915757</v>
      </c>
      <c r="E63" s="138">
        <v>1241886996618</v>
      </c>
      <c r="F63" s="137">
        <v>0.978094559253603</v>
      </c>
    </row>
    <row r="64" spans="1:6" ht="39" customHeight="1">
      <c r="A64" s="136" t="s">
        <v>594</v>
      </c>
      <c r="B64" s="135" t="s">
        <v>595</v>
      </c>
      <c r="C64" s="136" t="s">
        <v>596</v>
      </c>
      <c r="D64" s="138"/>
      <c r="E64" s="138"/>
      <c r="F64" s="137"/>
    </row>
    <row r="65" spans="1:6" ht="39" customHeight="1">
      <c r="A65" s="131" t="s">
        <v>597</v>
      </c>
      <c r="B65" s="130" t="s">
        <v>598</v>
      </c>
      <c r="C65" s="131" t="s">
        <v>599</v>
      </c>
      <c r="D65" s="134">
        <v>0</v>
      </c>
      <c r="E65" s="134">
        <v>0</v>
      </c>
      <c r="F65" s="133"/>
    </row>
    <row r="66" spans="1:6" ht="39" customHeight="1">
      <c r="A66" s="131" t="s">
        <v>600</v>
      </c>
      <c r="B66" s="130" t="s">
        <v>601</v>
      </c>
      <c r="C66" s="131" t="s">
        <v>602</v>
      </c>
      <c r="D66" s="134" t="s">
        <v>603</v>
      </c>
      <c r="E66" s="134" t="s">
        <v>604</v>
      </c>
      <c r="F66" s="133" t="s">
        <v>605</v>
      </c>
    </row>
    <row r="67" spans="1:6" ht="39" customHeight="1">
      <c r="A67" s="131" t="s">
        <v>606</v>
      </c>
      <c r="B67" s="130" t="s">
        <v>607</v>
      </c>
      <c r="C67" s="131" t="s">
        <v>608</v>
      </c>
      <c r="D67" s="134">
        <v>0</v>
      </c>
      <c r="E67" s="134">
        <v>13244722224</v>
      </c>
      <c r="F67" s="133">
        <v>0</v>
      </c>
    </row>
    <row r="68" spans="1:6" ht="39" customHeight="1">
      <c r="A68" s="131" t="s">
        <v>609</v>
      </c>
      <c r="B68" s="130" t="s">
        <v>610</v>
      </c>
      <c r="C68" s="131" t="s">
        <v>611</v>
      </c>
      <c r="D68" s="134" t="s">
        <v>612</v>
      </c>
      <c r="E68" s="134" t="s">
        <v>613</v>
      </c>
      <c r="F68" s="133" t="s">
        <v>614</v>
      </c>
    </row>
    <row r="69" spans="1:6" ht="39" customHeight="1">
      <c r="A69" s="131" t="s">
        <v>615</v>
      </c>
      <c r="B69" s="130" t="s">
        <v>616</v>
      </c>
      <c r="C69" s="131" t="s">
        <v>617</v>
      </c>
      <c r="D69" s="134">
        <v>30784283376</v>
      </c>
      <c r="E69" s="134">
        <v>23951178756</v>
      </c>
      <c r="F69" s="133">
        <v>1.2482837385790999</v>
      </c>
    </row>
    <row r="70" spans="1:6" ht="39" customHeight="1">
      <c r="A70" s="131" t="s">
        <v>618</v>
      </c>
      <c r="B70" s="130" t="s">
        <v>619</v>
      </c>
      <c r="C70" s="131" t="s">
        <v>620</v>
      </c>
      <c r="D70" s="134" t="s">
        <v>621</v>
      </c>
      <c r="E70" s="134" t="s">
        <v>622</v>
      </c>
      <c r="F70" s="133" t="s">
        <v>623</v>
      </c>
    </row>
    <row r="71" spans="1:6" ht="39" customHeight="1">
      <c r="A71" s="131" t="s">
        <v>624</v>
      </c>
      <c r="B71" s="130" t="s">
        <v>625</v>
      </c>
      <c r="C71" s="131" t="s">
        <v>626</v>
      </c>
      <c r="D71" s="134">
        <v>28804445848</v>
      </c>
      <c r="E71" s="134">
        <v>21921425987</v>
      </c>
      <c r="F71" s="133">
        <v>1.22776889377198</v>
      </c>
    </row>
    <row r="72" spans="1:6" ht="39" customHeight="1">
      <c r="A72" s="131" t="s">
        <v>627</v>
      </c>
      <c r="B72" s="130" t="s">
        <v>628</v>
      </c>
      <c r="C72" s="131" t="s">
        <v>629</v>
      </c>
      <c r="D72" s="134">
        <v>28804237072</v>
      </c>
      <c r="E72" s="134">
        <v>21894476234</v>
      </c>
      <c r="F72" s="133">
        <v>1.2827263824069299</v>
      </c>
    </row>
    <row r="73" spans="1:6" ht="48" customHeight="1">
      <c r="A73" s="131" t="s">
        <v>630</v>
      </c>
      <c r="B73" s="130" t="s">
        <v>631</v>
      </c>
      <c r="C73" s="131" t="s">
        <v>632</v>
      </c>
      <c r="D73" s="134">
        <v>0</v>
      </c>
      <c r="E73" s="134">
        <v>0</v>
      </c>
      <c r="F73" s="133"/>
    </row>
    <row r="74" spans="1:6" ht="39" customHeight="1">
      <c r="A74" s="131" t="s">
        <v>633</v>
      </c>
      <c r="B74" s="130" t="s">
        <v>634</v>
      </c>
      <c r="C74" s="131" t="s">
        <v>635</v>
      </c>
      <c r="D74" s="134">
        <v>0</v>
      </c>
      <c r="E74" s="134">
        <v>0</v>
      </c>
      <c r="F74" s="133"/>
    </row>
    <row r="75" spans="1:6" ht="39" customHeight="1">
      <c r="A75" s="131" t="s">
        <v>636</v>
      </c>
      <c r="B75" s="130" t="s">
        <v>637</v>
      </c>
      <c r="C75" s="131" t="s">
        <v>638</v>
      </c>
      <c r="D75" s="134">
        <v>208776</v>
      </c>
      <c r="E75" s="134">
        <v>26949753</v>
      </c>
      <c r="F75" s="133">
        <v>2.07670355137773E-4</v>
      </c>
    </row>
    <row r="76" spans="1:6" ht="39" customHeight="1">
      <c r="A76" s="131" t="s">
        <v>639</v>
      </c>
      <c r="B76" s="130" t="s">
        <v>640</v>
      </c>
      <c r="C76" s="131" t="s">
        <v>641</v>
      </c>
      <c r="D76" s="134">
        <v>621753361</v>
      </c>
      <c r="E76" s="134">
        <v>579084926</v>
      </c>
      <c r="F76" s="133">
        <v>4.2283699491076403</v>
      </c>
    </row>
    <row r="77" spans="1:6" ht="60.95" customHeight="1">
      <c r="A77" s="131" t="s">
        <v>642</v>
      </c>
      <c r="B77" s="130" t="s">
        <v>643</v>
      </c>
      <c r="C77" s="131" t="s">
        <v>644</v>
      </c>
      <c r="D77" s="134">
        <v>0</v>
      </c>
      <c r="E77" s="134">
        <v>0</v>
      </c>
      <c r="F77" s="133"/>
    </row>
    <row r="78" spans="1:6" ht="39" customHeight="1">
      <c r="A78" s="131" t="s">
        <v>645</v>
      </c>
      <c r="B78" s="130" t="s">
        <v>646</v>
      </c>
      <c r="C78" s="131" t="s">
        <v>647</v>
      </c>
      <c r="D78" s="134">
        <v>0</v>
      </c>
      <c r="E78" s="134">
        <v>0</v>
      </c>
      <c r="F78" s="133"/>
    </row>
    <row r="79" spans="1:6" ht="39" customHeight="1">
      <c r="A79" s="131" t="s">
        <v>648</v>
      </c>
      <c r="B79" s="130" t="s">
        <v>649</v>
      </c>
      <c r="C79" s="131" t="s">
        <v>650</v>
      </c>
      <c r="D79" s="134">
        <v>11491803</v>
      </c>
      <c r="E79" s="134">
        <v>11000000</v>
      </c>
      <c r="F79" s="133">
        <v>1.0001211444917</v>
      </c>
    </row>
    <row r="80" spans="1:6" ht="39" customHeight="1">
      <c r="A80" s="131" t="s">
        <v>651</v>
      </c>
      <c r="B80" s="130" t="s">
        <v>652</v>
      </c>
      <c r="C80" s="131" t="s">
        <v>653</v>
      </c>
      <c r="D80" s="134">
        <v>1081299388</v>
      </c>
      <c r="E80" s="134">
        <v>1188711608</v>
      </c>
      <c r="F80" s="133">
        <v>1.28666745421596</v>
      </c>
    </row>
    <row r="81" spans="1:6" ht="39" customHeight="1">
      <c r="A81" s="131" t="s">
        <v>654</v>
      </c>
      <c r="B81" s="130" t="s">
        <v>655</v>
      </c>
      <c r="C81" s="131" t="s">
        <v>656</v>
      </c>
      <c r="D81" s="134">
        <v>46129894</v>
      </c>
      <c r="E81" s="134">
        <v>50360176</v>
      </c>
      <c r="F81" s="133">
        <v>1.16995174552991</v>
      </c>
    </row>
    <row r="82" spans="1:6" ht="39" customHeight="1">
      <c r="A82" s="131" t="s">
        <v>657</v>
      </c>
      <c r="B82" s="130" t="s">
        <v>658</v>
      </c>
      <c r="C82" s="131" t="s">
        <v>659</v>
      </c>
      <c r="D82" s="134">
        <v>29750549</v>
      </c>
      <c r="E82" s="134">
        <v>32923258</v>
      </c>
      <c r="F82" s="133">
        <v>1.2873085531658801</v>
      </c>
    </row>
    <row r="83" spans="1:6" ht="39" customHeight="1">
      <c r="A83" s="131" t="s">
        <v>660</v>
      </c>
      <c r="B83" s="130" t="s">
        <v>661</v>
      </c>
      <c r="C83" s="131" t="s">
        <v>662</v>
      </c>
      <c r="D83" s="134">
        <v>0</v>
      </c>
      <c r="E83" s="134">
        <v>1986708</v>
      </c>
      <c r="F83" s="133">
        <v>0</v>
      </c>
    </row>
    <row r="84" spans="1:6" ht="39" customHeight="1">
      <c r="A84" s="131" t="s">
        <v>663</v>
      </c>
      <c r="B84" s="130" t="s">
        <v>664</v>
      </c>
      <c r="C84" s="131" t="s">
        <v>665</v>
      </c>
      <c r="D84" s="134">
        <v>0</v>
      </c>
      <c r="E84" s="134">
        <v>1986708</v>
      </c>
      <c r="F84" s="133">
        <v>0</v>
      </c>
    </row>
    <row r="85" spans="1:6" ht="45.95" customHeight="1">
      <c r="A85" s="131" t="s">
        <v>666</v>
      </c>
      <c r="B85" s="130" t="s">
        <v>667</v>
      </c>
      <c r="C85" s="131" t="s">
        <v>668</v>
      </c>
      <c r="D85" s="134">
        <v>0</v>
      </c>
      <c r="E85" s="134">
        <v>0</v>
      </c>
      <c r="F85" s="133"/>
    </row>
    <row r="86" spans="1:6" ht="39" customHeight="1">
      <c r="A86" s="131" t="s">
        <v>669</v>
      </c>
      <c r="B86" s="130" t="s">
        <v>670</v>
      </c>
      <c r="C86" s="131" t="s">
        <v>671</v>
      </c>
      <c r="D86" s="134">
        <v>46276584</v>
      </c>
      <c r="E86" s="134">
        <v>51533727</v>
      </c>
      <c r="F86" s="133">
        <v>1.2172875269401999</v>
      </c>
    </row>
    <row r="87" spans="1:6" ht="39" customHeight="1">
      <c r="A87" s="131" t="s">
        <v>672</v>
      </c>
      <c r="B87" s="130" t="s">
        <v>673</v>
      </c>
      <c r="C87" s="131" t="s">
        <v>674</v>
      </c>
      <c r="D87" s="134">
        <v>45076584</v>
      </c>
      <c r="E87" s="134">
        <v>49883727</v>
      </c>
      <c r="F87" s="133">
        <v>1.2873084358876801</v>
      </c>
    </row>
    <row r="88" spans="1:6" ht="39" customHeight="1">
      <c r="A88" s="131" t="s">
        <v>675</v>
      </c>
      <c r="B88" s="130" t="s">
        <v>676</v>
      </c>
      <c r="C88" s="131" t="s">
        <v>677</v>
      </c>
      <c r="D88" s="134">
        <v>750000</v>
      </c>
      <c r="E88" s="134">
        <v>1200000</v>
      </c>
      <c r="F88" s="133">
        <v>0.29411764705882398</v>
      </c>
    </row>
    <row r="89" spans="1:6" ht="60" customHeight="1">
      <c r="A89" s="131" t="s">
        <v>678</v>
      </c>
      <c r="B89" s="130" t="s">
        <v>679</v>
      </c>
      <c r="C89" s="131" t="s">
        <v>680</v>
      </c>
      <c r="D89" s="134">
        <v>450000</v>
      </c>
      <c r="E89" s="134">
        <v>450000</v>
      </c>
      <c r="F89" s="133">
        <v>1</v>
      </c>
    </row>
    <row r="90" spans="1:6" ht="39" customHeight="1">
      <c r="A90" s="131" t="s">
        <v>681</v>
      </c>
      <c r="B90" s="130" t="s">
        <v>682</v>
      </c>
      <c r="C90" s="131" t="s">
        <v>683</v>
      </c>
      <c r="D90" s="134">
        <v>56953333</v>
      </c>
      <c r="E90" s="134">
        <v>45953333</v>
      </c>
      <c r="F90" s="133">
        <v>1.0365667707134401</v>
      </c>
    </row>
    <row r="91" spans="1:6" ht="39" customHeight="1">
      <c r="A91" s="131" t="s">
        <v>684</v>
      </c>
      <c r="B91" s="130" t="s">
        <v>685</v>
      </c>
      <c r="C91" s="131" t="s">
        <v>686</v>
      </c>
      <c r="D91" s="134">
        <v>35245579</v>
      </c>
      <c r="E91" s="134">
        <v>29371316</v>
      </c>
      <c r="F91" s="133"/>
    </row>
    <row r="92" spans="1:6" ht="39" customHeight="1">
      <c r="A92" s="131" t="s">
        <v>687</v>
      </c>
      <c r="B92" s="130" t="s">
        <v>688</v>
      </c>
      <c r="C92" s="131" t="s">
        <v>689</v>
      </c>
      <c r="D92" s="134">
        <v>0</v>
      </c>
      <c r="E92" s="134">
        <v>0</v>
      </c>
      <c r="F92" s="133"/>
    </row>
    <row r="93" spans="1:6" ht="39" customHeight="1">
      <c r="A93" s="131" t="s">
        <v>690</v>
      </c>
      <c r="B93" s="130" t="s">
        <v>691</v>
      </c>
      <c r="C93" s="131" t="s">
        <v>692</v>
      </c>
      <c r="D93" s="134">
        <v>13200000</v>
      </c>
      <c r="E93" s="134">
        <v>13200000</v>
      </c>
      <c r="F93" s="133">
        <v>1</v>
      </c>
    </row>
    <row r="94" spans="1:6" ht="48" customHeight="1">
      <c r="A94" s="131" t="s">
        <v>693</v>
      </c>
      <c r="B94" s="130" t="s">
        <v>694</v>
      </c>
      <c r="C94" s="131" t="s">
        <v>695</v>
      </c>
      <c r="D94" s="134">
        <v>0</v>
      </c>
      <c r="E94" s="134">
        <v>0</v>
      </c>
      <c r="F94" s="133"/>
    </row>
    <row r="95" spans="1:6" ht="39" customHeight="1">
      <c r="A95" s="131" t="s">
        <v>696</v>
      </c>
      <c r="B95" s="130" t="s">
        <v>697</v>
      </c>
      <c r="C95" s="131" t="s">
        <v>698</v>
      </c>
      <c r="D95" s="134">
        <v>0</v>
      </c>
      <c r="E95" s="134">
        <v>0</v>
      </c>
      <c r="F95" s="133"/>
    </row>
    <row r="96" spans="1:6" ht="39" customHeight="1">
      <c r="A96" s="131" t="s">
        <v>699</v>
      </c>
      <c r="B96" s="130" t="s">
        <v>700</v>
      </c>
      <c r="C96" s="131" t="s">
        <v>701</v>
      </c>
      <c r="D96" s="134">
        <v>37737037</v>
      </c>
      <c r="E96" s="134">
        <v>25627717</v>
      </c>
      <c r="F96" s="133">
        <v>1.27336042310469</v>
      </c>
    </row>
    <row r="97" spans="1:6" ht="39" customHeight="1">
      <c r="A97" s="131" t="s">
        <v>702</v>
      </c>
      <c r="B97" s="130" t="s">
        <v>703</v>
      </c>
      <c r="C97" s="131" t="s">
        <v>704</v>
      </c>
      <c r="D97" s="134">
        <v>23372283</v>
      </c>
      <c r="E97" s="134">
        <v>11877717</v>
      </c>
      <c r="F97" s="133">
        <v>1.5</v>
      </c>
    </row>
    <row r="98" spans="1:6" ht="48" customHeight="1">
      <c r="A98" s="131" t="s">
        <v>705</v>
      </c>
      <c r="B98" s="130" t="s">
        <v>706</v>
      </c>
      <c r="C98" s="131" t="s">
        <v>707</v>
      </c>
      <c r="D98" s="134">
        <v>0</v>
      </c>
      <c r="E98" s="134">
        <v>0</v>
      </c>
      <c r="F98" s="133"/>
    </row>
    <row r="99" spans="1:6" ht="45" customHeight="1">
      <c r="A99" s="131" t="s">
        <v>708</v>
      </c>
      <c r="B99" s="130" t="s">
        <v>709</v>
      </c>
      <c r="C99" s="131" t="s">
        <v>710</v>
      </c>
      <c r="D99" s="134">
        <v>14364754</v>
      </c>
      <c r="E99" s="134">
        <v>13750000</v>
      </c>
      <c r="F99" s="133">
        <v>2.0930678561926301</v>
      </c>
    </row>
    <row r="100" spans="1:6" ht="39" customHeight="1">
      <c r="A100" s="131" t="s">
        <v>711</v>
      </c>
      <c r="B100" s="130" t="s">
        <v>712</v>
      </c>
      <c r="C100" s="131" t="s">
        <v>713</v>
      </c>
      <c r="D100" s="134">
        <v>0</v>
      </c>
      <c r="E100" s="134">
        <v>0</v>
      </c>
      <c r="F100" s="133">
        <v>0</v>
      </c>
    </row>
    <row r="101" spans="1:6" ht="39" customHeight="1">
      <c r="A101" s="131" t="s">
        <v>714</v>
      </c>
      <c r="B101" s="130" t="s">
        <v>715</v>
      </c>
      <c r="C101" s="131" t="s">
        <v>716</v>
      </c>
      <c r="D101" s="134">
        <v>0</v>
      </c>
      <c r="E101" s="134">
        <v>0</v>
      </c>
      <c r="F101" s="133"/>
    </row>
    <row r="102" spans="1:6" ht="39" customHeight="1">
      <c r="A102" s="131" t="s">
        <v>717</v>
      </c>
      <c r="B102" s="130" t="s">
        <v>718</v>
      </c>
      <c r="C102" s="131" t="s">
        <v>719</v>
      </c>
      <c r="D102" s="134">
        <v>0</v>
      </c>
      <c r="E102" s="134">
        <v>0</v>
      </c>
      <c r="F102" s="133"/>
    </row>
    <row r="103" spans="1:6" ht="39" customHeight="1">
      <c r="A103" s="131" t="s">
        <v>720</v>
      </c>
      <c r="B103" s="130" t="s">
        <v>721</v>
      </c>
      <c r="C103" s="131" t="s">
        <v>722</v>
      </c>
      <c r="D103" s="134">
        <v>0</v>
      </c>
      <c r="E103" s="134">
        <v>0</v>
      </c>
      <c r="F103" s="133"/>
    </row>
    <row r="104" spans="1:6" ht="39" customHeight="1">
      <c r="A104" s="131" t="s">
        <v>723</v>
      </c>
      <c r="B104" s="130" t="s">
        <v>724</v>
      </c>
      <c r="C104" s="131" t="s">
        <v>725</v>
      </c>
      <c r="D104" s="134">
        <v>0</v>
      </c>
      <c r="E104" s="134">
        <v>0</v>
      </c>
      <c r="F104" s="133"/>
    </row>
    <row r="105" spans="1:6" ht="39" customHeight="1">
      <c r="A105" s="136" t="s">
        <v>726</v>
      </c>
      <c r="B105" s="135" t="s">
        <v>727</v>
      </c>
      <c r="C105" s="136" t="s">
        <v>728</v>
      </c>
      <c r="D105" s="138">
        <v>30784283376</v>
      </c>
      <c r="E105" s="138">
        <v>37195900980</v>
      </c>
      <c r="F105" s="137">
        <v>0.66683617849912402</v>
      </c>
    </row>
    <row r="106" spans="1:6" ht="39" customHeight="1">
      <c r="A106" s="131" t="s">
        <v>729</v>
      </c>
      <c r="B106" s="130" t="s">
        <v>730</v>
      </c>
      <c r="C106" s="131" t="s">
        <v>731</v>
      </c>
      <c r="D106" s="134">
        <v>1109947632381</v>
      </c>
      <c r="E106" s="134">
        <v>1204691095638</v>
      </c>
      <c r="F106" s="133">
        <v>0.99092283526068403</v>
      </c>
    </row>
    <row r="107" spans="1:6" ht="39" customHeight="1">
      <c r="A107" s="131" t="s">
        <v>732</v>
      </c>
      <c r="B107" s="130" t="s">
        <v>733</v>
      </c>
      <c r="C107" s="131" t="s">
        <v>734</v>
      </c>
      <c r="D107" s="139">
        <v>99149915.599999994</v>
      </c>
      <c r="E107" s="139">
        <v>108154253.37</v>
      </c>
      <c r="F107" s="133">
        <v>0.93884829180849805</v>
      </c>
    </row>
    <row r="108" spans="1:6" ht="39" customHeight="1">
      <c r="A108" s="131" t="s">
        <v>735</v>
      </c>
      <c r="B108" s="130" t="s">
        <v>736</v>
      </c>
      <c r="C108" s="131" t="s">
        <v>737</v>
      </c>
      <c r="D108" s="139">
        <v>11194.64</v>
      </c>
      <c r="E108" s="139">
        <v>11138.63</v>
      </c>
      <c r="F108" s="133">
        <v>1.0554668245596499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740</v>
      </c>
      <c r="F119" s="46"/>
    </row>
    <row r="120" spans="1:6" s="2" customFormat="1" ht="16.899999999999999" customHeight="1">
      <c r="A120" s="45" t="s">
        <v>746</v>
      </c>
      <c r="B120" s="3"/>
      <c r="C120" s="3"/>
      <c r="E120" s="45" t="s">
        <v>747</v>
      </c>
      <c r="F120" s="3"/>
    </row>
    <row r="121" spans="1:6" s="2" customFormat="1" ht="16.899999999999999" customHeight="1">
      <c r="A121" s="3" t="s">
        <v>748</v>
      </c>
      <c r="B121" s="3"/>
      <c r="C121" s="3"/>
      <c r="E121" s="3" t="s">
        <v>749</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tabSelected="1" view="pageBreakPreview" topLeftCell="A43" zoomScale="85" zoomScaleNormal="100" zoomScaleSheetLayoutView="85" workbookViewId="0">
      <selection activeCell="B58" sqref="B58:B60"/>
    </sheetView>
  </sheetViews>
  <sheetFormatPr defaultColWidth="8.7109375" defaultRowHeight="12.75"/>
  <cols>
    <col min="1" max="1" width="8.7109375" style="9"/>
    <col min="2" max="2" width="46.28515625" style="9" customWidth="1"/>
    <col min="3" max="3" width="10.7109375" style="9" bestFit="1" customWidth="1"/>
    <col min="4" max="6" width="36.85546875" style="9" customWidth="1"/>
    <col min="7" max="16384" width="8.7109375" style="16"/>
  </cols>
  <sheetData>
    <row r="1" spans="1:6" ht="54.75" customHeight="1">
      <c r="A1" s="150" t="s">
        <v>232</v>
      </c>
      <c r="B1" s="150"/>
      <c r="C1" s="150"/>
      <c r="D1" s="150"/>
      <c r="E1" s="150"/>
      <c r="F1" s="150"/>
    </row>
    <row r="2" spans="1:6" ht="54.75" customHeight="1">
      <c r="A2" s="151" t="s">
        <v>233</v>
      </c>
      <c r="B2" s="151"/>
      <c r="C2" s="151"/>
      <c r="D2" s="151"/>
      <c r="E2" s="151"/>
      <c r="F2" s="151"/>
    </row>
    <row r="3" spans="1:6" ht="22.5" customHeight="1">
      <c r="A3" s="152" t="s">
        <v>183</v>
      </c>
      <c r="B3" s="152"/>
      <c r="C3" s="152"/>
      <c r="D3" s="152"/>
      <c r="E3" s="152"/>
      <c r="F3" s="152"/>
    </row>
    <row r="4" spans="1:6" ht="21" customHeight="1">
      <c r="A4" s="152"/>
      <c r="B4" s="152"/>
      <c r="C4" s="152"/>
      <c r="D4" s="152"/>
      <c r="E4" s="152"/>
      <c r="F4" s="152"/>
    </row>
    <row r="5" spans="1:6" ht="16.149999999999999" customHeight="1">
      <c r="A5" s="153" t="s">
        <v>739</v>
      </c>
      <c r="B5" s="153"/>
      <c r="C5" s="153"/>
      <c r="D5" s="153"/>
      <c r="E5" s="153"/>
      <c r="F5" s="153"/>
    </row>
    <row r="7" spans="1:6" ht="16.899999999999999" customHeight="1">
      <c r="A7" s="75" t="s">
        <v>2</v>
      </c>
      <c r="C7" s="154" t="s">
        <v>740</v>
      </c>
      <c r="D7" s="154"/>
      <c r="E7" s="154"/>
      <c r="F7" s="154"/>
    </row>
    <row r="8" spans="1:6" ht="16.899999999999999" customHeight="1">
      <c r="A8" s="9" t="s">
        <v>15</v>
      </c>
      <c r="C8" s="149" t="s">
        <v>741</v>
      </c>
      <c r="D8" s="149"/>
      <c r="E8" s="149"/>
      <c r="F8" s="149"/>
    </row>
    <row r="9" spans="1:6" ht="16.899999999999999" customHeight="1">
      <c r="A9" s="75" t="s">
        <v>3</v>
      </c>
      <c r="C9" s="154" t="s">
        <v>742</v>
      </c>
      <c r="D9" s="154"/>
      <c r="E9" s="154"/>
      <c r="F9" s="154"/>
    </row>
    <row r="10" spans="1:6" ht="16.899999999999999" customHeight="1">
      <c r="A10" s="9" t="s">
        <v>4</v>
      </c>
      <c r="C10" s="149" t="s">
        <v>743</v>
      </c>
      <c r="D10" s="149"/>
      <c r="E10" s="149"/>
      <c r="F10" s="149"/>
    </row>
    <row r="11" spans="1:6" ht="16.899999999999999" customHeight="1">
      <c r="A11" s="75" t="s">
        <v>5</v>
      </c>
      <c r="C11" s="154" t="s">
        <v>239</v>
      </c>
      <c r="D11" s="154"/>
      <c r="E11" s="154"/>
      <c r="F11" s="154"/>
    </row>
    <row r="12" spans="1:6" ht="16.899999999999999" customHeight="1">
      <c r="A12" s="9" t="s">
        <v>6</v>
      </c>
      <c r="C12" s="149" t="s">
        <v>754</v>
      </c>
      <c r="D12" s="149"/>
      <c r="E12" s="149"/>
      <c r="F12" s="149"/>
    </row>
    <row r="13" spans="1:6" ht="16.899999999999999" customHeight="1">
      <c r="A13" s="75" t="s">
        <v>7</v>
      </c>
      <c r="C13" s="154" t="s">
        <v>744</v>
      </c>
      <c r="D13" s="154"/>
      <c r="E13" s="154"/>
      <c r="F13" s="154"/>
    </row>
    <row r="14" spans="1:6" ht="16.899999999999999" customHeight="1">
      <c r="A14" s="9" t="s">
        <v>8</v>
      </c>
      <c r="C14" s="149" t="s">
        <v>745</v>
      </c>
      <c r="D14" s="149"/>
      <c r="E14" s="149"/>
      <c r="F14" s="149"/>
    </row>
    <row r="15" spans="1:6" ht="16.899999999999999" customHeight="1"/>
    <row r="16" spans="1:6" ht="16.899999999999999" customHeight="1">
      <c r="A16" s="69" t="s">
        <v>230</v>
      </c>
      <c r="B16" s="70" t="s">
        <v>231</v>
      </c>
    </row>
    <row r="17" spans="1:6" ht="16.899999999999999" customHeight="1">
      <c r="A17" s="14" t="s">
        <v>21</v>
      </c>
      <c r="B17" s="15" t="s">
        <v>22</v>
      </c>
    </row>
    <row r="18" spans="1:6" ht="38.25">
      <c r="A18" s="117" t="s">
        <v>17</v>
      </c>
      <c r="B18" s="117" t="s">
        <v>18</v>
      </c>
      <c r="C18" s="117" t="s">
        <v>19</v>
      </c>
      <c r="D18" s="118" t="s">
        <v>752</v>
      </c>
      <c r="E18" s="118" t="s">
        <v>753</v>
      </c>
      <c r="F18" s="118" t="s">
        <v>236</v>
      </c>
    </row>
    <row r="19" spans="1:6" s="17" customFormat="1" ht="25.5">
      <c r="A19" s="119" t="s">
        <v>16</v>
      </c>
      <c r="B19" s="120" t="s">
        <v>30</v>
      </c>
      <c r="C19" s="121" t="s">
        <v>44</v>
      </c>
      <c r="D19" s="122">
        <v>6302304680</v>
      </c>
      <c r="E19" s="122">
        <v>6917278834</v>
      </c>
      <c r="F19" s="122">
        <v>108574483963</v>
      </c>
    </row>
    <row r="20" spans="1:6" ht="25.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5">
      <c r="A22" s="50">
        <v>2</v>
      </c>
      <c r="B22" s="51" t="s">
        <v>146</v>
      </c>
      <c r="C22" s="52" t="s">
        <v>45</v>
      </c>
      <c r="D22" s="123">
        <v>3562184149</v>
      </c>
      <c r="E22" s="123">
        <v>4040834790</v>
      </c>
      <c r="F22" s="123">
        <v>64861498673</v>
      </c>
    </row>
    <row r="23" spans="1:6">
      <c r="A23" s="73" t="s">
        <v>188</v>
      </c>
      <c r="B23" s="73" t="s">
        <v>188</v>
      </c>
      <c r="C23" s="73" t="s">
        <v>188</v>
      </c>
      <c r="D23" s="124" t="s">
        <v>188</v>
      </c>
      <c r="E23" s="124" t="s">
        <v>189</v>
      </c>
      <c r="F23" s="124" t="s">
        <v>189</v>
      </c>
    </row>
    <row r="24" spans="1:6" ht="25.5">
      <c r="A24" s="53"/>
      <c r="B24" s="54" t="s">
        <v>147</v>
      </c>
      <c r="C24" s="55" t="s">
        <v>46</v>
      </c>
      <c r="D24" s="123">
        <v>0</v>
      </c>
      <c r="E24" s="123">
        <v>0</v>
      </c>
      <c r="F24" s="123">
        <v>0</v>
      </c>
    </row>
    <row r="25" spans="1:6" ht="25.5">
      <c r="A25" s="53"/>
      <c r="B25" s="54" t="s">
        <v>148</v>
      </c>
      <c r="C25" s="55" t="s">
        <v>47</v>
      </c>
      <c r="D25" s="123">
        <v>3562184149</v>
      </c>
      <c r="E25" s="123">
        <v>4040834790</v>
      </c>
      <c r="F25" s="123">
        <v>64861498673</v>
      </c>
    </row>
    <row r="26" spans="1:6" ht="25.5">
      <c r="A26" s="50">
        <v>3</v>
      </c>
      <c r="B26" s="51" t="s">
        <v>149</v>
      </c>
      <c r="C26" s="52" t="s">
        <v>48</v>
      </c>
      <c r="D26" s="123">
        <v>2740120531</v>
      </c>
      <c r="E26" s="123">
        <v>2876444044</v>
      </c>
      <c r="F26" s="123">
        <v>43712985290</v>
      </c>
    </row>
    <row r="27" spans="1:6">
      <c r="A27" s="73" t="s">
        <v>188</v>
      </c>
      <c r="B27" s="73" t="s">
        <v>188</v>
      </c>
      <c r="C27" s="73" t="s">
        <v>188</v>
      </c>
      <c r="D27" s="124" t="s">
        <v>188</v>
      </c>
      <c r="E27" s="124" t="s">
        <v>188</v>
      </c>
      <c r="F27" s="124" t="s">
        <v>188</v>
      </c>
    </row>
    <row r="28" spans="1:6" ht="25.5">
      <c r="A28" s="53"/>
      <c r="B28" s="54" t="s">
        <v>145</v>
      </c>
      <c r="C28" s="55" t="s">
        <v>49</v>
      </c>
      <c r="D28" s="123">
        <v>1084778065</v>
      </c>
      <c r="E28" s="123">
        <v>1165923497</v>
      </c>
      <c r="F28" s="123">
        <v>20815790771</v>
      </c>
    </row>
    <row r="29" spans="1:6" ht="25.5">
      <c r="A29" s="53"/>
      <c r="B29" s="54" t="s">
        <v>242</v>
      </c>
      <c r="C29" s="55" t="s">
        <v>50</v>
      </c>
      <c r="D29" s="123">
        <v>1655342466</v>
      </c>
      <c r="E29" s="123">
        <v>1710520547</v>
      </c>
      <c r="F29" s="123">
        <v>22897194519</v>
      </c>
    </row>
    <row r="30" spans="1:6" ht="25.5">
      <c r="A30" s="53"/>
      <c r="B30" s="54" t="s">
        <v>164</v>
      </c>
      <c r="C30" s="55" t="s">
        <v>144</v>
      </c>
      <c r="D30" s="123">
        <v>0</v>
      </c>
      <c r="E30" s="123">
        <v>0</v>
      </c>
      <c r="F30" s="123">
        <v>0</v>
      </c>
    </row>
    <row r="31" spans="1:6" s="17" customFormat="1" ht="25.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5">
      <c r="A33" s="56"/>
      <c r="B33" s="57" t="s">
        <v>151</v>
      </c>
      <c r="C33" s="58" t="s">
        <v>52</v>
      </c>
      <c r="D33" s="123">
        <v>0</v>
      </c>
      <c r="E33" s="123">
        <v>0</v>
      </c>
      <c r="F33" s="123">
        <v>0</v>
      </c>
    </row>
    <row r="34" spans="1:6" ht="25.5">
      <c r="A34" s="56"/>
      <c r="B34" s="57" t="s">
        <v>152</v>
      </c>
      <c r="C34" s="58" t="s">
        <v>53</v>
      </c>
      <c r="D34" s="123">
        <v>0</v>
      </c>
      <c r="E34" s="123">
        <v>0</v>
      </c>
      <c r="F34" s="123">
        <v>0</v>
      </c>
    </row>
    <row r="35" spans="1:6" ht="76.5">
      <c r="A35" s="56"/>
      <c r="B35" s="57" t="s">
        <v>31</v>
      </c>
      <c r="C35" s="58" t="s">
        <v>54</v>
      </c>
      <c r="D35" s="123">
        <v>0</v>
      </c>
      <c r="E35" s="123">
        <v>0</v>
      </c>
      <c r="F35" s="123">
        <v>0</v>
      </c>
    </row>
    <row r="36" spans="1:6" ht="25.5">
      <c r="A36" s="119" t="s">
        <v>21</v>
      </c>
      <c r="B36" s="120" t="s">
        <v>153</v>
      </c>
      <c r="C36" s="121" t="s">
        <v>55</v>
      </c>
      <c r="D36" s="126">
        <v>1286498617</v>
      </c>
      <c r="E36" s="126">
        <v>1449078298</v>
      </c>
      <c r="F36" s="126">
        <v>22914334681</v>
      </c>
    </row>
    <row r="37" spans="1:6" ht="38.25">
      <c r="A37" s="50">
        <v>1</v>
      </c>
      <c r="B37" s="51" t="s">
        <v>190</v>
      </c>
      <c r="C37" s="52" t="s">
        <v>56</v>
      </c>
      <c r="D37" s="123">
        <v>1081299388</v>
      </c>
      <c r="E37" s="123">
        <v>1188711608</v>
      </c>
      <c r="F37" s="123">
        <v>19209160751</v>
      </c>
    </row>
    <row r="38" spans="1:6">
      <c r="A38" s="73" t="s">
        <v>188</v>
      </c>
      <c r="B38" s="73" t="s">
        <v>188</v>
      </c>
      <c r="C38" s="73" t="s">
        <v>188</v>
      </c>
      <c r="D38" s="124" t="s">
        <v>188</v>
      </c>
      <c r="E38" s="124" t="s">
        <v>188</v>
      </c>
      <c r="F38" s="124" t="s">
        <v>188</v>
      </c>
    </row>
    <row r="39" spans="1:6" ht="51">
      <c r="A39" s="50">
        <v>2</v>
      </c>
      <c r="B39" s="51" t="s">
        <v>244</v>
      </c>
      <c r="C39" s="52" t="s">
        <v>57</v>
      </c>
      <c r="D39" s="123">
        <v>78688005</v>
      </c>
      <c r="E39" s="123">
        <v>85475423</v>
      </c>
      <c r="F39" s="123">
        <v>1368251081</v>
      </c>
    </row>
    <row r="40" spans="1:6">
      <c r="A40" s="73" t="s">
        <v>188</v>
      </c>
      <c r="B40" s="73" t="s">
        <v>188</v>
      </c>
      <c r="C40" s="73" t="s">
        <v>188</v>
      </c>
      <c r="D40" s="124" t="s">
        <v>188</v>
      </c>
      <c r="E40" s="124" t="s">
        <v>188</v>
      </c>
      <c r="F40" s="124" t="s">
        <v>188</v>
      </c>
    </row>
    <row r="41" spans="1:6" ht="25.5">
      <c r="A41" s="59"/>
      <c r="B41" s="54" t="s">
        <v>191</v>
      </c>
      <c r="C41" s="55" t="s">
        <v>58</v>
      </c>
      <c r="D41" s="123">
        <v>45076584</v>
      </c>
      <c r="E41" s="123">
        <v>49883727</v>
      </c>
      <c r="F41" s="123">
        <v>800758222</v>
      </c>
    </row>
    <row r="42" spans="1:6" ht="25.5">
      <c r="A42" s="59"/>
      <c r="B42" s="54" t="s">
        <v>192</v>
      </c>
      <c r="C42" s="55" t="s">
        <v>59</v>
      </c>
      <c r="D42" s="123">
        <v>2800000</v>
      </c>
      <c r="E42" s="123">
        <v>1500000</v>
      </c>
      <c r="F42" s="123">
        <v>26450000</v>
      </c>
    </row>
    <row r="43" spans="1:6" ht="51">
      <c r="A43" s="59"/>
      <c r="B43" s="54" t="s">
        <v>245</v>
      </c>
      <c r="C43" s="55" t="s">
        <v>60</v>
      </c>
      <c r="D43" s="123">
        <v>1060872</v>
      </c>
      <c r="E43" s="123">
        <v>1168438</v>
      </c>
      <c r="F43" s="123">
        <v>12542440</v>
      </c>
    </row>
    <row r="44" spans="1:6" ht="25.5">
      <c r="A44" s="59"/>
      <c r="B44" s="54" t="s">
        <v>193</v>
      </c>
      <c r="C44" s="55" t="s">
        <v>61</v>
      </c>
      <c r="D44" s="123">
        <v>29750549</v>
      </c>
      <c r="E44" s="123">
        <v>32923258</v>
      </c>
      <c r="F44" s="123">
        <v>528500419</v>
      </c>
    </row>
    <row r="45" spans="1:6" ht="63.75">
      <c r="A45" s="50">
        <v>3</v>
      </c>
      <c r="B45" s="60" t="s">
        <v>194</v>
      </c>
      <c r="C45" s="52" t="s">
        <v>62</v>
      </c>
      <c r="D45" s="123">
        <v>59329894</v>
      </c>
      <c r="E45" s="123">
        <v>63560176</v>
      </c>
      <c r="F45" s="123">
        <v>920954730</v>
      </c>
    </row>
    <row r="46" spans="1:6">
      <c r="A46" s="73" t="s">
        <v>188</v>
      </c>
      <c r="B46" s="73" t="s">
        <v>188</v>
      </c>
      <c r="C46" s="73" t="s">
        <v>188</v>
      </c>
      <c r="D46" s="124" t="s">
        <v>188</v>
      </c>
      <c r="E46" s="124" t="s">
        <v>188</v>
      </c>
      <c r="F46" s="124" t="s">
        <v>188</v>
      </c>
    </row>
    <row r="47" spans="1:6" ht="25.5">
      <c r="A47" s="59"/>
      <c r="B47" s="61" t="s">
        <v>165</v>
      </c>
      <c r="C47" s="55" t="s">
        <v>63</v>
      </c>
      <c r="D47" s="123">
        <v>46129894</v>
      </c>
      <c r="E47" s="123">
        <v>50360176</v>
      </c>
      <c r="F47" s="123">
        <v>775754730</v>
      </c>
    </row>
    <row r="48" spans="1:6" ht="25.5">
      <c r="A48" s="59"/>
      <c r="B48" s="61" t="s">
        <v>32</v>
      </c>
      <c r="C48" s="55" t="s">
        <v>64</v>
      </c>
      <c r="D48" s="123">
        <v>13200000</v>
      </c>
      <c r="E48" s="123">
        <v>13200000</v>
      </c>
      <c r="F48" s="123">
        <v>145200000</v>
      </c>
    </row>
    <row r="49" spans="1:6" ht="25.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38.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5">
      <c r="A53" s="50">
        <v>6</v>
      </c>
      <c r="B53" s="51" t="s">
        <v>33</v>
      </c>
      <c r="C53" s="52" t="s">
        <v>65</v>
      </c>
      <c r="D53" s="123">
        <v>11000000</v>
      </c>
      <c r="E53" s="123">
        <v>11366666</v>
      </c>
      <c r="F53" s="123">
        <v>122850861</v>
      </c>
    </row>
    <row r="54" spans="1:6">
      <c r="A54" s="73" t="s">
        <v>188</v>
      </c>
      <c r="B54" s="73" t="s">
        <v>188</v>
      </c>
      <c r="C54" s="73" t="s">
        <v>188</v>
      </c>
      <c r="D54" s="124" t="s">
        <v>188</v>
      </c>
      <c r="E54" s="124" t="s">
        <v>188</v>
      </c>
      <c r="F54" s="124" t="s">
        <v>188</v>
      </c>
    </row>
    <row r="55" spans="1:6" ht="63.75">
      <c r="A55" s="50">
        <v>7</v>
      </c>
      <c r="B55" s="51" t="s">
        <v>166</v>
      </c>
      <c r="C55" s="52" t="s">
        <v>66</v>
      </c>
      <c r="D55" s="123">
        <v>21510735</v>
      </c>
      <c r="E55" s="123">
        <v>33777758</v>
      </c>
      <c r="F55" s="123">
        <v>216672242</v>
      </c>
    </row>
    <row r="56" spans="1:6">
      <c r="A56" s="73" t="s">
        <v>188</v>
      </c>
      <c r="B56" s="73" t="s">
        <v>188</v>
      </c>
      <c r="C56" s="73" t="s">
        <v>188</v>
      </c>
      <c r="D56" s="124" t="s">
        <v>188</v>
      </c>
      <c r="E56" s="124" t="s">
        <v>188</v>
      </c>
      <c r="F56" s="124" t="s">
        <v>188</v>
      </c>
    </row>
    <row r="57" spans="1:6" ht="25.5">
      <c r="A57" s="59"/>
      <c r="B57" s="10" t="s">
        <v>167</v>
      </c>
      <c r="C57" s="55" t="s">
        <v>67</v>
      </c>
      <c r="D57" s="123">
        <v>6491803</v>
      </c>
      <c r="E57" s="123">
        <v>6508197</v>
      </c>
      <c r="F57" s="123">
        <v>71491803</v>
      </c>
    </row>
    <row r="58" spans="1:6" ht="25.5">
      <c r="A58" s="59"/>
      <c r="B58" s="10" t="s">
        <v>154</v>
      </c>
      <c r="C58" s="55" t="s">
        <v>68</v>
      </c>
      <c r="D58" s="123">
        <v>11494566</v>
      </c>
      <c r="E58" s="123">
        <v>23627717</v>
      </c>
      <c r="F58" s="123">
        <v>105622283</v>
      </c>
    </row>
    <row r="59" spans="1:6" ht="25.5">
      <c r="A59" s="59"/>
      <c r="B59" s="10" t="s">
        <v>34</v>
      </c>
      <c r="C59" s="55" t="s">
        <v>69</v>
      </c>
      <c r="D59" s="123">
        <v>3524366</v>
      </c>
      <c r="E59" s="123">
        <v>3641844</v>
      </c>
      <c r="F59" s="123">
        <v>39558156</v>
      </c>
    </row>
    <row r="60" spans="1:6" ht="140.25">
      <c r="A60" s="50">
        <v>8</v>
      </c>
      <c r="B60" s="60" t="s">
        <v>168</v>
      </c>
      <c r="C60" s="52" t="s">
        <v>70</v>
      </c>
      <c r="D60" s="123">
        <v>14238388</v>
      </c>
      <c r="E60" s="123">
        <v>14713000</v>
      </c>
      <c r="F60" s="123">
        <v>131195078</v>
      </c>
    </row>
    <row r="61" spans="1:6">
      <c r="A61" s="73" t="s">
        <v>188</v>
      </c>
      <c r="B61" s="73" t="s">
        <v>188</v>
      </c>
      <c r="C61" s="73" t="s">
        <v>188</v>
      </c>
      <c r="D61" s="124" t="s">
        <v>188</v>
      </c>
      <c r="E61" s="124" t="s">
        <v>188</v>
      </c>
      <c r="F61" s="124" t="s">
        <v>188</v>
      </c>
    </row>
    <row r="62" spans="1:6" ht="25.5">
      <c r="A62" s="59"/>
      <c r="B62" s="61" t="s">
        <v>155</v>
      </c>
      <c r="C62" s="55" t="s">
        <v>71</v>
      </c>
      <c r="D62" s="123">
        <v>14238388</v>
      </c>
      <c r="E62" s="123">
        <v>14713000</v>
      </c>
      <c r="F62" s="123">
        <v>131195078</v>
      </c>
    </row>
    <row r="63" spans="1:6" ht="25.5">
      <c r="A63" s="59"/>
      <c r="B63" s="61" t="s">
        <v>142</v>
      </c>
      <c r="C63" s="55" t="s">
        <v>72</v>
      </c>
      <c r="D63" s="123">
        <v>0</v>
      </c>
      <c r="E63" s="123">
        <v>0</v>
      </c>
      <c r="F63" s="123">
        <v>0</v>
      </c>
    </row>
    <row r="64" spans="1:6" s="17" customFormat="1" ht="38.25">
      <c r="A64" s="59"/>
      <c r="B64" s="61" t="s">
        <v>169</v>
      </c>
      <c r="C64" s="55" t="s">
        <v>73</v>
      </c>
      <c r="D64" s="123">
        <v>0</v>
      </c>
      <c r="E64" s="123">
        <v>0</v>
      </c>
      <c r="F64" s="123">
        <v>0</v>
      </c>
    </row>
    <row r="65" spans="1:6" s="17" customFormat="1" ht="25.5">
      <c r="A65" s="59"/>
      <c r="B65" s="10" t="s">
        <v>156</v>
      </c>
      <c r="C65" s="55" t="s">
        <v>74</v>
      </c>
      <c r="D65" s="123">
        <v>0</v>
      </c>
      <c r="E65" s="123">
        <v>0</v>
      </c>
      <c r="F65" s="123">
        <v>0</v>
      </c>
    </row>
    <row r="66" spans="1:6" ht="25.5">
      <c r="A66" s="59"/>
      <c r="B66" s="10" t="s">
        <v>197</v>
      </c>
      <c r="C66" s="55" t="s">
        <v>75</v>
      </c>
      <c r="D66" s="123">
        <v>0</v>
      </c>
      <c r="E66" s="123">
        <v>0</v>
      </c>
      <c r="F66" s="123">
        <v>0</v>
      </c>
    </row>
    <row r="67" spans="1:6" ht="51">
      <c r="A67" s="50">
        <v>9</v>
      </c>
      <c r="B67" s="51" t="s">
        <v>170</v>
      </c>
      <c r="C67" s="52" t="s">
        <v>76</v>
      </c>
      <c r="D67" s="123">
        <v>15501053</v>
      </c>
      <c r="E67" s="123">
        <v>45539721</v>
      </c>
      <c r="F67" s="123">
        <v>859420034</v>
      </c>
    </row>
    <row r="68" spans="1:6" s="17" customFormat="1">
      <c r="A68" s="73" t="s">
        <v>188</v>
      </c>
      <c r="B68" s="73" t="s">
        <v>188</v>
      </c>
      <c r="C68" s="73" t="s">
        <v>188</v>
      </c>
      <c r="D68" s="124" t="s">
        <v>188</v>
      </c>
      <c r="E68" s="124" t="s">
        <v>188</v>
      </c>
      <c r="F68" s="124" t="s">
        <v>188</v>
      </c>
    </row>
    <row r="69" spans="1:6" s="17" customFormat="1" ht="25.5">
      <c r="A69" s="59"/>
      <c r="B69" s="54" t="s">
        <v>35</v>
      </c>
      <c r="C69" s="55" t="s">
        <v>77</v>
      </c>
      <c r="D69" s="123">
        <v>15201053</v>
      </c>
      <c r="E69" s="123">
        <v>43766118</v>
      </c>
      <c r="F69" s="123">
        <v>852616739</v>
      </c>
    </row>
    <row r="70" spans="1:6" s="17" customFormat="1" ht="25.5">
      <c r="A70" s="59"/>
      <c r="B70" s="54" t="s">
        <v>36</v>
      </c>
      <c r="C70" s="55" t="s">
        <v>78</v>
      </c>
      <c r="D70" s="123">
        <v>300000</v>
      </c>
      <c r="E70" s="123">
        <v>1773603</v>
      </c>
      <c r="F70" s="123">
        <v>6803295</v>
      </c>
    </row>
    <row r="71" spans="1:6" ht="25.5">
      <c r="A71" s="59"/>
      <c r="B71" s="54" t="s">
        <v>37</v>
      </c>
      <c r="C71" s="55" t="s">
        <v>79</v>
      </c>
      <c r="D71" s="123">
        <v>0</v>
      </c>
      <c r="E71" s="123">
        <v>0</v>
      </c>
      <c r="F71" s="123">
        <v>0</v>
      </c>
    </row>
    <row r="72" spans="1:6" ht="25.5">
      <c r="A72" s="50">
        <v>10</v>
      </c>
      <c r="B72" s="51" t="s">
        <v>198</v>
      </c>
      <c r="C72" s="52" t="s">
        <v>80</v>
      </c>
      <c r="D72" s="123">
        <v>4931154</v>
      </c>
      <c r="E72" s="123">
        <v>5933946</v>
      </c>
      <c r="F72" s="123">
        <v>85829904</v>
      </c>
    </row>
    <row r="73" spans="1:6">
      <c r="A73" s="73" t="s">
        <v>188</v>
      </c>
      <c r="B73" s="73" t="s">
        <v>188</v>
      </c>
      <c r="C73" s="73" t="s">
        <v>188</v>
      </c>
      <c r="D73" s="124" t="s">
        <v>188</v>
      </c>
      <c r="E73" s="124" t="s">
        <v>188</v>
      </c>
      <c r="F73" s="124" t="s">
        <v>188</v>
      </c>
    </row>
    <row r="74" spans="1:6" ht="25.5">
      <c r="A74" s="50"/>
      <c r="B74" s="54" t="s">
        <v>38</v>
      </c>
      <c r="C74" s="55" t="s">
        <v>81</v>
      </c>
      <c r="D74" s="123">
        <v>0</v>
      </c>
      <c r="E74" s="123">
        <v>0</v>
      </c>
      <c r="F74" s="123">
        <v>0</v>
      </c>
    </row>
    <row r="75" spans="1:6" ht="25.5">
      <c r="A75" s="50"/>
      <c r="B75" s="54" t="s">
        <v>171</v>
      </c>
      <c r="C75" s="55" t="s">
        <v>82</v>
      </c>
      <c r="D75" s="123">
        <v>0</v>
      </c>
      <c r="E75" s="123">
        <v>0</v>
      </c>
      <c r="F75" s="123">
        <v>0</v>
      </c>
    </row>
    <row r="76" spans="1:6" ht="25.5">
      <c r="A76" s="50"/>
      <c r="B76" s="54" t="s">
        <v>39</v>
      </c>
      <c r="C76" s="55" t="s">
        <v>83</v>
      </c>
      <c r="D76" s="123">
        <v>614754</v>
      </c>
      <c r="E76" s="123">
        <v>635246</v>
      </c>
      <c r="F76" s="123">
        <v>6864754</v>
      </c>
    </row>
    <row r="77" spans="1:6" ht="25.5">
      <c r="A77" s="50"/>
      <c r="B77" s="54" t="s">
        <v>40</v>
      </c>
      <c r="C77" s="55" t="s">
        <v>84</v>
      </c>
      <c r="D77" s="123">
        <v>4316400</v>
      </c>
      <c r="E77" s="123">
        <v>5298700</v>
      </c>
      <c r="F77" s="123">
        <v>77133650</v>
      </c>
    </row>
    <row r="78" spans="1:6" ht="25.5">
      <c r="A78" s="50"/>
      <c r="B78" s="54" t="s">
        <v>172</v>
      </c>
      <c r="C78" s="55" t="s">
        <v>85</v>
      </c>
      <c r="D78" s="123">
        <v>0</v>
      </c>
      <c r="E78" s="123">
        <v>0</v>
      </c>
      <c r="F78" s="123">
        <v>0</v>
      </c>
    </row>
    <row r="79" spans="1:6" ht="25.5">
      <c r="A79" s="50"/>
      <c r="B79" s="54" t="s">
        <v>37</v>
      </c>
      <c r="C79" s="55" t="s">
        <v>86</v>
      </c>
      <c r="D79" s="123">
        <v>0</v>
      </c>
      <c r="E79" s="123">
        <v>0</v>
      </c>
      <c r="F79" s="123">
        <v>731500</v>
      </c>
    </row>
    <row r="80" spans="1:6" ht="25.5">
      <c r="A80" s="50"/>
      <c r="B80" s="54" t="s">
        <v>243</v>
      </c>
      <c r="C80" s="55" t="s">
        <v>87</v>
      </c>
      <c r="D80" s="123">
        <v>0</v>
      </c>
      <c r="E80" s="123">
        <v>0</v>
      </c>
      <c r="F80" s="123">
        <v>1100000</v>
      </c>
    </row>
    <row r="81" spans="1:6" ht="38.25">
      <c r="A81" s="125" t="s">
        <v>23</v>
      </c>
      <c r="B81" s="120" t="s">
        <v>173</v>
      </c>
      <c r="C81" s="121" t="s">
        <v>88</v>
      </c>
      <c r="D81" s="126">
        <v>5015806063</v>
      </c>
      <c r="E81" s="126">
        <v>5468200536</v>
      </c>
      <c r="F81" s="126">
        <v>85660149282</v>
      </c>
    </row>
    <row r="82" spans="1:6" ht="25.5">
      <c r="A82" s="125" t="s">
        <v>24</v>
      </c>
      <c r="B82" s="120" t="s">
        <v>157</v>
      </c>
      <c r="C82" s="121" t="s">
        <v>89</v>
      </c>
      <c r="D82" s="126">
        <v>496694262</v>
      </c>
      <c r="E82" s="126">
        <v>152753616</v>
      </c>
      <c r="F82" s="126">
        <v>-3105596785</v>
      </c>
    </row>
    <row r="83" spans="1:6" ht="51">
      <c r="A83" s="50">
        <v>1</v>
      </c>
      <c r="B83" s="51" t="s">
        <v>199</v>
      </c>
      <c r="C83" s="52" t="s">
        <v>90</v>
      </c>
      <c r="D83" s="123">
        <v>707197102</v>
      </c>
      <c r="E83" s="123">
        <v>-498001723</v>
      </c>
      <c r="F83" s="123">
        <v>-2410022270</v>
      </c>
    </row>
    <row r="84" spans="1:6" ht="25.5">
      <c r="A84" s="50">
        <v>2</v>
      </c>
      <c r="B84" s="51" t="s">
        <v>41</v>
      </c>
      <c r="C84" s="52" t="s">
        <v>91</v>
      </c>
      <c r="D84" s="123">
        <v>-210502840</v>
      </c>
      <c r="E84" s="123">
        <v>650755339</v>
      </c>
      <c r="F84" s="123">
        <v>-695574515</v>
      </c>
    </row>
    <row r="85" spans="1:6" ht="63.75">
      <c r="A85" s="125" t="s">
        <v>25</v>
      </c>
      <c r="B85" s="120" t="s">
        <v>174</v>
      </c>
      <c r="C85" s="121" t="s">
        <v>92</v>
      </c>
      <c r="D85" s="126">
        <v>5512500325</v>
      </c>
      <c r="E85" s="126">
        <v>5620954152</v>
      </c>
      <c r="F85" s="126">
        <v>82554552497</v>
      </c>
    </row>
    <row r="86" spans="1:6" ht="25.5">
      <c r="A86" s="125" t="s">
        <v>26</v>
      </c>
      <c r="B86" s="120" t="s">
        <v>42</v>
      </c>
      <c r="C86" s="121" t="s">
        <v>93</v>
      </c>
      <c r="D86" s="126">
        <v>1204691095638</v>
      </c>
      <c r="E86" s="126">
        <v>1184678900279</v>
      </c>
      <c r="F86" s="126">
        <v>1579769018172</v>
      </c>
    </row>
    <row r="87" spans="1:6" ht="62.25" customHeight="1">
      <c r="A87" s="125" t="s">
        <v>27</v>
      </c>
      <c r="B87" s="120" t="s">
        <v>237</v>
      </c>
      <c r="C87" s="121" t="s">
        <v>94</v>
      </c>
      <c r="D87" s="126">
        <v>-94743463257</v>
      </c>
      <c r="E87" s="126">
        <v>20012195359</v>
      </c>
      <c r="F87" s="126">
        <v>-469821385791</v>
      </c>
    </row>
    <row r="88" spans="1:6" s="17" customFormat="1" ht="51">
      <c r="A88" s="50">
        <v>1</v>
      </c>
      <c r="B88" s="51" t="s">
        <v>200</v>
      </c>
      <c r="C88" s="52" t="s">
        <v>95</v>
      </c>
      <c r="D88" s="123">
        <v>5512500325</v>
      </c>
      <c r="E88" s="123">
        <v>5620954152</v>
      </c>
      <c r="F88" s="123">
        <v>82554552497</v>
      </c>
    </row>
    <row r="89" spans="1:6" ht="51">
      <c r="A89" s="50">
        <v>2</v>
      </c>
      <c r="B89" s="51" t="s">
        <v>201</v>
      </c>
      <c r="C89" s="52" t="s">
        <v>96</v>
      </c>
      <c r="D89" s="123">
        <v>0</v>
      </c>
      <c r="E89" s="123">
        <v>0</v>
      </c>
      <c r="F89" s="123">
        <v>0</v>
      </c>
    </row>
    <row r="90" spans="1:6" ht="51">
      <c r="A90" s="50">
        <v>3</v>
      </c>
      <c r="B90" s="51" t="s">
        <v>202</v>
      </c>
      <c r="C90" s="52" t="s">
        <v>97</v>
      </c>
      <c r="D90" s="123">
        <v>-100255963582</v>
      </c>
      <c r="E90" s="123">
        <v>14391241207</v>
      </c>
      <c r="F90" s="123">
        <v>-552375938288</v>
      </c>
    </row>
    <row r="91" spans="1:6" ht="51">
      <c r="A91" s="50"/>
      <c r="B91" s="51" t="s">
        <v>175</v>
      </c>
      <c r="C91" s="52" t="s">
        <v>203</v>
      </c>
      <c r="D91" s="123">
        <v>521497415670</v>
      </c>
      <c r="E91" s="123">
        <v>593476171920</v>
      </c>
      <c r="F91" s="123">
        <v>7129501704207</v>
      </c>
    </row>
    <row r="92" spans="1:6" ht="51">
      <c r="A92" s="50"/>
      <c r="B92" s="51" t="s">
        <v>176</v>
      </c>
      <c r="C92" s="52" t="s">
        <v>204</v>
      </c>
      <c r="D92" s="123">
        <v>-621753379252</v>
      </c>
      <c r="E92" s="123">
        <v>-579084930713</v>
      </c>
      <c r="F92" s="123">
        <v>-7681877642495</v>
      </c>
    </row>
    <row r="93" spans="1:6" s="20" customFormat="1" ht="25.5">
      <c r="A93" s="119" t="s">
        <v>28</v>
      </c>
      <c r="B93" s="120" t="s">
        <v>43</v>
      </c>
      <c r="C93" s="121" t="s">
        <v>98</v>
      </c>
      <c r="D93" s="126">
        <v>1109947632381</v>
      </c>
      <c r="E93" s="126">
        <v>1204691095638</v>
      </c>
      <c r="F93" s="126">
        <v>1109947632381</v>
      </c>
    </row>
    <row r="94" spans="1:6" ht="51">
      <c r="A94" s="119" t="s">
        <v>29</v>
      </c>
      <c r="B94" s="120" t="s">
        <v>158</v>
      </c>
      <c r="C94" s="121" t="s">
        <v>99</v>
      </c>
      <c r="D94" s="126">
        <v>0</v>
      </c>
      <c r="E94" s="126">
        <v>0</v>
      </c>
      <c r="F94" s="126">
        <v>0</v>
      </c>
    </row>
    <row r="95" spans="1:6" ht="51">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tr">
        <f>TONGQUAN!C19</f>
        <v>Ngân hàng TNHH MTV Standard Chartered (Việt Nam)</v>
      </c>
      <c r="B105" s="22"/>
      <c r="D105" s="21" t="str">
        <f>TONGQUAN!F19</f>
        <v>Công ty Cổ phần Quản lý Quỹ Đầu tư Dragon Capital Việt Nam</v>
      </c>
      <c r="E105" s="22"/>
      <c r="F105" s="22"/>
    </row>
    <row r="106" spans="1:6" ht="16.899999999999999" customHeight="1">
      <c r="A106" s="18" t="str">
        <f>TONGQUAN!C20</f>
        <v>Vũ Quang Phan</v>
      </c>
      <c r="D106" s="18" t="str">
        <f>TONGQUAN!F20</f>
        <v>Lê Hoàng Anh</v>
      </c>
    </row>
    <row r="107" spans="1:6" ht="16.899999999999999" customHeight="1">
      <c r="A107" s="9" t="str">
        <f>TONGQUAN!C21</f>
        <v>Phó phòng Dịch vụ nghiệp vụ giám sát Quỹ</v>
      </c>
      <c r="D107" s="9"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4"/>
  <sheetViews>
    <sheetView view="pageBreakPreview" zoomScale="85" zoomScaleNormal="100" zoomScaleSheetLayoutView="85" workbookViewId="0">
      <selection sqref="A1:G1"/>
    </sheetView>
  </sheetViews>
  <sheetFormatPr defaultColWidth="8.7109375" defaultRowHeight="12.75"/>
  <cols>
    <col min="1" max="1" width="9" style="9" customWidth="1"/>
    <col min="2" max="2" width="39.85546875" style="9" customWidth="1"/>
    <col min="3" max="3" width="9.28515625" style="9" customWidth="1"/>
    <col min="4" max="4" width="28" style="9" customWidth="1"/>
    <col min="5" max="5" width="33.85546875" style="9" customWidth="1"/>
    <col min="6" max="6" width="32.140625" style="9" customWidth="1"/>
    <col min="7" max="7" width="28.5703125" style="9" customWidth="1"/>
    <col min="8" max="16384" width="8.7109375" style="100"/>
  </cols>
  <sheetData>
    <row r="1" spans="1:7" ht="44.25" customHeight="1">
      <c r="A1" s="150" t="s">
        <v>232</v>
      </c>
      <c r="B1" s="150"/>
      <c r="C1" s="150"/>
      <c r="D1" s="150"/>
      <c r="E1" s="150"/>
      <c r="F1" s="150"/>
      <c r="G1" s="150"/>
    </row>
    <row r="2" spans="1:7" ht="59.25" customHeight="1">
      <c r="A2" s="151" t="s">
        <v>233</v>
      </c>
      <c r="B2" s="151"/>
      <c r="C2" s="151"/>
      <c r="D2" s="151"/>
      <c r="E2" s="151"/>
      <c r="F2" s="151"/>
      <c r="G2" s="151"/>
    </row>
    <row r="3" spans="1:7" ht="15" customHeight="1">
      <c r="A3" s="152" t="s">
        <v>183</v>
      </c>
      <c r="B3" s="152"/>
      <c r="C3" s="152"/>
      <c r="D3" s="152"/>
      <c r="E3" s="152"/>
      <c r="F3" s="152"/>
      <c r="G3" s="152"/>
    </row>
    <row r="4" spans="1:7" ht="27.4" customHeight="1">
      <c r="A4" s="152"/>
      <c r="B4" s="152"/>
      <c r="C4" s="152"/>
      <c r="D4" s="152"/>
      <c r="E4" s="152"/>
      <c r="F4" s="152"/>
      <c r="G4" s="152"/>
    </row>
    <row r="5" spans="1:7" ht="16.899999999999999" customHeight="1">
      <c r="A5" s="153" t="s">
        <v>738</v>
      </c>
      <c r="B5" s="153"/>
      <c r="C5" s="153"/>
      <c r="D5" s="153"/>
      <c r="E5" s="153"/>
      <c r="F5" s="153"/>
      <c r="G5" s="153"/>
    </row>
    <row r="6" spans="1:7" ht="16.899999999999999" customHeight="1"/>
    <row r="7" spans="1:7" ht="16.899999999999999" customHeight="1">
      <c r="A7" s="75" t="s">
        <v>2</v>
      </c>
      <c r="C7" s="154" t="s">
        <v>740</v>
      </c>
      <c r="D7" s="154"/>
      <c r="E7" s="154"/>
      <c r="F7" s="154"/>
      <c r="G7" s="154"/>
    </row>
    <row r="8" spans="1:7" ht="16.899999999999999" customHeight="1">
      <c r="A8" s="9" t="s">
        <v>15</v>
      </c>
      <c r="C8" s="149" t="s">
        <v>741</v>
      </c>
      <c r="D8" s="149"/>
      <c r="E8" s="149"/>
      <c r="F8" s="149"/>
      <c r="G8" s="149"/>
    </row>
    <row r="9" spans="1:7" ht="16.899999999999999" customHeight="1">
      <c r="A9" s="75" t="s">
        <v>3</v>
      </c>
      <c r="C9" s="154" t="s">
        <v>742</v>
      </c>
      <c r="D9" s="154"/>
      <c r="E9" s="154"/>
      <c r="F9" s="154"/>
      <c r="G9" s="154"/>
    </row>
    <row r="10" spans="1:7" ht="16.899999999999999" customHeight="1">
      <c r="A10" s="9" t="s">
        <v>4</v>
      </c>
      <c r="C10" s="149" t="s">
        <v>743</v>
      </c>
      <c r="D10" s="149"/>
      <c r="E10" s="149"/>
      <c r="F10" s="149"/>
      <c r="G10" s="149"/>
    </row>
    <row r="11" spans="1:7" ht="16.899999999999999" customHeight="1">
      <c r="A11" s="75" t="s">
        <v>5</v>
      </c>
      <c r="C11" s="154" t="s">
        <v>239</v>
      </c>
      <c r="D11" s="154"/>
      <c r="E11" s="154"/>
      <c r="F11" s="154"/>
      <c r="G11" s="154"/>
    </row>
    <row r="12" spans="1:7" ht="16.899999999999999" customHeight="1">
      <c r="A12" s="9" t="s">
        <v>6</v>
      </c>
      <c r="C12" s="149" t="s">
        <v>754</v>
      </c>
      <c r="D12" s="149"/>
      <c r="E12" s="149"/>
      <c r="F12" s="149"/>
      <c r="G12" s="149"/>
    </row>
    <row r="13" spans="1:7" ht="16.899999999999999" customHeight="1">
      <c r="A13" s="75" t="s">
        <v>7</v>
      </c>
      <c r="C13" s="154" t="s">
        <v>744</v>
      </c>
      <c r="D13" s="154"/>
      <c r="E13" s="154"/>
      <c r="F13" s="154"/>
      <c r="G13" s="154"/>
    </row>
    <row r="14" spans="1:7" ht="16.899999999999999" customHeight="1">
      <c r="A14" s="9" t="s">
        <v>8</v>
      </c>
      <c r="C14" s="149" t="s">
        <v>745</v>
      </c>
      <c r="D14" s="149"/>
      <c r="E14" s="149"/>
      <c r="F14" s="149"/>
      <c r="G14" s="149"/>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394757655348</v>
      </c>
      <c r="G30" s="133">
        <v>0.34605646593664002</v>
      </c>
    </row>
    <row r="31" spans="1:7" ht="33.950000000000003" customHeight="1">
      <c r="A31" s="131" t="s">
        <v>266</v>
      </c>
      <c r="B31" s="130" t="s">
        <v>267</v>
      </c>
      <c r="C31" s="132" t="s">
        <v>268</v>
      </c>
      <c r="D31" s="134">
        <v>276091</v>
      </c>
      <c r="E31" s="140">
        <v>100608.30499999999</v>
      </c>
      <c r="F31" s="134">
        <v>27777047536</v>
      </c>
      <c r="G31" s="133">
        <v>2.4350197581319399E-2</v>
      </c>
    </row>
    <row r="32" spans="1:7" ht="33.950000000000003" customHeight="1">
      <c r="A32" s="131" t="s">
        <v>269</v>
      </c>
      <c r="B32" s="130" t="s">
        <v>270</v>
      </c>
      <c r="C32" s="132" t="s">
        <v>271</v>
      </c>
      <c r="D32" s="134">
        <v>280000</v>
      </c>
      <c r="E32" s="140">
        <v>102350.00900000001</v>
      </c>
      <c r="F32" s="134">
        <v>28658002520</v>
      </c>
      <c r="G32" s="133">
        <v>2.5122469288485098E-2</v>
      </c>
    </row>
    <row r="33" spans="1:7" ht="33.950000000000003" customHeight="1">
      <c r="A33" s="131" t="s">
        <v>272</v>
      </c>
      <c r="B33" s="130" t="s">
        <v>273</v>
      </c>
      <c r="C33" s="132" t="s">
        <v>274</v>
      </c>
      <c r="D33" s="134">
        <v>300000</v>
      </c>
      <c r="E33" s="140">
        <v>99627.342000000004</v>
      </c>
      <c r="F33" s="134">
        <v>29888202600</v>
      </c>
      <c r="G33" s="133">
        <v>2.6200899779477E-2</v>
      </c>
    </row>
    <row r="34" spans="1:7" ht="33.950000000000003" customHeight="1">
      <c r="A34" s="131" t="s">
        <v>275</v>
      </c>
      <c r="B34" s="130" t="s">
        <v>276</v>
      </c>
      <c r="C34" s="132" t="s">
        <v>277</v>
      </c>
      <c r="D34" s="134">
        <v>700000</v>
      </c>
      <c r="E34" s="140">
        <v>99632.582999999999</v>
      </c>
      <c r="F34" s="134">
        <v>69742808100</v>
      </c>
      <c r="G34" s="133">
        <v>6.1138648911841897E-2</v>
      </c>
    </row>
    <row r="35" spans="1:7" ht="33.950000000000003" customHeight="1">
      <c r="A35" s="131" t="s">
        <v>278</v>
      </c>
      <c r="B35" s="130" t="s">
        <v>279</v>
      </c>
      <c r="C35" s="132" t="s">
        <v>280</v>
      </c>
      <c r="D35" s="134">
        <v>186856</v>
      </c>
      <c r="E35" s="140">
        <v>99783.877001000001</v>
      </c>
      <c r="F35" s="134">
        <v>18645216121</v>
      </c>
      <c r="G35" s="133">
        <v>1.6344958761521901E-2</v>
      </c>
    </row>
    <row r="36" spans="1:7" ht="33.950000000000003" customHeight="1">
      <c r="A36" s="131" t="s">
        <v>281</v>
      </c>
      <c r="B36" s="130" t="s">
        <v>282</v>
      </c>
      <c r="C36" s="132" t="s">
        <v>283</v>
      </c>
      <c r="D36" s="134">
        <v>700000</v>
      </c>
      <c r="E36" s="140">
        <v>99317.410999999993</v>
      </c>
      <c r="F36" s="134">
        <v>69522187700</v>
      </c>
      <c r="G36" s="133">
        <v>6.0945246415644E-2</v>
      </c>
    </row>
    <row r="37" spans="1:7" ht="33.950000000000003" customHeight="1">
      <c r="A37" s="131" t="s">
        <v>284</v>
      </c>
      <c r="B37" s="130" t="s">
        <v>285</v>
      </c>
      <c r="C37" s="132" t="s">
        <v>286</v>
      </c>
      <c r="D37" s="134">
        <v>128712</v>
      </c>
      <c r="E37" s="140">
        <v>100744.45600200001</v>
      </c>
      <c r="F37" s="134">
        <v>12967020421</v>
      </c>
      <c r="G37" s="133">
        <v>1.13672811656146E-2</v>
      </c>
    </row>
    <row r="38" spans="1:7" ht="33.950000000000003" customHeight="1">
      <c r="A38" s="131" t="s">
        <v>287</v>
      </c>
      <c r="B38" s="130" t="s">
        <v>288</v>
      </c>
      <c r="C38" s="132" t="s">
        <v>289</v>
      </c>
      <c r="D38" s="134">
        <v>869270</v>
      </c>
      <c r="E38" s="140">
        <v>100105.588999</v>
      </c>
      <c r="F38" s="134">
        <v>87018785350</v>
      </c>
      <c r="G38" s="133">
        <v>7.6283291584994001E-2</v>
      </c>
    </row>
    <row r="39" spans="1:7" ht="33.950000000000003" customHeight="1">
      <c r="A39" s="131" t="s">
        <v>290</v>
      </c>
      <c r="B39" s="130" t="s">
        <v>291</v>
      </c>
      <c r="C39" s="132" t="s">
        <v>292</v>
      </c>
      <c r="D39" s="134">
        <v>500000</v>
      </c>
      <c r="E39" s="140">
        <v>101076.77</v>
      </c>
      <c r="F39" s="134">
        <v>50538385000</v>
      </c>
      <c r="G39" s="133">
        <v>4.4303472447741798E-2</v>
      </c>
    </row>
    <row r="40" spans="1:7" ht="39" customHeight="1">
      <c r="A40" s="131" t="s">
        <v>293</v>
      </c>
      <c r="B40" s="130" t="s">
        <v>294</v>
      </c>
      <c r="C40" s="132" t="s">
        <v>295</v>
      </c>
      <c r="D40" s="134"/>
      <c r="E40" s="140"/>
      <c r="F40" s="134">
        <v>95210144400</v>
      </c>
      <c r="G40" s="133">
        <v>8.3464083966492394E-2</v>
      </c>
    </row>
    <row r="41" spans="1:7" ht="33.950000000000003" customHeight="1">
      <c r="A41" s="131" t="s">
        <v>296</v>
      </c>
      <c r="B41" s="130" t="s">
        <v>297</v>
      </c>
      <c r="C41" s="132" t="s">
        <v>298</v>
      </c>
      <c r="D41" s="134">
        <v>46</v>
      </c>
      <c r="E41" s="140">
        <v>999664300</v>
      </c>
      <c r="F41" s="134">
        <v>45984557800</v>
      </c>
      <c r="G41" s="133">
        <v>4.03114501880876E-2</v>
      </c>
    </row>
    <row r="42" spans="1:7" ht="33.950000000000003" customHeight="1">
      <c r="A42" s="131" t="s">
        <v>299</v>
      </c>
      <c r="B42" s="130" t="s">
        <v>300</v>
      </c>
      <c r="C42" s="132" t="s">
        <v>301</v>
      </c>
      <c r="D42" s="134">
        <v>47</v>
      </c>
      <c r="E42" s="140">
        <v>1004665000</v>
      </c>
      <c r="F42" s="134">
        <v>47219255000</v>
      </c>
      <c r="G42" s="133">
        <v>4.1393822990097397E-2</v>
      </c>
    </row>
    <row r="43" spans="1:7" ht="33.950000000000003" customHeight="1">
      <c r="A43" s="131" t="s">
        <v>302</v>
      </c>
      <c r="B43" s="130" t="s">
        <v>303</v>
      </c>
      <c r="C43" s="132" t="s">
        <v>304</v>
      </c>
      <c r="D43" s="134">
        <v>2</v>
      </c>
      <c r="E43" s="140">
        <v>1003165800</v>
      </c>
      <c r="F43" s="134">
        <v>2006331600</v>
      </c>
      <c r="G43" s="133">
        <v>1.75881078830742E-3</v>
      </c>
    </row>
    <row r="44" spans="1:7" ht="39" customHeight="1">
      <c r="A44" s="136"/>
      <c r="B44" s="135" t="s">
        <v>305</v>
      </c>
      <c r="C44" s="136" t="s">
        <v>306</v>
      </c>
      <c r="D44" s="138"/>
      <c r="E44" s="138"/>
      <c r="F44" s="138">
        <v>489967799748</v>
      </c>
      <c r="G44" s="137">
        <v>0.42952054990313199</v>
      </c>
    </row>
    <row r="45" spans="1:7" ht="39" customHeight="1">
      <c r="A45" s="136" t="s">
        <v>307</v>
      </c>
      <c r="B45" s="135" t="s">
        <v>308</v>
      </c>
      <c r="C45" s="136" t="s">
        <v>309</v>
      </c>
      <c r="D45" s="138"/>
      <c r="E45" s="138"/>
      <c r="F45" s="138"/>
      <c r="G45" s="137"/>
    </row>
    <row r="46" spans="1:7" ht="39" customHeight="1">
      <c r="A46" s="131"/>
      <c r="B46" s="130"/>
      <c r="C46" s="132"/>
      <c r="D46" s="134"/>
      <c r="E46" s="140"/>
      <c r="F46" s="134"/>
      <c r="G46" s="133"/>
    </row>
    <row r="47" spans="1:7" ht="39" customHeight="1">
      <c r="A47" s="131" t="s">
        <v>310</v>
      </c>
      <c r="B47" s="130" t="s">
        <v>311</v>
      </c>
      <c r="C47" s="132" t="s">
        <v>312</v>
      </c>
      <c r="D47" s="134"/>
      <c r="E47" s="140"/>
      <c r="F47" s="134">
        <v>0</v>
      </c>
      <c r="G47" s="133">
        <v>0</v>
      </c>
    </row>
    <row r="48" spans="1:7" ht="39" customHeight="1">
      <c r="A48" s="131" t="s">
        <v>313</v>
      </c>
      <c r="B48" s="130" t="s">
        <v>314</v>
      </c>
      <c r="C48" s="132" t="s">
        <v>315</v>
      </c>
      <c r="D48" s="134"/>
      <c r="E48" s="140"/>
      <c r="F48" s="134">
        <v>0</v>
      </c>
      <c r="G48" s="133">
        <v>0</v>
      </c>
    </row>
    <row r="49" spans="1:7" ht="33.950000000000003" customHeight="1">
      <c r="A49" s="136"/>
      <c r="B49" s="135" t="s">
        <v>316</v>
      </c>
      <c r="C49" s="136" t="s">
        <v>317</v>
      </c>
      <c r="D49" s="138"/>
      <c r="E49" s="138"/>
      <c r="F49" s="138">
        <v>0</v>
      </c>
      <c r="G49" s="137">
        <v>0</v>
      </c>
    </row>
    <row r="50" spans="1:7" ht="39" customHeight="1">
      <c r="A50" s="136"/>
      <c r="B50" s="135" t="s">
        <v>318</v>
      </c>
      <c r="C50" s="136" t="s">
        <v>319</v>
      </c>
      <c r="D50" s="138"/>
      <c r="E50" s="138"/>
      <c r="F50" s="138">
        <v>489967799748</v>
      </c>
      <c r="G50" s="137">
        <v>0.42952054990313199</v>
      </c>
    </row>
    <row r="51" spans="1:7" ht="39" customHeight="1">
      <c r="A51" s="136" t="s">
        <v>320</v>
      </c>
      <c r="B51" s="135" t="s">
        <v>321</v>
      </c>
      <c r="C51" s="136" t="s">
        <v>322</v>
      </c>
      <c r="D51" s="138"/>
      <c r="E51" s="138"/>
      <c r="F51" s="138"/>
      <c r="G51" s="137"/>
    </row>
    <row r="52" spans="1:7" ht="39" customHeight="1">
      <c r="A52" s="131"/>
      <c r="B52" s="130"/>
      <c r="C52" s="132"/>
      <c r="D52" s="134"/>
      <c r="E52" s="140"/>
      <c r="F52" s="134"/>
      <c r="G52" s="133"/>
    </row>
    <row r="53" spans="1:7" ht="39" customHeight="1">
      <c r="A53" s="131" t="s">
        <v>323</v>
      </c>
      <c r="B53" s="130" t="s">
        <v>324</v>
      </c>
      <c r="C53" s="132" t="s">
        <v>325</v>
      </c>
      <c r="D53" s="134"/>
      <c r="E53" s="140"/>
      <c r="F53" s="134">
        <v>0</v>
      </c>
      <c r="G53" s="133">
        <v>0</v>
      </c>
    </row>
    <row r="54" spans="1:7" ht="39" customHeight="1">
      <c r="A54" s="131" t="s">
        <v>326</v>
      </c>
      <c r="B54" s="130" t="s">
        <v>327</v>
      </c>
      <c r="C54" s="132" t="s">
        <v>328</v>
      </c>
      <c r="D54" s="134"/>
      <c r="E54" s="140"/>
      <c r="F54" s="134">
        <v>15268554295</v>
      </c>
      <c r="G54" s="133">
        <v>1.33848751701382E-2</v>
      </c>
    </row>
    <row r="55" spans="1:7" ht="47.1" customHeight="1">
      <c r="A55" s="131" t="s">
        <v>329</v>
      </c>
      <c r="B55" s="130" t="s">
        <v>330</v>
      </c>
      <c r="C55" s="132" t="s">
        <v>331</v>
      </c>
      <c r="D55" s="134"/>
      <c r="E55" s="140"/>
      <c r="F55" s="134">
        <v>10072339725</v>
      </c>
      <c r="G55" s="133">
        <v>8.8297167685677507E-3</v>
      </c>
    </row>
    <row r="56" spans="1:7" ht="45" customHeight="1">
      <c r="A56" s="131" t="s">
        <v>332</v>
      </c>
      <c r="B56" s="130" t="s">
        <v>333</v>
      </c>
      <c r="C56" s="132" t="s">
        <v>334</v>
      </c>
      <c r="D56" s="134"/>
      <c r="E56" s="140"/>
      <c r="F56" s="134">
        <v>0</v>
      </c>
      <c r="G56" s="133">
        <v>0</v>
      </c>
    </row>
    <row r="57" spans="1:7" ht="57" customHeight="1">
      <c r="A57" s="131" t="s">
        <v>335</v>
      </c>
      <c r="B57" s="130" t="s">
        <v>336</v>
      </c>
      <c r="C57" s="132" t="s">
        <v>337</v>
      </c>
      <c r="D57" s="134"/>
      <c r="E57" s="140"/>
      <c r="F57" s="134">
        <v>0</v>
      </c>
      <c r="G57" s="133">
        <v>0</v>
      </c>
    </row>
    <row r="58" spans="1:7" ht="39" customHeight="1">
      <c r="A58" s="131" t="s">
        <v>338</v>
      </c>
      <c r="B58" s="130" t="s">
        <v>339</v>
      </c>
      <c r="C58" s="132" t="s">
        <v>340</v>
      </c>
      <c r="D58" s="134"/>
      <c r="E58" s="140"/>
      <c r="F58" s="134">
        <v>0</v>
      </c>
      <c r="G58" s="133">
        <v>0</v>
      </c>
    </row>
    <row r="59" spans="1:7" ht="39" customHeight="1">
      <c r="A59" s="131" t="s">
        <v>341</v>
      </c>
      <c r="B59" s="130" t="s">
        <v>342</v>
      </c>
      <c r="C59" s="132" t="s">
        <v>343</v>
      </c>
      <c r="D59" s="134"/>
      <c r="E59" s="140"/>
      <c r="F59" s="134">
        <v>18884808</v>
      </c>
      <c r="G59" s="133">
        <v>1.6554992228360599E-5</v>
      </c>
    </row>
    <row r="60" spans="1:7" ht="39" customHeight="1">
      <c r="A60" s="136"/>
      <c r="B60" s="135" t="s">
        <v>344</v>
      </c>
      <c r="C60" s="136" t="s">
        <v>345</v>
      </c>
      <c r="D60" s="138"/>
      <c r="E60" s="138"/>
      <c r="F60" s="138">
        <v>25359778828</v>
      </c>
      <c r="G60" s="137">
        <v>2.2231146930934299E-2</v>
      </c>
    </row>
    <row r="61" spans="1:7" ht="39" customHeight="1">
      <c r="A61" s="136" t="s">
        <v>346</v>
      </c>
      <c r="B61" s="135" t="s">
        <v>347</v>
      </c>
      <c r="C61" s="136" t="s">
        <v>348</v>
      </c>
      <c r="D61" s="138"/>
      <c r="E61" s="138"/>
      <c r="F61" s="138"/>
      <c r="G61" s="137"/>
    </row>
    <row r="62" spans="1:7" ht="39" customHeight="1">
      <c r="A62" s="131" t="s">
        <v>349</v>
      </c>
      <c r="B62" s="130" t="s">
        <v>350</v>
      </c>
      <c r="C62" s="132" t="s">
        <v>351</v>
      </c>
      <c r="D62" s="134"/>
      <c r="E62" s="140"/>
      <c r="F62" s="134">
        <v>318904337181</v>
      </c>
      <c r="G62" s="133">
        <v>0.27956115961687</v>
      </c>
    </row>
    <row r="63" spans="1:7" ht="39" customHeight="1">
      <c r="A63" s="131"/>
      <c r="B63" s="130"/>
      <c r="C63" s="132"/>
      <c r="D63" s="134"/>
      <c r="E63" s="140"/>
      <c r="F63" s="134"/>
      <c r="G63" s="133"/>
    </row>
    <row r="64" spans="1:7" ht="39" customHeight="1">
      <c r="A64" s="131" t="s">
        <v>352</v>
      </c>
      <c r="B64" s="130" t="s">
        <v>353</v>
      </c>
      <c r="C64" s="132" t="s">
        <v>354</v>
      </c>
      <c r="D64" s="134"/>
      <c r="E64" s="140"/>
      <c r="F64" s="134">
        <v>49904337181</v>
      </c>
      <c r="G64" s="133">
        <v>4.3747647007739802E-2</v>
      </c>
    </row>
    <row r="65" spans="1:7" ht="39" customHeight="1">
      <c r="A65" s="131" t="s">
        <v>355</v>
      </c>
      <c r="B65" s="130" t="s">
        <v>356</v>
      </c>
      <c r="C65" s="132" t="s">
        <v>357</v>
      </c>
      <c r="D65" s="134"/>
      <c r="E65" s="140"/>
      <c r="F65" s="134">
        <v>269000000000</v>
      </c>
      <c r="G65" s="133">
        <v>0.23581351260913</v>
      </c>
    </row>
    <row r="66" spans="1:7" ht="39" customHeight="1">
      <c r="A66" s="131" t="s">
        <v>358</v>
      </c>
      <c r="B66" s="130" t="s">
        <v>359</v>
      </c>
      <c r="C66" s="132" t="s">
        <v>360</v>
      </c>
      <c r="D66" s="134"/>
      <c r="E66" s="140"/>
      <c r="F66" s="134">
        <v>6500000000</v>
      </c>
      <c r="G66" s="133">
        <v>5.6980960295886403E-3</v>
      </c>
    </row>
    <row r="67" spans="1:7" ht="39" customHeight="1">
      <c r="A67" s="131"/>
      <c r="B67" s="130"/>
      <c r="C67" s="132"/>
      <c r="D67" s="134"/>
      <c r="E67" s="140"/>
      <c r="F67" s="134"/>
      <c r="G67" s="133"/>
    </row>
    <row r="68" spans="1:7" ht="39" customHeight="1">
      <c r="A68" s="131" t="s">
        <v>361</v>
      </c>
      <c r="B68" s="130" t="s">
        <v>362</v>
      </c>
      <c r="C68" s="132" t="s">
        <v>363</v>
      </c>
      <c r="D68" s="134"/>
      <c r="E68" s="140"/>
      <c r="F68" s="134">
        <v>300000000000</v>
      </c>
      <c r="G68" s="133">
        <v>0.26298904751947499</v>
      </c>
    </row>
    <row r="69" spans="1:7" ht="39" customHeight="1">
      <c r="A69" s="136"/>
      <c r="B69" s="135" t="s">
        <v>364</v>
      </c>
      <c r="C69" s="136" t="s">
        <v>365</v>
      </c>
      <c r="D69" s="138"/>
      <c r="E69" s="138"/>
      <c r="F69" s="138">
        <v>625404337181</v>
      </c>
      <c r="G69" s="137">
        <v>0.54824830316593398</v>
      </c>
    </row>
    <row r="70" spans="1:7" ht="39" customHeight="1">
      <c r="A70" s="136" t="s">
        <v>366</v>
      </c>
      <c r="B70" s="135" t="s">
        <v>367</v>
      </c>
      <c r="C70" s="136" t="s">
        <v>368</v>
      </c>
      <c r="D70" s="138"/>
      <c r="E70" s="138"/>
      <c r="F70" s="138">
        <v>1140731915757</v>
      </c>
      <c r="G70" s="137">
        <v>1</v>
      </c>
    </row>
    <row r="71" spans="1:7" ht="16.899999999999999" customHeight="1">
      <c r="A71" s="31"/>
      <c r="E71" s="12"/>
    </row>
    <row r="72" spans="1:7" ht="16.899999999999999" customHeight="1">
      <c r="A72" s="12" t="s">
        <v>10</v>
      </c>
      <c r="E72" s="12" t="s">
        <v>11</v>
      </c>
    </row>
    <row r="73" spans="1:7" ht="16.899999999999999" customHeight="1">
      <c r="A73" s="13" t="s">
        <v>12</v>
      </c>
      <c r="E73" s="13" t="s">
        <v>13</v>
      </c>
    </row>
    <row r="74" spans="1:7" ht="16.899999999999999" customHeight="1"/>
    <row r="75" spans="1:7" ht="16.899999999999999" customHeight="1">
      <c r="A75" s="18"/>
      <c r="E75" s="18"/>
    </row>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c r="A82" s="24" t="s">
        <v>14</v>
      </c>
      <c r="B82" s="22"/>
      <c r="C82" s="22"/>
      <c r="E82" s="24" t="s">
        <v>740</v>
      </c>
      <c r="F82" s="22"/>
      <c r="G82" s="22"/>
    </row>
    <row r="83" spans="1:7" ht="16.899999999999999" customHeight="1">
      <c r="A83" s="25" t="s">
        <v>746</v>
      </c>
      <c r="E83" s="25" t="s">
        <v>747</v>
      </c>
    </row>
    <row r="84" spans="1:7" ht="16.899999999999999" customHeight="1">
      <c r="A84" s="26" t="s">
        <v>748</v>
      </c>
      <c r="E84" s="26" t="s">
        <v>749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7" zoomScale="85" zoomScaleNormal="100" zoomScaleSheetLayoutView="85" workbookViewId="0">
      <selection sqref="A1:E1"/>
    </sheetView>
  </sheetViews>
  <sheetFormatPr defaultColWidth="8.7109375" defaultRowHeight="53.25" customHeight="1"/>
  <cols>
    <col min="1" max="1" width="8.7109375" style="9"/>
    <col min="2" max="2" width="59.85546875" style="9" customWidth="1"/>
    <col min="3" max="3" width="10.7109375" style="9" bestFit="1" customWidth="1"/>
    <col min="4" max="4" width="41.7109375" style="9" customWidth="1"/>
    <col min="5" max="5" width="39.5703125" style="9" customWidth="1"/>
    <col min="6" max="6" width="8.42578125" style="100" customWidth="1"/>
    <col min="7" max="16384" width="8.7109375" style="100"/>
  </cols>
  <sheetData>
    <row r="1" spans="1:6" ht="53.25" customHeight="1">
      <c r="A1" s="150" t="s">
        <v>232</v>
      </c>
      <c r="B1" s="150"/>
      <c r="C1" s="150"/>
      <c r="D1" s="150"/>
      <c r="E1" s="150"/>
      <c r="F1" s="101"/>
    </row>
    <row r="2" spans="1:6" ht="66" customHeight="1">
      <c r="A2" s="151" t="s">
        <v>233</v>
      </c>
      <c r="B2" s="151"/>
      <c r="C2" s="151"/>
      <c r="D2" s="151"/>
      <c r="E2" s="151"/>
      <c r="F2" s="102"/>
    </row>
    <row r="3" spans="1:6" ht="40.5" customHeight="1">
      <c r="A3" s="152" t="s">
        <v>183</v>
      </c>
      <c r="B3" s="152"/>
      <c r="C3" s="152"/>
      <c r="D3" s="152"/>
      <c r="E3" s="152"/>
      <c r="F3" s="101"/>
    </row>
    <row r="4" spans="1:6" ht="12.75" hidden="1">
      <c r="A4" s="152"/>
      <c r="B4" s="152"/>
      <c r="C4" s="152"/>
      <c r="D4" s="152"/>
      <c r="E4" s="152"/>
      <c r="F4" s="101"/>
    </row>
    <row r="5" spans="1:6" ht="12.75">
      <c r="A5" s="153" t="s">
        <v>739</v>
      </c>
      <c r="B5" s="153"/>
      <c r="C5" s="153"/>
      <c r="D5" s="153"/>
      <c r="E5" s="153"/>
      <c r="F5" s="103"/>
    </row>
    <row r="6" spans="1:6" ht="12.75"/>
    <row r="7" spans="1:6" ht="12.75">
      <c r="A7" s="75" t="s">
        <v>2</v>
      </c>
      <c r="C7" s="154" t="s">
        <v>740</v>
      </c>
      <c r="D7" s="154"/>
      <c r="E7" s="154"/>
    </row>
    <row r="8" spans="1:6" ht="12.75">
      <c r="A8" s="9" t="s">
        <v>15</v>
      </c>
      <c r="C8" s="149" t="s">
        <v>741</v>
      </c>
      <c r="D8" s="149"/>
      <c r="E8" s="149"/>
    </row>
    <row r="9" spans="1:6" ht="12.75">
      <c r="A9" s="75" t="s">
        <v>3</v>
      </c>
      <c r="C9" s="154" t="s">
        <v>742</v>
      </c>
      <c r="D9" s="154"/>
      <c r="E9" s="154"/>
    </row>
    <row r="10" spans="1:6" ht="12.75">
      <c r="A10" s="9" t="s">
        <v>4</v>
      </c>
      <c r="C10" s="149" t="s">
        <v>743</v>
      </c>
      <c r="D10" s="149"/>
      <c r="E10" s="149"/>
    </row>
    <row r="11" spans="1:6" ht="12.75">
      <c r="A11" s="75" t="s">
        <v>5</v>
      </c>
      <c r="C11" s="154" t="s">
        <v>239</v>
      </c>
      <c r="D11" s="154"/>
      <c r="E11" s="154"/>
    </row>
    <row r="12" spans="1:6" ht="12.75">
      <c r="A12" s="9" t="s">
        <v>6</v>
      </c>
      <c r="C12" s="149" t="s">
        <v>754</v>
      </c>
      <c r="D12" s="149"/>
      <c r="E12" s="149"/>
    </row>
    <row r="13" spans="1:6" ht="12.75">
      <c r="A13" s="75" t="s">
        <v>7</v>
      </c>
      <c r="C13" s="154" t="s">
        <v>744</v>
      </c>
      <c r="D13" s="154"/>
      <c r="E13" s="154"/>
    </row>
    <row r="14" spans="1:6" ht="12.75">
      <c r="A14" s="9" t="s">
        <v>8</v>
      </c>
      <c r="C14" s="149" t="s">
        <v>745</v>
      </c>
      <c r="D14" s="149"/>
      <c r="E14" s="149"/>
    </row>
    <row r="15" spans="1:6" ht="12.75"/>
    <row r="16" spans="1:6" ht="12.75">
      <c r="A16" s="69" t="s">
        <v>230</v>
      </c>
      <c r="B16" s="70" t="s">
        <v>231</v>
      </c>
    </row>
    <row r="17" spans="1:5" ht="12.75">
      <c r="A17" s="14" t="s">
        <v>25</v>
      </c>
      <c r="B17" s="15" t="s">
        <v>177</v>
      </c>
    </row>
    <row r="18" spans="1:5" ht="38.25">
      <c r="A18" s="115" t="s">
        <v>17</v>
      </c>
      <c r="B18" s="115" t="s">
        <v>220</v>
      </c>
      <c r="C18" s="115" t="s">
        <v>19</v>
      </c>
      <c r="D18" s="116" t="s">
        <v>752</v>
      </c>
      <c r="E18" s="116" t="s">
        <v>753</v>
      </c>
    </row>
    <row r="19" spans="1:5" s="104" customFormat="1" ht="25.5">
      <c r="A19" s="29" t="s">
        <v>16</v>
      </c>
      <c r="B19" s="63" t="s">
        <v>106</v>
      </c>
      <c r="C19" s="64" t="s">
        <v>107</v>
      </c>
      <c r="D19" s="133"/>
      <c r="E19" s="133"/>
    </row>
    <row r="20" spans="1:5" ht="51">
      <c r="A20" s="76">
        <v>1</v>
      </c>
      <c r="B20" s="65" t="s">
        <v>205</v>
      </c>
      <c r="C20" s="66" t="s">
        <v>108</v>
      </c>
      <c r="D20" s="133">
        <v>1.17982034437254E-2</v>
      </c>
      <c r="E20" s="133">
        <v>1.2110925666971899E-2</v>
      </c>
    </row>
    <row r="21" spans="1:5" ht="51">
      <c r="A21" s="76">
        <v>2</v>
      </c>
      <c r="B21" s="65" t="s">
        <v>206</v>
      </c>
      <c r="C21" s="66" t="s">
        <v>109</v>
      </c>
      <c r="D21" s="133">
        <v>8.47000116758719E-4</v>
      </c>
      <c r="E21" s="133">
        <v>8.5894309576012599E-4</v>
      </c>
    </row>
    <row r="22" spans="1:5" ht="63.75">
      <c r="A22" s="76">
        <v>3</v>
      </c>
      <c r="B22" s="65" t="s">
        <v>207</v>
      </c>
      <c r="C22" s="66" t="s">
        <v>110</v>
      </c>
      <c r="D22" s="133">
        <v>6.5893179196954905E-4</v>
      </c>
      <c r="E22" s="133">
        <v>6.5947318710806997E-4</v>
      </c>
    </row>
    <row r="23" spans="1:5" ht="38.25">
      <c r="A23" s="76">
        <v>4</v>
      </c>
      <c r="B23" s="65" t="s">
        <v>178</v>
      </c>
      <c r="C23" s="66" t="s">
        <v>111</v>
      </c>
      <c r="D23" s="133">
        <v>1.20022483431739E-4</v>
      </c>
      <c r="E23" s="133">
        <v>1.1580676598162499E-4</v>
      </c>
    </row>
    <row r="24" spans="1:5" ht="51">
      <c r="A24" s="76">
        <v>5</v>
      </c>
      <c r="B24" s="65" t="s">
        <v>208</v>
      </c>
      <c r="C24" s="66" t="s">
        <v>209</v>
      </c>
      <c r="D24" s="68"/>
      <c r="E24" s="68"/>
    </row>
    <row r="25" spans="1:5" ht="76.5">
      <c r="A25" s="76">
        <v>6</v>
      </c>
      <c r="B25" s="65" t="s">
        <v>210</v>
      </c>
      <c r="C25" s="66" t="s">
        <v>181</v>
      </c>
      <c r="D25" s="68"/>
      <c r="E25" s="68"/>
    </row>
    <row r="26" spans="1:5" ht="76.5">
      <c r="A26" s="76">
        <v>7</v>
      </c>
      <c r="B26" s="65" t="s">
        <v>179</v>
      </c>
      <c r="C26" s="66" t="s">
        <v>112</v>
      </c>
      <c r="D26" s="133">
        <v>2.3470653046745699E-4</v>
      </c>
      <c r="E26" s="133">
        <v>3.4413722687813298E-4</v>
      </c>
    </row>
    <row r="27" spans="1:5" ht="25.5">
      <c r="A27" s="76">
        <v>8</v>
      </c>
      <c r="B27" s="65" t="s">
        <v>211</v>
      </c>
      <c r="C27" s="66" t="s">
        <v>113</v>
      </c>
      <c r="D27" s="133">
        <v>1.4099159588007899E-2</v>
      </c>
      <c r="E27" s="133">
        <v>1.40690033918564E-2</v>
      </c>
    </row>
    <row r="28" spans="1:5" ht="12.75">
      <c r="A28" s="76">
        <v>9</v>
      </c>
      <c r="B28" s="65" t="s">
        <v>241</v>
      </c>
      <c r="C28" s="66" t="s">
        <v>114</v>
      </c>
      <c r="D28" s="133">
        <v>1.7381497886528801</v>
      </c>
      <c r="E28" s="133">
        <v>1.79633042393359</v>
      </c>
    </row>
    <row r="29" spans="1:5" ht="51">
      <c r="A29" s="76">
        <v>10</v>
      </c>
      <c r="B29" s="65" t="s">
        <v>212</v>
      </c>
      <c r="C29" s="66" t="s">
        <v>181</v>
      </c>
      <c r="D29" s="68"/>
      <c r="E29" s="68"/>
    </row>
    <row r="30" spans="1:5" s="104" customFormat="1" ht="25.5">
      <c r="A30" s="29" t="s">
        <v>21</v>
      </c>
      <c r="B30" s="63" t="s">
        <v>115</v>
      </c>
      <c r="C30" s="64" t="s">
        <v>116</v>
      </c>
      <c r="D30" s="67"/>
      <c r="E30" s="67"/>
    </row>
    <row r="31" spans="1:5" ht="38.25">
      <c r="A31" s="157">
        <v>1</v>
      </c>
      <c r="B31" s="65" t="s">
        <v>117</v>
      </c>
      <c r="C31" s="66" t="s">
        <v>118</v>
      </c>
      <c r="D31" s="77">
        <v>1081542533700</v>
      </c>
      <c r="E31" s="77">
        <v>1068689252200</v>
      </c>
    </row>
    <row r="32" spans="1:5" ht="25.5">
      <c r="A32" s="158"/>
      <c r="B32" s="65" t="s">
        <v>119</v>
      </c>
      <c r="C32" s="66" t="s">
        <v>120</v>
      </c>
      <c r="D32" s="77">
        <v>1081542533700</v>
      </c>
      <c r="E32" s="77">
        <v>1068689252200</v>
      </c>
    </row>
    <row r="33" spans="1:5" ht="38.25">
      <c r="A33" s="159"/>
      <c r="B33" s="65" t="s">
        <v>213</v>
      </c>
      <c r="C33" s="66" t="s">
        <v>121</v>
      </c>
      <c r="D33" s="68">
        <v>108154253.37</v>
      </c>
      <c r="E33" s="68">
        <v>106868925.22</v>
      </c>
    </row>
    <row r="34" spans="1:5" ht="38.25">
      <c r="A34" s="156">
        <v>2</v>
      </c>
      <c r="B34" s="65" t="s">
        <v>122</v>
      </c>
      <c r="C34" s="66" t="s">
        <v>123</v>
      </c>
      <c r="D34" s="77">
        <v>-90043377700</v>
      </c>
      <c r="E34" s="77">
        <v>12853281500</v>
      </c>
    </row>
    <row r="35" spans="1:5" ht="25.5">
      <c r="A35" s="156"/>
      <c r="B35" s="65" t="s">
        <v>124</v>
      </c>
      <c r="C35" s="66" t="s">
        <v>214</v>
      </c>
      <c r="D35" s="68">
        <v>-9004337.7699999996</v>
      </c>
      <c r="E35" s="68">
        <v>1285328.1499999999</v>
      </c>
    </row>
    <row r="36" spans="1:5" ht="25.5">
      <c r="A36" s="156"/>
      <c r="B36" s="65" t="s">
        <v>125</v>
      </c>
      <c r="C36" s="66" t="s">
        <v>215</v>
      </c>
      <c r="D36" s="77">
        <v>-90043377700</v>
      </c>
      <c r="E36" s="77">
        <v>12853281500</v>
      </c>
    </row>
    <row r="37" spans="1:5" ht="25.5">
      <c r="A37" s="156"/>
      <c r="B37" s="65" t="s">
        <v>216</v>
      </c>
      <c r="C37" s="66" t="s">
        <v>126</v>
      </c>
      <c r="D37" s="68">
        <v>46708673.439999998</v>
      </c>
      <c r="E37" s="68">
        <v>53405294.390000001</v>
      </c>
    </row>
    <row r="38" spans="1:5" ht="25.5">
      <c r="A38" s="156"/>
      <c r="B38" s="65" t="s">
        <v>160</v>
      </c>
      <c r="C38" s="66" t="s">
        <v>127</v>
      </c>
      <c r="D38" s="77">
        <v>467086734400</v>
      </c>
      <c r="E38" s="77">
        <v>534052943900</v>
      </c>
    </row>
    <row r="39" spans="1:5" ht="25.5">
      <c r="A39" s="156"/>
      <c r="B39" s="65" t="s">
        <v>238</v>
      </c>
      <c r="C39" s="66" t="s">
        <v>128</v>
      </c>
      <c r="D39" s="68">
        <v>-55713011.210000001</v>
      </c>
      <c r="E39" s="68">
        <v>-52119966.240000002</v>
      </c>
    </row>
    <row r="40" spans="1:5" ht="38.25">
      <c r="A40" s="156"/>
      <c r="B40" s="65" t="s">
        <v>161</v>
      </c>
      <c r="C40" s="66" t="s">
        <v>129</v>
      </c>
      <c r="D40" s="77">
        <v>-557130112100</v>
      </c>
      <c r="E40" s="77">
        <v>-521199662400</v>
      </c>
    </row>
    <row r="41" spans="1:5" ht="25.5">
      <c r="A41" s="156">
        <v>3</v>
      </c>
      <c r="B41" s="65" t="s">
        <v>162</v>
      </c>
      <c r="C41" s="66" t="s">
        <v>130</v>
      </c>
      <c r="D41" s="77">
        <v>991499156000</v>
      </c>
      <c r="E41" s="77">
        <v>1081542533700</v>
      </c>
    </row>
    <row r="42" spans="1:5" ht="51">
      <c r="A42" s="156"/>
      <c r="B42" s="65" t="s">
        <v>217</v>
      </c>
      <c r="C42" s="66" t="s">
        <v>131</v>
      </c>
      <c r="D42" s="77">
        <v>991499156000</v>
      </c>
      <c r="E42" s="77">
        <v>1081542533700</v>
      </c>
    </row>
    <row r="43" spans="1:5" ht="25.5">
      <c r="A43" s="156"/>
      <c r="B43" s="65" t="s">
        <v>218</v>
      </c>
      <c r="C43" s="66" t="s">
        <v>132</v>
      </c>
      <c r="D43" s="68">
        <v>99149915.599999994</v>
      </c>
      <c r="E43" s="68">
        <v>108154253.37</v>
      </c>
    </row>
    <row r="44" spans="1:5" ht="51">
      <c r="A44" s="76">
        <v>4</v>
      </c>
      <c r="B44" s="65" t="s">
        <v>133</v>
      </c>
      <c r="C44" s="66" t="s">
        <v>134</v>
      </c>
      <c r="D44" s="133"/>
      <c r="E44" s="133"/>
    </row>
    <row r="45" spans="1:5" ht="25.5">
      <c r="A45" s="76">
        <v>5</v>
      </c>
      <c r="B45" s="65" t="s">
        <v>135</v>
      </c>
      <c r="C45" s="66" t="s">
        <v>136</v>
      </c>
      <c r="D45" s="133">
        <v>0.12720000000000001</v>
      </c>
      <c r="E45" s="133">
        <v>0.19700000000000001</v>
      </c>
    </row>
    <row r="46" spans="1:5" ht="25.5">
      <c r="A46" s="76">
        <v>6</v>
      </c>
      <c r="B46" s="65" t="s">
        <v>137</v>
      </c>
      <c r="C46" s="66" t="s">
        <v>138</v>
      </c>
      <c r="D46" s="133">
        <v>1.8E-3</v>
      </c>
      <c r="E46" s="133">
        <v>1.8E-3</v>
      </c>
    </row>
    <row r="47" spans="1:5" ht="25.5">
      <c r="A47" s="76">
        <v>7</v>
      </c>
      <c r="B47" s="65" t="s">
        <v>139</v>
      </c>
      <c r="C47" s="66" t="s">
        <v>140</v>
      </c>
      <c r="D47" s="77">
        <v>20764</v>
      </c>
      <c r="E47" s="77">
        <v>20652</v>
      </c>
    </row>
    <row r="48" spans="1:5" ht="25.5">
      <c r="A48" s="76">
        <v>8</v>
      </c>
      <c r="B48" s="65" t="s">
        <v>163</v>
      </c>
      <c r="C48" s="66" t="s">
        <v>141</v>
      </c>
      <c r="D48" s="68">
        <v>11194.64</v>
      </c>
      <c r="E48" s="68">
        <v>11138.63</v>
      </c>
    </row>
    <row r="49" spans="1:5" ht="51">
      <c r="A49" s="76">
        <v>9</v>
      </c>
      <c r="B49" s="65" t="s">
        <v>219</v>
      </c>
      <c r="C49" s="66" t="s">
        <v>182</v>
      </c>
      <c r="D49" s="68"/>
      <c r="E49" s="68"/>
    </row>
    <row r="50" spans="1:5" ht="31.5" customHeight="1">
      <c r="A50" s="155" t="s">
        <v>240</v>
      </c>
      <c r="B50" s="149"/>
      <c r="C50" s="149"/>
      <c r="D50" s="149"/>
      <c r="E50" s="149"/>
    </row>
    <row r="51" spans="1:5" ht="95.25" customHeight="1">
      <c r="A51" s="155" t="s">
        <v>755</v>
      </c>
      <c r="B51" s="149"/>
      <c r="C51" s="149"/>
      <c r="D51" s="149"/>
      <c r="E51" s="149"/>
    </row>
    <row r="52" spans="1:5" ht="12.75">
      <c r="A52" s="18" t="str">
        <f>TONGQUAN!C16</f>
        <v>Đại diện có thẩm quyền của Ngân hàng giám sát</v>
      </c>
      <c r="D52" s="18" t="str">
        <f>TONGQUAN!F16</f>
        <v>Đại diện có thẩm quyền của Công ty quản lý Quỹ</v>
      </c>
    </row>
    <row r="53" spans="1:5" s="103" customFormat="1" ht="12.75">
      <c r="A53" s="19" t="str">
        <f>TONGQUAN!C17</f>
        <v>Authorised Representative of Supervisory Bank</v>
      </c>
      <c r="B53" s="19"/>
      <c r="C53" s="19"/>
      <c r="D53" s="19" t="str">
        <f>TONGQUAN!F17</f>
        <v>Authorised Representative of Fund Management Company</v>
      </c>
      <c r="E53" s="19"/>
    </row>
    <row r="54" spans="1:5" ht="12.75"/>
    <row r="55" spans="1:5" ht="12.75"/>
    <row r="56" spans="1:5" ht="12.75"/>
    <row r="57" spans="1:5" ht="12.75"/>
    <row r="58" spans="1:5" ht="12.75"/>
    <row r="59" spans="1:5" ht="12.75"/>
    <row r="60" spans="1:5" ht="12.75"/>
    <row r="61" spans="1:5" ht="12.75"/>
    <row r="62" spans="1:5" ht="12.75">
      <c r="A62" s="27"/>
      <c r="B62" s="27"/>
      <c r="D62" s="27"/>
      <c r="E62" s="27"/>
    </row>
    <row r="63" spans="1:5" ht="12.75">
      <c r="A63" s="18" t="str">
        <f>TONGQUAN!C19</f>
        <v>Ngân hàng TNHH MTV Standard Chartered (Việt Nam)</v>
      </c>
      <c r="D63" s="18" t="str">
        <f>TONGQUAN!F19</f>
        <v>Công ty Cổ phần Quản lý Quỹ Đầu tư Dragon Capital Việt Nam</v>
      </c>
    </row>
    <row r="64" spans="1:5" ht="12.75">
      <c r="A64" s="18" t="str">
        <f>TONGQUAN!C20</f>
        <v>Vũ Quang Phan</v>
      </c>
      <c r="D64" s="18" t="str">
        <f>TONGQUAN!F20</f>
        <v>Lê Hoàng Anh</v>
      </c>
    </row>
    <row r="65" spans="1:4" ht="12.75">
      <c r="A65" s="9" t="str">
        <f>TONGQUAN!C21</f>
        <v>Phó phòng Dịch vụ nghiệp vụ giám sát Quỹ</v>
      </c>
      <c r="D65" s="9" t="str">
        <f>TONGQUAN!F21</f>
        <v>Quyền Giám đốc nghiệp vụ hỗ trợ đầu tư</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activeCell="G13" sqref="G13:J13"/>
    </sheetView>
  </sheetViews>
  <sheetFormatPr defaultColWidth="9.140625" defaultRowHeight="12.75"/>
  <cols>
    <col min="1" max="1" width="4.85546875" style="113" customWidth="1"/>
    <col min="2" max="2" width="34.42578125" style="110" customWidth="1"/>
    <col min="3" max="3" width="14.42578125" style="110" customWidth="1"/>
    <col min="4" max="4" width="11.85546875" style="110" customWidth="1"/>
    <col min="5" max="5" width="12.28515625" style="110" customWidth="1"/>
    <col min="6" max="6" width="12.5703125" style="110" customWidth="1"/>
    <col min="7" max="7" width="16.42578125" style="110" customWidth="1"/>
    <col min="8" max="9" width="19" style="110" customWidth="1"/>
    <col min="10" max="10" width="43.5703125" style="110" customWidth="1"/>
    <col min="11" max="16384" width="9.140625" style="110"/>
  </cols>
  <sheetData>
    <row r="1" spans="1:10" s="109" customFormat="1" ht="46.5" customHeight="1">
      <c r="A1" s="171" t="s">
        <v>232</v>
      </c>
      <c r="B1" s="171"/>
      <c r="C1" s="171"/>
      <c r="D1" s="171"/>
      <c r="E1" s="171"/>
      <c r="F1" s="171"/>
      <c r="G1" s="171"/>
      <c r="H1" s="171"/>
      <c r="I1" s="171"/>
      <c r="J1" s="171"/>
    </row>
    <row r="2" spans="1:10" ht="48.95" customHeight="1">
      <c r="A2" s="172" t="s">
        <v>234</v>
      </c>
      <c r="B2" s="172"/>
      <c r="C2" s="172"/>
      <c r="D2" s="172"/>
      <c r="E2" s="172"/>
      <c r="F2" s="172"/>
      <c r="G2" s="172"/>
      <c r="H2" s="172"/>
      <c r="I2" s="172"/>
      <c r="J2" s="172"/>
    </row>
    <row r="3" spans="1:10" ht="19.149999999999999" customHeight="1">
      <c r="A3" s="173" t="s">
        <v>183</v>
      </c>
      <c r="B3" s="173"/>
      <c r="C3" s="173"/>
      <c r="D3" s="173"/>
      <c r="E3" s="173"/>
      <c r="F3" s="173"/>
      <c r="G3" s="173"/>
      <c r="H3" s="173"/>
      <c r="I3" s="173"/>
      <c r="J3" s="173"/>
    </row>
    <row r="4" spans="1:10" ht="21.6" customHeight="1">
      <c r="A4" s="173"/>
      <c r="B4" s="173"/>
      <c r="C4" s="173"/>
      <c r="D4" s="173"/>
      <c r="E4" s="173"/>
      <c r="F4" s="173"/>
      <c r="G4" s="173"/>
      <c r="H4" s="173"/>
      <c r="I4" s="173"/>
      <c r="J4" s="173"/>
    </row>
    <row r="5" spans="1:10">
      <c r="A5" s="174" t="s">
        <v>739</v>
      </c>
      <c r="B5" s="174"/>
      <c r="C5" s="174"/>
      <c r="D5" s="174"/>
      <c r="E5" s="174"/>
      <c r="F5" s="174"/>
      <c r="G5" s="174"/>
      <c r="H5" s="174"/>
      <c r="I5" s="174"/>
      <c r="J5" s="174"/>
    </row>
    <row r="6" spans="1:10">
      <c r="A6" s="105"/>
      <c r="B6" s="105"/>
      <c r="C6" s="105"/>
      <c r="D6" s="105"/>
      <c r="E6" s="105"/>
      <c r="F6" s="32"/>
      <c r="G6" s="111"/>
      <c r="H6" s="111"/>
      <c r="I6" s="111"/>
      <c r="J6" s="111"/>
    </row>
    <row r="7" spans="1:10">
      <c r="A7" s="175" t="s">
        <v>2</v>
      </c>
      <c r="B7" s="176"/>
      <c r="C7" s="111"/>
      <c r="D7" s="111"/>
      <c r="E7" s="111"/>
      <c r="F7" s="111"/>
      <c r="G7" s="165" t="s">
        <v>740</v>
      </c>
      <c r="H7" s="165"/>
      <c r="I7" s="165"/>
      <c r="J7" s="165"/>
    </row>
    <row r="8" spans="1:10" ht="15" customHeight="1">
      <c r="A8" s="168" t="s">
        <v>15</v>
      </c>
      <c r="B8" s="168"/>
      <c r="C8" s="111"/>
      <c r="D8" s="111"/>
      <c r="E8" s="111"/>
      <c r="F8" s="111"/>
      <c r="G8" s="166" t="s">
        <v>741</v>
      </c>
      <c r="H8" s="166"/>
      <c r="I8" s="166"/>
      <c r="J8" s="166"/>
    </row>
    <row r="9" spans="1:10">
      <c r="A9" s="163" t="s">
        <v>3</v>
      </c>
      <c r="B9" s="169"/>
      <c r="C9" s="111"/>
      <c r="D9" s="111"/>
      <c r="E9" s="111"/>
      <c r="F9" s="111"/>
      <c r="G9" s="170" t="s">
        <v>742</v>
      </c>
      <c r="H9" s="170"/>
      <c r="I9" s="170"/>
      <c r="J9" s="170"/>
    </row>
    <row r="10" spans="1:10" ht="15" customHeight="1">
      <c r="A10" s="169" t="s">
        <v>4</v>
      </c>
      <c r="B10" s="169"/>
      <c r="C10" s="111"/>
      <c r="D10" s="111"/>
      <c r="E10" s="111"/>
      <c r="F10" s="111"/>
      <c r="G10" s="166" t="s">
        <v>743</v>
      </c>
      <c r="H10" s="166"/>
      <c r="I10" s="166"/>
      <c r="J10" s="166"/>
    </row>
    <row r="11" spans="1:10" ht="15" customHeight="1">
      <c r="A11" s="163" t="s">
        <v>5</v>
      </c>
      <c r="B11" s="164"/>
      <c r="C11" s="111"/>
      <c r="D11" s="111"/>
      <c r="E11" s="111"/>
      <c r="F11" s="111"/>
      <c r="G11" s="165" t="s">
        <v>239</v>
      </c>
      <c r="H11" s="165"/>
      <c r="I11" s="165"/>
      <c r="J11" s="165"/>
    </row>
    <row r="12" spans="1:10" ht="15" customHeight="1">
      <c r="A12" s="33" t="s">
        <v>180</v>
      </c>
      <c r="B12" s="106"/>
      <c r="C12" s="111"/>
      <c r="D12" s="111"/>
      <c r="E12" s="111"/>
      <c r="F12" s="111"/>
      <c r="G12" s="166" t="s">
        <v>754</v>
      </c>
      <c r="H12" s="166"/>
      <c r="I12" s="166"/>
      <c r="J12" s="166"/>
    </row>
    <row r="13" spans="1:10" ht="15" customHeight="1">
      <c r="A13" s="34" t="s">
        <v>7</v>
      </c>
      <c r="B13" s="35"/>
      <c r="C13" s="111"/>
      <c r="D13" s="111"/>
      <c r="E13" s="111"/>
      <c r="F13" s="111"/>
      <c r="G13" s="165" t="s">
        <v>744</v>
      </c>
      <c r="H13" s="165"/>
      <c r="I13" s="165"/>
      <c r="J13" s="165"/>
    </row>
    <row r="14" spans="1:10">
      <c r="A14" s="36" t="s">
        <v>8</v>
      </c>
      <c r="B14" s="36"/>
      <c r="C14" s="38"/>
      <c r="D14" s="38"/>
      <c r="E14" s="38"/>
      <c r="F14" s="38"/>
      <c r="G14" s="167" t="s">
        <v>745</v>
      </c>
      <c r="H14" s="167"/>
      <c r="I14" s="167"/>
      <c r="J14" s="167"/>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1" t="s">
        <v>143</v>
      </c>
      <c r="B17" s="161" t="s">
        <v>221</v>
      </c>
      <c r="C17" s="161" t="s">
        <v>222</v>
      </c>
      <c r="D17" s="161" t="s">
        <v>223</v>
      </c>
      <c r="E17" s="161" t="s">
        <v>224</v>
      </c>
      <c r="F17" s="161" t="s">
        <v>225</v>
      </c>
      <c r="G17" s="161" t="s">
        <v>226</v>
      </c>
      <c r="H17" s="162"/>
      <c r="I17" s="161" t="s">
        <v>235</v>
      </c>
      <c r="J17" s="162"/>
    </row>
    <row r="18" spans="1:10" s="37" customFormat="1" ht="87" customHeight="1">
      <c r="A18" s="162"/>
      <c r="B18" s="162"/>
      <c r="C18" s="162"/>
      <c r="D18" s="162"/>
      <c r="E18" s="162"/>
      <c r="F18" s="162"/>
      <c r="G18" s="108" t="s">
        <v>227</v>
      </c>
      <c r="H18" s="108" t="s">
        <v>228</v>
      </c>
      <c r="I18" s="108" t="s">
        <v>227</v>
      </c>
      <c r="J18" s="108" t="s">
        <v>229</v>
      </c>
    </row>
    <row r="19" spans="1:10" s="37" customFormat="1" ht="45.75" customHeight="1">
      <c r="A19" s="131" t="s">
        <v>369</v>
      </c>
      <c r="B19" s="131" t="s">
        <v>370</v>
      </c>
      <c r="C19" s="131"/>
      <c r="D19" s="131"/>
      <c r="E19" s="131"/>
      <c r="F19" s="134"/>
      <c r="G19" s="131"/>
      <c r="H19" s="133"/>
      <c r="I19" s="131"/>
      <c r="J19" s="133"/>
    </row>
    <row r="20" spans="1:10">
      <c r="A20" s="131" t="s">
        <v>371</v>
      </c>
      <c r="B20" s="131" t="s">
        <v>372</v>
      </c>
      <c r="C20" s="131" t="s">
        <v>373</v>
      </c>
      <c r="D20" s="131" t="s">
        <v>374</v>
      </c>
      <c r="E20" s="131" t="s">
        <v>375</v>
      </c>
      <c r="F20" s="134" t="s">
        <v>376</v>
      </c>
      <c r="G20" s="131" t="s">
        <v>377</v>
      </c>
      <c r="H20" s="133" t="s">
        <v>378</v>
      </c>
      <c r="I20" s="131" t="s">
        <v>379</v>
      </c>
      <c r="J20" s="133" t="s">
        <v>380</v>
      </c>
    </row>
    <row r="21" spans="1:10" ht="25.5">
      <c r="A21" s="136" t="s">
        <v>381</v>
      </c>
      <c r="B21" s="136" t="s">
        <v>382</v>
      </c>
      <c r="C21" s="136"/>
      <c r="D21" s="136"/>
      <c r="E21" s="136"/>
      <c r="F21" s="138">
        <v>0</v>
      </c>
      <c r="G21" s="136"/>
      <c r="H21" s="137">
        <v>0</v>
      </c>
      <c r="I21" s="136"/>
      <c r="J21" s="137">
        <v>0</v>
      </c>
    </row>
    <row r="22" spans="1:10" ht="25.5">
      <c r="A22" s="131" t="s">
        <v>383</v>
      </c>
      <c r="B22" s="131" t="s">
        <v>384</v>
      </c>
      <c r="C22" s="131"/>
      <c r="D22" s="131"/>
      <c r="E22" s="131"/>
      <c r="F22" s="134"/>
      <c r="G22" s="131"/>
      <c r="H22" s="133"/>
      <c r="I22" s="131"/>
      <c r="J22" s="133"/>
    </row>
    <row r="23" spans="1:10">
      <c r="A23" s="131" t="s">
        <v>385</v>
      </c>
      <c r="B23" s="131" t="s">
        <v>386</v>
      </c>
      <c r="C23" s="131" t="s">
        <v>387</v>
      </c>
      <c r="D23" s="131" t="s">
        <v>388</v>
      </c>
      <c r="E23" s="131" t="s">
        <v>389</v>
      </c>
      <c r="F23" s="134" t="s">
        <v>390</v>
      </c>
      <c r="G23" s="131" t="s">
        <v>391</v>
      </c>
      <c r="H23" s="133" t="s">
        <v>392</v>
      </c>
      <c r="I23" s="131" t="s">
        <v>393</v>
      </c>
      <c r="J23" s="133" t="s">
        <v>394</v>
      </c>
    </row>
    <row r="24" spans="1:10" ht="25.5">
      <c r="A24" s="136" t="s">
        <v>395</v>
      </c>
      <c r="B24" s="136" t="s">
        <v>396</v>
      </c>
      <c r="C24" s="136"/>
      <c r="D24" s="136"/>
      <c r="E24" s="136"/>
      <c r="F24" s="138">
        <v>0</v>
      </c>
      <c r="G24" s="136"/>
      <c r="H24" s="137">
        <v>0</v>
      </c>
      <c r="I24" s="136"/>
      <c r="J24" s="137">
        <v>0</v>
      </c>
    </row>
    <row r="25" spans="1:10" ht="25.5">
      <c r="A25" s="136" t="s">
        <v>397</v>
      </c>
      <c r="B25" s="136" t="s">
        <v>398</v>
      </c>
      <c r="C25" s="136"/>
      <c r="D25" s="136"/>
      <c r="E25" s="136"/>
      <c r="F25" s="138">
        <v>0</v>
      </c>
      <c r="G25" s="136"/>
      <c r="H25" s="137">
        <v>0</v>
      </c>
      <c r="I25" s="136"/>
      <c r="J25" s="137">
        <v>0</v>
      </c>
    </row>
    <row r="26" spans="1:10" ht="25.5">
      <c r="A26" s="131" t="s">
        <v>399</v>
      </c>
      <c r="B26" s="131" t="s">
        <v>400</v>
      </c>
      <c r="C26" s="131"/>
      <c r="D26" s="131"/>
      <c r="E26" s="131"/>
      <c r="F26" s="134"/>
      <c r="G26" s="131"/>
      <c r="H26" s="133"/>
      <c r="I26" s="131"/>
      <c r="J26" s="133"/>
    </row>
    <row r="27" spans="1:10">
      <c r="A27" s="131" t="s">
        <v>401</v>
      </c>
      <c r="B27" s="131" t="s">
        <v>402</v>
      </c>
      <c r="C27" s="131" t="s">
        <v>403</v>
      </c>
      <c r="D27" s="131" t="s">
        <v>404</v>
      </c>
      <c r="E27" s="131" t="s">
        <v>405</v>
      </c>
      <c r="F27" s="134" t="s">
        <v>406</v>
      </c>
      <c r="G27" s="131" t="s">
        <v>407</v>
      </c>
      <c r="H27" s="133" t="s">
        <v>408</v>
      </c>
      <c r="I27" s="131" t="s">
        <v>409</v>
      </c>
      <c r="J27" s="133" t="s">
        <v>410</v>
      </c>
    </row>
    <row r="28" spans="1:10" ht="25.5">
      <c r="A28" s="136" t="s">
        <v>411</v>
      </c>
      <c r="B28" s="136" t="s">
        <v>412</v>
      </c>
      <c r="C28" s="136"/>
      <c r="D28" s="136"/>
      <c r="E28" s="136"/>
      <c r="F28" s="138">
        <v>0</v>
      </c>
      <c r="G28" s="136"/>
      <c r="H28" s="137">
        <v>0</v>
      </c>
      <c r="I28" s="136"/>
      <c r="J28" s="137">
        <v>0</v>
      </c>
    </row>
    <row r="29" spans="1:10" ht="25.5">
      <c r="A29" s="131" t="s">
        <v>413</v>
      </c>
      <c r="B29" s="131" t="s">
        <v>414</v>
      </c>
      <c r="C29" s="131"/>
      <c r="D29" s="131"/>
      <c r="E29" s="131"/>
      <c r="F29" s="134"/>
      <c r="G29" s="131"/>
      <c r="H29" s="133"/>
      <c r="I29" s="131"/>
      <c r="J29" s="133"/>
    </row>
    <row r="30" spans="1:10">
      <c r="A30" s="131" t="s">
        <v>415</v>
      </c>
      <c r="B30" s="131" t="s">
        <v>416</v>
      </c>
      <c r="C30" s="131" t="s">
        <v>417</v>
      </c>
      <c r="D30" s="131" t="s">
        <v>418</v>
      </c>
      <c r="E30" s="131" t="s">
        <v>419</v>
      </c>
      <c r="F30" s="134" t="s">
        <v>420</v>
      </c>
      <c r="G30" s="131" t="s">
        <v>421</v>
      </c>
      <c r="H30" s="133" t="s">
        <v>422</v>
      </c>
      <c r="I30" s="131" t="s">
        <v>423</v>
      </c>
      <c r="J30" s="133" t="s">
        <v>424</v>
      </c>
    </row>
    <row r="31" spans="1:10" ht="25.5">
      <c r="A31" s="136" t="s">
        <v>425</v>
      </c>
      <c r="B31" s="136" t="s">
        <v>426</v>
      </c>
      <c r="C31" s="136"/>
      <c r="D31" s="136"/>
      <c r="E31" s="136"/>
      <c r="F31" s="138">
        <v>0</v>
      </c>
      <c r="G31" s="136"/>
      <c r="H31" s="137">
        <v>0</v>
      </c>
      <c r="I31" s="136"/>
      <c r="J31" s="137">
        <v>0</v>
      </c>
    </row>
    <row r="32" spans="1:10" ht="25.5">
      <c r="A32" s="136" t="s">
        <v>427</v>
      </c>
      <c r="B32" s="136" t="s">
        <v>428</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c r="A40" s="160" t="s">
        <v>14</v>
      </c>
      <c r="B40" s="160"/>
      <c r="C40" s="38"/>
      <c r="D40" s="38"/>
      <c r="E40" s="38"/>
      <c r="F40" s="38"/>
      <c r="G40" s="38"/>
      <c r="H40" s="38"/>
      <c r="I40" s="128" t="s">
        <v>740</v>
      </c>
      <c r="J40" s="129"/>
    </row>
    <row r="41" spans="1:10" s="37" customFormat="1">
      <c r="A41" s="49" t="s">
        <v>746</v>
      </c>
      <c r="B41" s="38"/>
      <c r="C41" s="38"/>
      <c r="D41" s="38"/>
      <c r="E41" s="38"/>
      <c r="F41" s="38"/>
      <c r="G41" s="38"/>
      <c r="H41" s="38"/>
      <c r="I41" s="49" t="s">
        <v>747</v>
      </c>
      <c r="J41" s="38"/>
    </row>
    <row r="42" spans="1:10" s="37" customFormat="1">
      <c r="A42" s="38" t="s">
        <v>748</v>
      </c>
      <c r="B42" s="38"/>
      <c r="C42" s="38"/>
      <c r="D42" s="38"/>
      <c r="E42" s="38"/>
      <c r="F42" s="38"/>
      <c r="G42" s="38"/>
      <c r="H42" s="38"/>
      <c r="I42" s="38" t="s">
        <v>749</v>
      </c>
      <c r="J42" s="38"/>
    </row>
    <row r="43" spans="1:10" s="37" customFormat="1">
      <c r="A43" s="127"/>
      <c r="B43" s="38"/>
      <c r="C43" s="38"/>
      <c r="D43" s="38"/>
      <c r="E43" s="38"/>
      <c r="F43" s="38"/>
      <c r="G43" s="38"/>
      <c r="H43" s="38"/>
      <c r="I43" s="38"/>
      <c r="J43" s="38"/>
    </row>
    <row r="44" spans="1:10" s="37" customFormat="1">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EBMWbudxf0NCKSuzLG8UHVDqZw/WGxtvddOwotuHuGQ=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GvUdb+M1YntKQEjWi4LKWbCiS+SyszhY0ymEfXBzQC0=</DigestValue>
    </Reference>
  </SignedInfo>
  <SignatureValue>GXLNYcZZ5p/UD5dyrJAk7wjDNkN4/YQpnBApWSjgSfqY1hwQvRb5ppVdXOCWQGMQfSla+V9O1A4Q
JvLpNedPvjv/e2OnQiFWITkirvZlA51RRIVDvCo2Q9mjDoDUoL6dSO7kxjiH3DPDG8UUUVvEJfiH
pjWajQudc9mIGZ0uLxQoFoKMbK/mheD2fojO1liJdUVsSkqVRZrGRwcWZm5iX0CFeVJFmqoY3ZAy
bhbYbNeAvl67XKd8Qd5cSHpTINrFwXrpW0IVygNAg1WkMQSwvB5n4284Gm5KdGniUT8+8+PHOdv9
nAehgdZop6EmFiXsUSyG2d7P/gA5fbTWTTF39w==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XgwbH1hE78/dlphBvgHWczi3NlI5vHvn0kt6ntpQkK8=</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Uiv1CoPtHCEuCjTGJ3nfKuLJNi/SZssLbRmIle0ZsDo=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EPevucF/WX9ictGdSC9GjVRapZMNpWTG9m2RStfYgLw=</DigestValue>
      </Reference>
      <Reference URI="/xl/drawings/drawing2.xml?ContentType=application/vnd.openxmlformats-officedocument.drawing+xml">
        <DigestMethod Algorithm="http://www.w3.org/2001/04/xmlenc#sha256"/>
        <DigestValue>dNdQZIllnXFDR/bwB6UUoYZ7Wv64pOOhebhpN+tWNPM=</DigestValue>
      </Reference>
      <Reference URI="/xl/drawings/drawing3.xml?ContentType=application/vnd.openxmlformats-officedocument.drawing+xml">
        <DigestMethod Algorithm="http://www.w3.org/2001/04/xmlenc#sha256"/>
        <DigestValue>PBH0ejODvRgxhvJV4DqvvMqjH8ONCxkkV0sNRLeqelI=</DigestValue>
      </Reference>
      <Reference URI="/xl/drawings/drawing4.xml?ContentType=application/vnd.openxmlformats-officedocument.drawing+xml">
        <DigestMethod Algorithm="http://www.w3.org/2001/04/xmlenc#sha256"/>
        <DigestValue>Ub4N0kgPj8KLaBfJuYKzR8LKZDwS6+YNwF3yCi1rnbw=</DigestValue>
      </Reference>
      <Reference URI="/xl/drawings/drawing5.xml?ContentType=application/vnd.openxmlformats-officedocument.drawing+xml">
        <DigestMethod Algorithm="http://www.w3.org/2001/04/xmlenc#sha256"/>
        <DigestValue>Y3uyDl2l4wfExF0IshujbDPUydS7gSM+AAMbKSrAHTM=</DigestValue>
      </Reference>
      <Reference URI="/xl/drawings/vmlDrawing1.vml?ContentType=application/vnd.openxmlformats-officedocument.vmlDrawing">
        <DigestMethod Algorithm="http://www.w3.org/2001/04/xmlenc#sha256"/>
        <DigestValue>oo1GnjvhDlxb8hThH/+3SUzM6fauLJ/uIhe6uKlMkg8=</DigestValue>
      </Reference>
      <Reference URI="/xl/drawings/vmlDrawing2.vml?ContentType=application/vnd.openxmlformats-officedocument.vmlDrawing">
        <DigestMethod Algorithm="http://www.w3.org/2001/04/xmlenc#sha256"/>
        <DigestValue>7Y5WIZ/g/Yqh1qgijRwZp03iy1ewCIytSTTaPn+Qvh8=</DigestValue>
      </Reference>
      <Reference URI="/xl/drawings/vmlDrawing3.vml?ContentType=application/vnd.openxmlformats-officedocument.vmlDrawing">
        <DigestMethod Algorithm="http://www.w3.org/2001/04/xmlenc#sha256"/>
        <DigestValue>bcsd27eKWFvEDZH4x35EXoSM9AHHXQ03hg1IYzIg9qA=</DigestValue>
      </Reference>
      <Reference URI="/xl/drawings/vmlDrawing4.vml?ContentType=application/vnd.openxmlformats-officedocument.vmlDrawing">
        <DigestMethod Algorithm="http://www.w3.org/2001/04/xmlenc#sha256"/>
        <DigestValue>s+/28AlyYKRaOkEFBlCFFZH7wioq+X+zvjeMFfTRjeI=</DigestValue>
      </Reference>
      <Reference URI="/xl/drawings/vmlDrawing5.vml?ContentType=application/vnd.openxmlformats-officedocument.vmlDrawing">
        <DigestMethod Algorithm="http://www.w3.org/2001/04/xmlenc#sha256"/>
        <DigestValue>Xr3+kq69TD/vBQKf26ciivCORqPyjqTMejqvTpB7xdQ=</DigestValue>
      </Reference>
      <Reference URI="/xl/media/image1.emf?ContentType=image/x-emf">
        <DigestMethod Algorithm="http://www.w3.org/2001/04/xmlenc#sha256"/>
        <DigestValue>QRkCfirWT2L72OFN+CoJ0GJiBkmpNJ1zUJk/94wfEoU=</DigestValue>
      </Reference>
      <Reference URI="/xl/media/image2.emf?ContentType=image/x-emf">
        <DigestMethod Algorithm="http://www.w3.org/2001/04/xmlenc#sha256"/>
        <DigestValue>QRkCfirWT2L72OFN+CoJ0GJiBkmpNJ1zUJk/94wfEoU=</DigestValue>
      </Reference>
      <Reference URI="/xl/printerSettings/printerSettings1.bin?ContentType=application/vnd.openxmlformats-officedocument.spreadsheetml.printerSettings">
        <DigestMethod Algorithm="http://www.w3.org/2001/04/xmlenc#sha256"/>
        <DigestValue>SPF/FHS+ok54et8x/6W5DZSuaRKB115cungwiDL1vHE=</DigestValue>
      </Reference>
      <Reference URI="/xl/printerSettings/printerSettings2.bin?ContentType=application/vnd.openxmlformats-officedocument.spreadsheetml.printerSettings">
        <DigestMethod Algorithm="http://www.w3.org/2001/04/xmlenc#sha256"/>
        <DigestValue>OK6kol4m4Ov3EH90pVih+9VBygj8HzcPOO/D9DQPQMk=</DigestValue>
      </Reference>
      <Reference URI="/xl/printerSettings/printerSettings3.bin?ContentType=application/vnd.openxmlformats-officedocument.spreadsheetml.printerSettings">
        <DigestMethod Algorithm="http://www.w3.org/2001/04/xmlenc#sha256"/>
        <DigestValue>z/NXaXHdtKEP+ogCmiCai0gz3Gf4/ZEDtYScnM0YF3w=</DigestValue>
      </Reference>
      <Reference URI="/xl/printerSettings/printerSettings4.bin?ContentType=application/vnd.openxmlformats-officedocument.spreadsheetml.printerSettings">
        <DigestMethod Algorithm="http://www.w3.org/2001/04/xmlenc#sha256"/>
        <DigestValue>z/NXaXHdtKEP+ogCmiCai0gz3Gf4/ZEDtYScnM0YF3w=</DigestValue>
      </Reference>
      <Reference URI="/xl/printerSettings/printerSettings5.bin?ContentType=application/vnd.openxmlformats-officedocument.spreadsheetml.printerSettings">
        <DigestMethod Algorithm="http://www.w3.org/2001/04/xmlenc#sha256"/>
        <DigestValue>z/NXaXHdtKEP+ogCmiCai0gz3Gf4/ZEDtYScnM0YF3w=</DigestValue>
      </Reference>
      <Reference URI="/xl/printerSettings/printerSettings6.bin?ContentType=application/vnd.openxmlformats-officedocument.spreadsheetml.printerSettings">
        <DigestMethod Algorithm="http://www.w3.org/2001/04/xmlenc#sha256"/>
        <DigestValue>DmzRUDHyak2C3QlRyA68pjzANzWMfUAlTgzHumKgOAM=</DigestValue>
      </Reference>
      <Reference URI="/xl/sharedStrings.xml?ContentType=application/vnd.openxmlformats-officedocument.spreadsheetml.sharedStrings+xml">
        <DigestMethod Algorithm="http://www.w3.org/2001/04/xmlenc#sha256"/>
        <DigestValue>3+uhN//d0cljIz0jQhabhs46y2b2fTyUg1LlZ1RmPkE=</DigestValue>
      </Reference>
      <Reference URI="/xl/styles.xml?ContentType=application/vnd.openxmlformats-officedocument.spreadsheetml.styles+xml">
        <DigestMethod Algorithm="http://www.w3.org/2001/04/xmlenc#sha256"/>
        <DigestValue>IEPPGhhVsXGd4PBIgQ1yoKpF93sl4WnW8+vW+IC5rY0=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SbreDzHGaBv2s33HKafUE7ePxehOcRYD0p+0a4NfANQ=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1pSe2Qn2j3x88Sq+VWnxDFm/biUhcT+dHNdjw90avDs=</DigestValue>
      </Reference>
      <Reference URI="/xl/worksheets/sheet2.xml?ContentType=application/vnd.openxmlformats-officedocument.spreadsheetml.worksheet+xml">
        <DigestMethod Algorithm="http://www.w3.org/2001/04/xmlenc#sha256"/>
        <DigestValue>a06TSua1f3ZZGvsgds9YR50eB/sWMfcC00TZ6FBydbI=</DigestValue>
      </Reference>
      <Reference URI="/xl/worksheets/sheet3.xml?ContentType=application/vnd.openxmlformats-officedocument.spreadsheetml.worksheet+xml">
        <DigestMethod Algorithm="http://www.w3.org/2001/04/xmlenc#sha256"/>
        <DigestValue>ZF/dRJg0Fhchj8kOlTeXCAxYp3gAggNpR/oOtDODpT4=</DigestValue>
      </Reference>
      <Reference URI="/xl/worksheets/sheet4.xml?ContentType=application/vnd.openxmlformats-officedocument.spreadsheetml.worksheet+xml">
        <DigestMethod Algorithm="http://www.w3.org/2001/04/xmlenc#sha256"/>
        <DigestValue>5XngUGyqPkCO/2velWB5kjkwXVSKKQ0wJ/40V8zbR5A=</DigestValue>
      </Reference>
      <Reference URI="/xl/worksheets/sheet5.xml?ContentType=application/vnd.openxmlformats-officedocument.spreadsheetml.worksheet+xml">
        <DigestMethod Algorithm="http://www.w3.org/2001/04/xmlenc#sha256"/>
        <DigestValue>wZtxJtogZj3s4YMToTkNgiaDEOqdX7bcdmsn9sYRIdA=</DigestValue>
      </Reference>
      <Reference URI="/xl/worksheets/sheet6.xml?ContentType=application/vnd.openxmlformats-officedocument.spreadsheetml.worksheet+xml">
        <DigestMethod Algorithm="http://www.w3.org/2001/04/xmlenc#sha256"/>
        <DigestValue>aKMv/6L7XWFgz0vv7kvXNUS06GyDutS+qasaey9sOao=</DigestValue>
      </Reference>
    </Manifest>
    <SignatureProperties>
      <SignatureProperty Id="idSignatureTime" Target="#idPackageSignature">
        <mdssi:SignatureTime xmlns:mdssi="http://schemas.openxmlformats.org/package/2006/digital-signature">
          <mdssi:Format>YYYY-MM-DDThh:mm:ssTZD</mdssi:Format>
          <mdssi:Value>2024-12-05T12:50:22Z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2024-12-05T12:50:22Z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Khac_06030</vt:lpstr>
      <vt:lpstr>BCHoatDongVay_06026</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2024-12-05T12:50:20Z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