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6.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W:\GTO_SSO_FSVN_Financial Reports\BAU\2026\1. Jan\Yearly\Digital file\Not signed\"/>
    </mc:Choice>
  </mc:AlternateContent>
  <xr:revisionPtr revIDLastSave="0" documentId="13_ncr:1_{D0C74941-DE58-4D19-874B-DE07A065F869}" xr6:coauthVersionLast="47" xr6:coauthVersionMax="47" xr10:uidLastSave="{00000000-0000-0000-0000-000000000000}"/>
  <bookViews>
    <workbookView xWindow="-110" yWindow="-110" windowWidth="19420" windowHeight="10300" firstSheet="6" activeTab="11" xr2:uid="{00000000-000D-0000-FFFF-FFFF00000000}"/>
  </bookViews>
  <sheets>
    <sheet name="TONGQUAN" sheetId="1" r:id="rId1"/>
    <sheet name="BCHoatDongVay_06026" sheetId="45" r:id="rId2"/>
    <sheet name="BCTaiSan_06027" sheetId="43" r:id="rId3"/>
    <sheet name="BCKetQuaHoatDong_06028" sheetId="29" r:id="rId4"/>
    <sheet name="BCDanhMucDauTu_06029" sheetId="44" r:id="rId5"/>
    <sheet name="Khac_06030" sheetId="32" r:id="rId6"/>
    <sheet name="BCTinhHinhTaiChinh_06105" sheetId="42" r:id="rId7"/>
    <sheet name="GTTSRong_06107" sheetId="36" r:id="rId8"/>
    <sheet name="BCDMDT_06108" sheetId="37" r:id="rId9"/>
    <sheet name="BCLCGT_06262" sheetId="38" r:id="rId10"/>
    <sheet name="BCThuNhap_06104" sheetId="39" r:id="rId11"/>
    <sheet name="ThongKePhiGiaoDich_06145" sheetId="46" r:id="rId12"/>
  </sheets>
  <definedNames>
    <definedName name="_xlnm._FilterDatabase" localSheetId="4" hidden="1">BCDanhMucDauTu_06029!$A$18:$J$18</definedName>
    <definedName name="_xlnm._FilterDatabase" localSheetId="8" hidden="1">BCDMDT_06108!$A$16:$G$16</definedName>
    <definedName name="_xlnm._FilterDatabase" localSheetId="3" hidden="1">BCKetQuaHoatDong_06028!$A$18:$H$89</definedName>
    <definedName name="_xlnm._FilterDatabase" localSheetId="9" hidden="1">BCLCGT_06262!$A$17:$F$61</definedName>
    <definedName name="_xlnm._FilterDatabase" localSheetId="2" hidden="1">BCTaiSan_06027!$A$18:$F$18</definedName>
    <definedName name="_xlnm._FilterDatabase" localSheetId="10" hidden="1">BCThuNhap_06104!$A$16:$H$77</definedName>
    <definedName name="_xlnm._FilterDatabase" localSheetId="6" hidden="1">BCTinhHinhTaiChinh_06105!$A$16:$H$120</definedName>
    <definedName name="_xlnm._FilterDatabase" localSheetId="7" hidden="1">GTTSRong_06107!$A$18:$I$18</definedName>
    <definedName name="_xlnm._FilterDatabase" localSheetId="5" hidden="1">Khac_06030!$A$18:$F$18</definedName>
    <definedName name="addlogo">INDEX(#REF!,MATCH(#REF!,#REF!,0))</definedName>
    <definedName name="_xlnm.Print_Area" localSheetId="0">TONGQUAN!$A$1:$K$34</definedName>
    <definedName name="_xlnm.Print_Titles" localSheetId="4">BCDanhMucDauTu_06029!$18:$18</definedName>
    <definedName name="_xlnm.Print_Titles" localSheetId="3">BCKetQuaHoatDong_06028!$18:$18</definedName>
    <definedName name="_xlnm.Print_Titles" localSheetId="9">BCLCGT_06262!$17:$17</definedName>
    <definedName name="_xlnm.Print_Titles" localSheetId="2">BCTaiSan_06027!$18:$18</definedName>
    <definedName name="_xlnm.Print_Titles" localSheetId="10">BCThuNhap_06104!$16:$17</definedName>
    <definedName name="_xlnm.Print_Titles" localSheetId="6">BCTinhHinhTaiChinh_06105!$16:$16</definedName>
    <definedName name="_xlnm.Print_Titles" localSheetId="5">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8" i="46" l="1"/>
  <c r="F27" i="46"/>
  <c r="F26" i="46"/>
  <c r="F25" i="46"/>
  <c r="F24" i="46"/>
  <c r="F23" i="46"/>
  <c r="F22" i="46"/>
</calcChain>
</file>

<file path=xl/sharedStrings.xml><?xml version="1.0" encoding="utf-8"?>
<sst xmlns="http://schemas.openxmlformats.org/spreadsheetml/2006/main" count="2001" uniqueCount="1422">
  <si>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</si>
  <si>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</si>
  <si>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</si>
  <si>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</si>
  <si>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</si>
  <si>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</si>
  <si>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</si>
  <si>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</si>
  <si>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</si>
  <si>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</si>
  <si>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</si>
  <si>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</si>
  <si>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</si>
  <si>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</si>
  <si>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</si>
  <si>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</si>
  <si>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</si>
  <si>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</si>
  <si>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</si>
  <si>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</si>
  <si>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</si>
  <si>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</si>
  <si>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</si>
  <si>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II.1</t>
  </si>
  <si>
    <t>II.2</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</si>
  <si>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</si>
  <si>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</si>
  <si>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</si>
  <si>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</si>
  <si>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</si>
  <si>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</si>
  <si>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</si>
  <si>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</si>
  <si>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</si>
  <si>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</si>
  <si>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</si>
  <si>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</si>
  <si>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</si>
  <si>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</si>
  <si>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</si>
  <si>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</si>
  <si>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</si>
  <si>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</si>
  <si>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</si>
  <si>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</si>
  <si>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</si>
  <si>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</si>
  <si>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</si>
  <si>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</si>
  <si>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</si>
  <si>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</si>
  <si>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</si>
  <si>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</si>
  <si>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</si>
  <si>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</si>
  <si>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</si>
  <si>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</si>
  <si>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</si>
  <si>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</si>
  <si>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</si>
  <si>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</si>
  <si>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</si>
  <si>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</si>
  <si>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</si>
  <si>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</si>
  <si>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</si>
  <si>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</si>
  <si>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</si>
  <si>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</si>
  <si>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</si>
  <si>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</si>
  <si>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</si>
  <si>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</si>
  <si>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</si>
  <si>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</si>
  <si>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</si>
  <si>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</si>
  <si>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</si>
  <si>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</si>
  <si>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</si>
  <si>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</si>
  <si>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</si>
  <si>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</si>
  <si>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</si>
  <si>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</si>
  <si>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</si>
  <si>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</si>
  <si>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</si>
  <si>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</si>
  <si>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</si>
  <si>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</si>
  <si>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</si>
  <si>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</si>
  <si>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</si>
  <si>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</si>
  <si>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</si>
  <si>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</si>
  <si>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</si>
  <si>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</si>
  <si>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</si>
  <si>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</si>
  <si>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</si>
  <si>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</si>
  <si>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</si>
  <si>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</si>
  <si>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</si>
  <si>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</si>
  <si>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STT/No.</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</si>
  <si>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</si>
  <si>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</si>
  <si>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</si>
  <si>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</si>
  <si>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</si>
  <si>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</si>
  <si>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</si>
  <si>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</si>
  <si>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</si>
  <si>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</si>
  <si>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</si>
  <si>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</si>
  <si>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</si>
  <si>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</si>
  <si>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</si>
  <si>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</si>
  <si>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</si>
  <si>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</si>
  <si>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</si>
  <si>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</si>
  <si>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</si>
  <si>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</si>
  <si>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</si>
  <si>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</si>
  <si>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</si>
  <si>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</si>
  <si>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</si>
  <si>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</si>
  <si>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</si>
  <si>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</si>
  <si>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</si>
  <si>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</si>
  <si>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</si>
  <si>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</si>
  <si>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</si>
  <si>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</si>
  <si>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</si>
  <si>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</si>
  <si>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</si>
  <si>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</si>
  <si>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</si>
  <si>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I. Giá trị tài sản ròng của Quỹ mở (NAV) đầu kỳ
Net Asset Value (NAV) at the beginning of period</t>
  </si>
  <si>
    <t>4060</t>
  </si>
  <si>
    <t>II. Thay đổi NAV so với kỳ trước (= II.1 + II.2), 
trong đó:
Change of NAV during the period (= II.1 + II.2),
of which:</t>
  </si>
  <si>
    <t>4061</t>
  </si>
  <si>
    <t>II.1 Thay đổi NAV do biến động thị trường và hoạt động giao dịch của Quỹ mở trong kỳ
Changes of NAV due to market fluctuation and the fund's investment during the period</t>
  </si>
  <si>
    <t>4062</t>
  </si>
  <si>
    <t>4063</t>
  </si>
  <si>
    <t>III. Thay đổi NAV do mua lại, phát hành thêm Chứng chỉ quỹ (= III.1 + III.2)
Change of NAV due to redemption, subscription of Fund Certificate (= III.1 + III.2)</t>
  </si>
  <si>
    <t>4064</t>
  </si>
  <si>
    <t>III.1</t>
  </si>
  <si>
    <t>III.1 Khoản thu từ việc phát hành bổ sung Chứng chỉ quỹ
Increase from Subscription of Fund Certificate</t>
  </si>
  <si>
    <t>4065</t>
  </si>
  <si>
    <t>III.2</t>
  </si>
  <si>
    <t>III.2 Khoản thanh toán từ việc mua lại Chứng chỉ quỹ
Decrease from Redemption of Fund Certificate</t>
  </si>
  <si>
    <t>4066</t>
  </si>
  <si>
    <t>4067</t>
  </si>
  <si>
    <t>4067.1</t>
  </si>
  <si>
    <t>BÁO CÁO THU NHẬP
STATEMENT OF COMPREHENSIVE INCOME</t>
  </si>
  <si>
    <t>Chỉ tiêu
Indicator</t>
  </si>
  <si>
    <t>Mã số
Code</t>
  </si>
  <si>
    <t>Thuyết minh
Note</t>
  </si>
  <si>
    <t>01</t>
  </si>
  <si>
    <t>02</t>
  </si>
  <si>
    <t>03</t>
  </si>
  <si>
    <t>03.1</t>
  </si>
  <si>
    <t>03.2</t>
  </si>
  <si>
    <t>04</t>
  </si>
  <si>
    <t>05</t>
  </si>
  <si>
    <t>06</t>
  </si>
  <si>
    <t>07</t>
  </si>
  <si>
    <t>08</t>
  </si>
  <si>
    <t>09</t>
  </si>
  <si>
    <t>10</t>
  </si>
  <si>
    <t>2.1. Chi phí giao dịch mua, bán các khoản đầu tư
Expense for purchasing and selling investments</t>
  </si>
  <si>
    <t>11</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</si>
  <si>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</si>
  <si>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</si>
  <si>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</si>
  <si>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</si>
  <si>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</si>
  <si>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</si>
  <si>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</si>
  <si>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</si>
  <si>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</si>
  <si>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</si>
  <si>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</si>
  <si>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</si>
  <si>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</si>
  <si>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</si>
  <si>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</si>
  <si>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</si>
  <si>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</si>
  <si>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</si>
  <si>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</si>
  <si>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</si>
  <si>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</si>
  <si>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</si>
  <si>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</si>
  <si>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</si>
  <si>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</si>
  <si>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</si>
  <si>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</si>
  <si>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</si>
  <si>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</si>
  <si>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</si>
  <si>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</si>
  <si>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</si>
  <si>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</si>
  <si>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</si>
  <si>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</si>
  <si>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</si>
  <si>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</si>
  <si>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</si>
  <si>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</si>
  <si>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</si>
  <si>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</si>
  <si>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</si>
  <si>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</si>
  <si>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</si>
  <si>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</si>
  <si>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</si>
  <si>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</si>
  <si>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</si>
  <si>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</si>
  <si>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</si>
  <si>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</si>
  <si>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</si>
  <si>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</si>
  <si>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</si>
  <si>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</si>
  <si>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30</t>
  </si>
  <si>
    <t>6.1. Lợi nhuận/(lỗ) đã thực hiện
Realized profit (losses)</t>
  </si>
  <si>
    <t>31</t>
  </si>
  <si>
    <t>6.2. Lợi nhận/(lỗ) chưa thực hiện
Unrealized profit (losses)</t>
  </si>
  <si>
    <t>32</t>
  </si>
  <si>
    <t>VII. CHI PHÍ THUẾ TNDN
CORPORATE INCOME TAX</t>
  </si>
  <si>
    <t>40</t>
  </si>
  <si>
    <t>41</t>
  </si>
  <si>
    <t>Người lập:</t>
  </si>
  <si>
    <t xml:space="preserve">             Người duyệt:</t>
  </si>
  <si>
    <t>BÁO  CÁO TÌNH HÌNH TÀI CHÍNH
STATEMENT OF FINANCIAL POSITION</t>
  </si>
  <si>
    <t>STT
No.</t>
  </si>
  <si>
    <t>BÁO CÁO LƯU CHUYỂN TIỀN TỆ
CASH FLOW STATEMENT</t>
  </si>
  <si>
    <t>2. Điều chỉnh cho các khoản tăng giá trị tài sản ròng từ các hoạt động đầu tư
Adjustment for NAV increase from investing activities</t>
  </si>
  <si>
    <t>3. Lợi nhuận từ hoạt động đầu tư trước thay đổi vốn lưu động
Profit from investing activities before changes in working capital</t>
  </si>
  <si>
    <t>(-) Tăng, (+) giảm phải thu bán chứng khoán đầu tư
(Increase), Decrease in Receivables from investments sold but not yet settled</t>
  </si>
  <si>
    <t>(-) Tăng, (+) giảm dự thu phải thu tiền lãi các khoản đầu tư
(Increase), Decrease in Dividend and interest receivables</t>
  </si>
  <si>
    <t>(+) Tăng, (-) giảm phải trả cho người bán
(Decrease), Increase in payables for securities purchased but not yet settled</t>
  </si>
  <si>
    <t>(+) Tăng, (-) giảm phải trả các Đại lý phân phối Chứng chỉ quỹ, Công ty Quản lý Quỹ
(Decrease)/increase in subscription and redemption fee payable to distributors and Fund Management Company</t>
  </si>
  <si>
    <t>16</t>
  </si>
  <si>
    <t>17</t>
  </si>
  <si>
    <t>(+) Tăng, (-) giảm Thuế Thu nhập doanh nghiệp đã nộp
Increase, (Decrease) Income Tax Payment</t>
  </si>
  <si>
    <t>18</t>
  </si>
  <si>
    <t>19</t>
  </si>
  <si>
    <t>33</t>
  </si>
  <si>
    <t>34</t>
  </si>
  <si>
    <t>35</t>
  </si>
  <si>
    <t>50</t>
  </si>
  <si>
    <t>51</t>
  </si>
  <si>
    <t>52</t>
  </si>
  <si>
    <t>52.1</t>
  </si>
  <si>
    <t>52.2</t>
  </si>
  <si>
    <t>52.3</t>
  </si>
  <si>
    <t>53</t>
  </si>
  <si>
    <t>54</t>
  </si>
  <si>
    <t>55</t>
  </si>
  <si>
    <t>56</t>
  </si>
  <si>
    <t>57</t>
  </si>
  <si>
    <t>57.1</t>
  </si>
  <si>
    <t>57.2</t>
  </si>
  <si>
    <t>57.3</t>
  </si>
  <si>
    <t>58</t>
  </si>
  <si>
    <t>59</t>
  </si>
  <si>
    <t>60</t>
  </si>
  <si>
    <t>80</t>
  </si>
  <si>
    <t>03.3</t>
  </si>
  <si>
    <t>2222.3</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</si>
  <si>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</si>
  <si>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</si>
  <si>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</si>
  <si>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</si>
  <si>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</si>
  <si>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</si>
  <si>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</si>
  <si>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</si>
  <si>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</si>
  <si>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</si>
  <si>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</si>
  <si>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</si>
  <si>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</si>
  <si>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</si>
  <si>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</si>
  <si>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</si>
  <si>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</si>
  <si>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</si>
  <si>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</si>
  <si>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</si>
  <si>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</si>
  <si>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</si>
  <si>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</si>
  <si>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</si>
  <si>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</si>
  <si>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II.2 Thay đổi NAV do phân chia Lợi nhuận/Tài sản của Quỹ mở cho Nhà đầu tư trong kỳ
Change of NAV due to profit/asset distribution to investors during the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</si>
  <si>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</si>
  <si>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</si>
  <si>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</si>
  <si>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</si>
  <si>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</si>
  <si>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</si>
  <si>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</si>
  <si>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</si>
  <si>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Phí niêm yết
Listing fee</t>
  </si>
  <si>
    <t>5.2. Chi phí khác
Other expenses</t>
  </si>
  <si>
    <t xml:space="preserve">V. Giá trị tài sản ròng trên một đơn vị quỹ cuối kỳ
NAV per unit at the end of period </t>
  </si>
  <si>
    <t>1. Lợi nhuận trước Thuế thu nhập doanh nghiệp
Profit before income tax</t>
  </si>
  <si>
    <t>(-) Tăng, (+) giảm các khoản phải thu khác
 (Increase), Decrease in other receivables</t>
  </si>
  <si>
    <t>Lưu chuyển tiền thuần từ hoạt động đầu tư (1+2+3)
Net Cash flow from Investing activities</t>
  </si>
  <si>
    <t>II. Lưu chuyển tiền từ hoạt động tài chính 
Cash flow from financing activities</t>
  </si>
  <si>
    <t>3. Tiền vay gốc 
Principal of borrowings</t>
  </si>
  <si>
    <t>4. Tiền chi trả nợ gốc vay 
Payment of Principal borrowings</t>
  </si>
  <si>
    <t>III. Tăng/giảm tiền thuần trong kỳ 
Net Increase/Decrease in cash and cash equivalent for the period</t>
  </si>
  <si>
    <t>IV. Tiền và các khoản tương đương tiền đầu kỳ 
Cash and cash equivalents at the beginning of period</t>
  </si>
  <si>
    <t>- Tiền gửi phong tỏa
Frozen Account</t>
  </si>
  <si>
    <t>V. Tiền và các khoản tương đương tiền cuối kỳ 
Cash and cash equivalents at the end of period</t>
  </si>
  <si>
    <t xml:space="preserve">- Tiền gửi phong tỏa
Frozen Account </t>
  </si>
  <si>
    <t>VI. Thay đổi Tiền và các khoản tương đương tiền trong kỳ
Changes in cash and cash equivalents in the period</t>
  </si>
  <si>
    <t>Khác
Others</t>
  </si>
  <si>
    <t>Lãi hợp đồng mua lại đảo ngược
Interest income from reverse repo contracts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</si>
  <si>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</si>
  <si>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</si>
  <si>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</si>
  <si>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</si>
  <si>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</si>
  <si>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</si>
  <si>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</si>
  <si>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</si>
  <si>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</si>
  <si>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</si>
  <si>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</si>
  <si>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</si>
  <si>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</si>
  <si>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</si>
  <si>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</si>
  <si>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BÁO CÁO THAY ĐỔI GIÁ TRỊ TÀI SẢN RÒNG, GIAO DỊCH CHỨNG CHỈ QUỸ
REPORT ON CHANGE OF NET ASSET VALUE, TRADING OF FUND CERTIFICATE</t>
  </si>
  <si>
    <t>Nội dung
Item</t>
  </si>
  <si>
    <t>IV. Giá trị tài sản ròng của Quỹ mở cuối kỳ 
(= I + II + III) 
NAV at the end of period (= I + II + III)</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</si>
  <si>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</si>
  <si>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</si>
  <si>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</si>
  <si>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</si>
  <si>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</si>
  <si>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</si>
  <si>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</si>
  <si>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</si>
  <si>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</si>
  <si>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</si>
  <si>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</si>
  <si>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BÁO CÁO DANH MỤC ĐẦU TƯ CỦA QUỸ
STATEMENT OF INVESTMENT PORTFOLIO</t>
  </si>
  <si>
    <t>(- Lãi) hoặc (+ lỗ) chênh lệch tỷ giá hối đoái/ đánh giá lại các khoản đầu tư chưa thực hiện
Unreliased (Gain) or Loss from FX valuation/Investment revaluation</t>
  </si>
  <si>
    <t>(+) Chi phí trích trước
Increase of Accrued Expenses</t>
  </si>
  <si>
    <t>(-) Tăng, (+) giảm đầu tư
(Increase), Decrease Investments</t>
  </si>
  <si>
    <t>(+) Tăng, (-) giảm vay ngắn hạn
Increase, (Decrease) in Short-term Loans</t>
  </si>
  <si>
    <t>(+) Tăng, (-) giảm phải trả thu nhập cho Nhà đầu tư
Increase, (Decrease) in profit distribution payables to investors</t>
  </si>
  <si>
    <t>(+) Tăng, (-) giảm Thuế và các khoản phải nộp Nhà nước
Increase, (Decrease) in Tax payables and obligations to the State Budget</t>
  </si>
  <si>
    <t>(+) Tăng, (-) giảm phải trả cho Nhà đầu tư về mua Chứng chỉ quỹ
Increase, (Decrease) in Subscription Payable to investors</t>
  </si>
  <si>
    <t>(+) Tăng, (-) giảm phải trả cho Nhà đầu tư về mua lại Chứng chỉ quỹ
Increase, (Decrease) in Redemption payable to investors</t>
  </si>
  <si>
    <t>(+) Tăng, (-) giảm phải trả, phải nộp khác
Increase, (Decrease) in Other payables</t>
  </si>
  <si>
    <t>(+) Tăng, (-) giảm Phải trả dịch vụ quản lý Quỹ mở
Increase, (Decrease) in Fees payable to related service providers</t>
  </si>
  <si>
    <t>1. Tiền thu từ phát hành Chứng chỉ quỹ mở 
Receipts from subscriptions</t>
  </si>
  <si>
    <t>2. Tiền chi mua lại Chứng chỉ quỹ mở 
Payments for redemptions</t>
  </si>
  <si>
    <t>5. Tiền chi trả cổ tức, tiền lãi cho nhà đầu tư
Dividend, profit distribution paid to investors</t>
  </si>
  <si>
    <t>Lưu chuyển tiền thuần từ hoạt động tài chính
(1-2+3-4-5) 
Net cash outflows from financing activities</t>
  </si>
  <si>
    <t>Tiền gửi ngân hàng đầu kỳ: 
Cash at bank of the beginning of period:</t>
  </si>
  <si>
    <t>-Tiền gửi ngân hàng và tương đương tiền cho hoạt động của Quỹ 
Cash at bank and cash equivalent for Fund's operation</t>
  </si>
  <si>
    <t>Tiền gửi không kỳ hạn
Demand deposit</t>
  </si>
  <si>
    <t>Tiền gửi ngân hàng cuối kỳ: 
Cash at bank of the end of period:</t>
  </si>
  <si>
    <t>1</t>
  </si>
  <si>
    <t>110</t>
  </si>
  <si>
    <t>1.1</t>
  </si>
  <si>
    <t>111</t>
  </si>
  <si>
    <t/>
  </si>
  <si>
    <t>111.1</t>
  </si>
  <si>
    <t>111.2</t>
  </si>
  <si>
    <t>111.3</t>
  </si>
  <si>
    <t>111.4</t>
  </si>
  <si>
    <t>1.2</t>
  </si>
  <si>
    <t>112</t>
  </si>
  <si>
    <t>2</t>
  </si>
  <si>
    <t>120</t>
  </si>
  <si>
    <t>2.1</t>
  </si>
  <si>
    <t>121</t>
  </si>
  <si>
    <t>121.1</t>
  </si>
  <si>
    <t>121.2</t>
  </si>
  <si>
    <t>121.3</t>
  </si>
  <si>
    <t>121.4</t>
  </si>
  <si>
    <t>121.5</t>
  </si>
  <si>
    <t>121.6</t>
  </si>
  <si>
    <t>121.7</t>
  </si>
  <si>
    <t>121.8</t>
  </si>
  <si>
    <t>121.9</t>
  </si>
  <si>
    <t>121.10</t>
  </si>
  <si>
    <t>2.2</t>
  </si>
  <si>
    <t>122</t>
  </si>
  <si>
    <t>3</t>
  </si>
  <si>
    <t>130</t>
  </si>
  <si>
    <t>3.1</t>
  </si>
  <si>
    <t>131</t>
  </si>
  <si>
    <t>132</t>
  </si>
  <si>
    <t>3.2</t>
  </si>
  <si>
    <t>133</t>
  </si>
  <si>
    <t>3.2.1</t>
  </si>
  <si>
    <t>134</t>
  </si>
  <si>
    <t>134.1</t>
  </si>
  <si>
    <t>134.2</t>
  </si>
  <si>
    <t>134.3</t>
  </si>
  <si>
    <t>134.4</t>
  </si>
  <si>
    <t>134.5</t>
  </si>
  <si>
    <t>135</t>
  </si>
  <si>
    <t>3.2.2</t>
  </si>
  <si>
    <t>136</t>
  </si>
  <si>
    <t>136.1</t>
  </si>
  <si>
    <t>136.2</t>
  </si>
  <si>
    <t>136.3</t>
  </si>
  <si>
    <t>136.4</t>
  </si>
  <si>
    <t>136.5</t>
  </si>
  <si>
    <t>136.6</t>
  </si>
  <si>
    <t>3.3</t>
  </si>
  <si>
    <t>137</t>
  </si>
  <si>
    <t>137.1</t>
  </si>
  <si>
    <t>137.2</t>
  </si>
  <si>
    <t>137.3</t>
  </si>
  <si>
    <t>3.4</t>
  </si>
  <si>
    <t>138</t>
  </si>
  <si>
    <t>100</t>
  </si>
  <si>
    <t>311</t>
  </si>
  <si>
    <t>311.1</t>
  </si>
  <si>
    <t>311.2</t>
  </si>
  <si>
    <t>312</t>
  </si>
  <si>
    <t>313</t>
  </si>
  <si>
    <t>313.1</t>
  </si>
  <si>
    <t>313.2</t>
  </si>
  <si>
    <t>4</t>
  </si>
  <si>
    <t>314</t>
  </si>
  <si>
    <t>5</t>
  </si>
  <si>
    <t>315</t>
  </si>
  <si>
    <t>6</t>
  </si>
  <si>
    <t>316</t>
  </si>
  <si>
    <t>316.1</t>
  </si>
  <si>
    <t>316.1.1</t>
  </si>
  <si>
    <t>316.1.2</t>
  </si>
  <si>
    <t>316.2</t>
  </si>
  <si>
    <t>316.3</t>
  </si>
  <si>
    <t>316.4</t>
  </si>
  <si>
    <t>316.5</t>
  </si>
  <si>
    <t>316.6</t>
  </si>
  <si>
    <t>316.7</t>
  </si>
  <si>
    <t>7</t>
  </si>
  <si>
    <t>317</t>
  </si>
  <si>
    <t>317.1</t>
  </si>
  <si>
    <t>317.2</t>
  </si>
  <si>
    <t>8</t>
  </si>
  <si>
    <t>318</t>
  </si>
  <si>
    <t>9</t>
  </si>
  <si>
    <t>319</t>
  </si>
  <si>
    <t>319.1</t>
  </si>
  <si>
    <t>319.2</t>
  </si>
  <si>
    <t>319.2.1</t>
  </si>
  <si>
    <t>319.2.2</t>
  </si>
  <si>
    <t>319.2.3</t>
  </si>
  <si>
    <t>319.3</t>
  </si>
  <si>
    <t>319.4</t>
  </si>
  <si>
    <t>319.5</t>
  </si>
  <si>
    <t>319.6</t>
  </si>
  <si>
    <t>319.7</t>
  </si>
  <si>
    <t>320</t>
  </si>
  <si>
    <t>320.1</t>
  </si>
  <si>
    <t>320.2</t>
  </si>
  <si>
    <t>320.3</t>
  </si>
  <si>
    <t>320.4</t>
  </si>
  <si>
    <t>320.5</t>
  </si>
  <si>
    <t>300</t>
  </si>
  <si>
    <t>400</t>
  </si>
  <si>
    <t>411</t>
  </si>
  <si>
    <t>412</t>
  </si>
  <si>
    <t>413</t>
  </si>
  <si>
    <t>414</t>
  </si>
  <si>
    <t>420</t>
  </si>
  <si>
    <t>420.1</t>
  </si>
  <si>
    <t>420.2</t>
  </si>
  <si>
    <t>430</t>
  </si>
  <si>
    <t>440</t>
  </si>
  <si>
    <t>441</t>
  </si>
  <si>
    <t>442</t>
  </si>
  <si>
    <t>001</t>
  </si>
  <si>
    <t>002</t>
  </si>
  <si>
    <t>003</t>
  </si>
  <si>
    <t>004</t>
  </si>
  <si>
    <t>VI. TỔNG LỢI NHUẬN KẾ TOÁN TRƯỚC THUẾ 
PROFIT BEFORE TAX (30=23+24)</t>
  </si>
  <si>
    <t>VIII. LỢI NHUẬN KẾ TOÁN SAU THUẾ TNDN 
PROFIT AFTER TAX (41=30-40)</t>
  </si>
  <si>
    <t>Fund name:</t>
  </si>
  <si>
    <t>2287</t>
  </si>
  <si>
    <t>2288</t>
  </si>
  <si>
    <t>_____________________________</t>
  </si>
  <si>
    <t>_______________________________________</t>
  </si>
  <si>
    <t>_____________________</t>
  </si>
  <si>
    <t>____________________________________</t>
  </si>
  <si>
    <t>________________________</t>
  </si>
  <si>
    <t>__________________________________</t>
  </si>
  <si>
    <t>______________________________________</t>
  </si>
  <si>
    <t>_______________________________</t>
  </si>
  <si>
    <t>______________________</t>
  </si>
  <si>
    <t>_________________________________</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</si>
  <si>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</si>
  <si>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</si>
  <si>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</si>
  <si>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</si>
  <si>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</si>
  <si>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</si>
  <si>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</si>
  <si>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</si>
  <si>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dịch vụ lưu ký - bảo quản tài sản
Custodian service - Safe Custody Fee</t>
  </si>
  <si>
    <t>Chi phí dịch vụ lưu ký - giao dịch chứng khoán
Custodian service - Transaction fee</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</si>
  <si>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</si>
  <si>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</si>
  <si>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</si>
  <si>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</si>
  <si>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</si>
  <si>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</si>
  <si>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</si>
  <si>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</si>
  <si>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</si>
  <si>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</si>
  <si>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</si>
  <si>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</si>
  <si>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</si>
  <si>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</si>
  <si>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</si>
  <si>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</si>
  <si>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</si>
  <si>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</si>
  <si>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</si>
  <si>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</si>
  <si>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</si>
  <si>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</si>
  <si>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</si>
  <si>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</si>
  <si>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</si>
  <si>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</si>
  <si>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</si>
  <si>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</si>
  <si>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</si>
  <si>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</si>
  <si>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</si>
  <si>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</si>
  <si>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</si>
  <si>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</si>
  <si>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</si>
  <si>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</si>
  <si>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</si>
  <si>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</si>
  <si>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</si>
  <si>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</si>
  <si>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</si>
  <si>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BÁO CÁO VỀ HOẠT ĐỘNG ĐẦU TƯ
REPORT ON INVESTMENT ACTIVITIES</t>
  </si>
  <si>
    <t>Fund Management Company</t>
  </si>
  <si>
    <t>THỐNG KÊ PHÍ GIAO DỊCH /REPORT ON BROKER FEE</t>
  </si>
  <si>
    <t>Số thứ tự
No.</t>
  </si>
  <si>
    <t>Tên (mã) các công ty chứng khoán (có giá trị giao dịch vượt quá 5% tổng giá trị giao dịch kỳ báo cáo)
Name (code) of securities companies (with transaction value exceeding 5% of the Fund’s total transaction value for the year)</t>
  </si>
  <si>
    <t>Quan hệ với công ty quản lý quỹ
Relationship with the Fund Management Company</t>
  </si>
  <si>
    <t>Tỷ lệ giao dịch của quỹ/công ty tại từng công ty chứng khoán</t>
  </si>
  <si>
    <t>Giá trị giao dịch trong kỳ báo cáo của quỹ
Fund’s transaction value for the year with each securities company</t>
  </si>
  <si>
    <t xml:space="preserve">Tổng giá trị giao dịch trong kỳ báo cáo của quỹ
Fund’s total transaction value for the year
</t>
  </si>
  <si>
    <t>Tỷ lệ giao dịch của quỹ qua công ty chứng khoán trong kỳ báo cáo
Percentage of the Fund’s total transaction value for the year</t>
  </si>
  <si>
    <t>(1)</t>
  </si>
  <si>
    <t>(2)</t>
  </si>
  <si>
    <t>(3)</t>
  </si>
  <si>
    <t>(4)</t>
  </si>
  <si>
    <t>(5)</t>
  </si>
  <si>
    <t>(6) = (4)/(5)%</t>
  </si>
  <si>
    <t>(7)</t>
  </si>
  <si>
    <t>(8)</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</si>
  <si>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</si>
  <si>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</si>
  <si>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</si>
  <si>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</si>
  <si>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</si>
  <si>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Ghi chú:
Note:</t>
  </si>
  <si>
    <t>Giá dịch vụ giao dịch bình quân
Average transaction fee rate</t>
  </si>
  <si>
    <t>Giá dịch vụ giao dịch bình quân trên thị trường
Market average transaction fee rate</t>
  </si>
  <si>
    <t>Mẫu số B02 - QM. Báo cáo tình hình tài chính
Template B02 - QM. Statement of Financial Position</t>
  </si>
  <si>
    <t>(Ban hành kèm theo Thông tư 198/2012/TT-BTC ngày 15 tháng 11 năm 2012 về chế độ kế toán áp dụng đối với quỹ mở) 
(Issued in association with Circular 198/2012/TT-BTC dated 15 Nov 2012 on the Accounting Policies for Open-Ended Fund)</t>
  </si>
  <si>
    <t>Mẫu số B03 - QM. Mẫu báo cáo thay đổi giá trị tài sản ròng, giao dịch chứng chỉ quỹ
Template B03 - QM. Report on change of Net Asset Value, trading of Fund Certificate</t>
  </si>
  <si>
    <t>(Ban hành kèm theo Thông tư 198/2012/TT-BTC ngày 15 tháng 11 năm 2012 về chế độ kế toán áp dụng đối với quỹ mở)
(Issued in association with Circular 198/2012/TT-BTC dated 15 Nov 2012 on the Accounting Policies for Open-Ended Fund)</t>
  </si>
  <si>
    <t xml:space="preserve">Mẫu số B04 - QM. Mẫu báo cáo danh mục đầu tư
Template B04 - QM. Statement of investment portfolio </t>
  </si>
  <si>
    <t>Mẫu số B01 - QM Báo cáo thu nhập
Template B01 - QM Statement of Comprehensive Income</t>
  </si>
  <si>
    <t>Tốc độ vòng quay danh mục trong kỳ (%)/Portfolio turnover rate (%)</t>
  </si>
  <si>
    <t>Mẫu số B05 - QM. Báo cáo lưu chuyển tiền tệ
Template B05 - QM. Cash flow statement</t>
  </si>
  <si>
    <t>Lãi công cụ thị trường tiền tệ
Interest income from Money market instruments</t>
  </si>
  <si>
    <t>Phí môi giới, chuyển nhượng
Brokerage &amp; transfer fee</t>
  </si>
  <si>
    <t>Phí dịch vụ lưu ký cho chứng khoán cơ sở, phí quản lý vị thế và tài sản phái sinh trả cho VSDC
Custodian service -  Depository fee, Position and Margin management fee paid to VSDC</t>
  </si>
  <si>
    <t>Phí thực hiện quyền trả cho VSDC
Fee paid to VSDC for getting the list of investors</t>
  </si>
  <si>
    <t>Phí đăng ký niêm yết bổ sung trả VSDC
Additional registration fee paid to VSDC</t>
  </si>
  <si>
    <t>Chi phí lưu ký, giám sát trả cho Ngân hàng Giám sát/VSDC
Custody fee, Supervising fee paid to Supervising Bank/VSDC</t>
  </si>
  <si>
    <t>Chi phí dịch vụ lưu ký cho chứng khoán cơ sở, phí quản lý vị thế và tài sản phái sinh trả cho VSDC
Custodian service -  Depository fee, Position and Margin management fee paid to VSDC</t>
  </si>
  <si>
    <t>I. Lưu chuyển tiền từ hoạt động đầu tư 
Cash flow from investing activities</t>
  </si>
  <si>
    <t>Tiền gửi có kỳ hạn không quá ba (03) tháng
Deposit with term up to three (03) months</t>
  </si>
  <si>
    <t xml:space="preserve">- Tiền gửi của nhà đầu tư về phải trả cổ tức và mua bán chứng chỉ quỹ
Cash at bank for Fund's dividend payable and subscription/redemption </t>
  </si>
  <si>
    <t>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</si>
  <si>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</si>
  <si>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</si>
  <si>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</si>
  <si>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</si>
  <si>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</si>
  <si>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</si>
  <si>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</si>
  <si>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TỔNG
	TOTAL</t>
  </si>
  <si>
    <t>2247</t>
  </si>
  <si>
    <t>III</t>
  </si>
  <si>
    <t>CỔ PHIẾU CHƯA NIÊM YẾT, ĐĂNG KÝ GIAO DỊCH, CHỨNG CHỈ QUỸ KHÔNG NIÊM YẾT
SHARES UNLISTED, UNREGISTERED FOR TRADING, UNLISTED FUND CERTIFICATES</t>
  </si>
  <si>
    <t>2248</t>
  </si>
  <si>
    <t>TỔNG
	TOTAL</t>
  </si>
  <si>
    <t>2249</t>
  </si>
  <si>
    <t>IV</t>
  </si>
  <si>
    <t>TRÁI PHIẾU
	BONDS</t>
  </si>
  <si>
    <t>2251</t>
  </si>
  <si>
    <t>1</t>
  </si>
  <si>
    <t>Trái phiếu niêm yết
Listed bonds</t>
  </si>
  <si>
    <t>2251.1</t>
  </si>
  <si>
    <t>1.1</t>
  </si>
  <si>
    <t>BAF123020</t>
  </si>
  <si>
    <t>2251.1.1</t>
  </si>
  <si>
    <t>1.2</t>
  </si>
  <si>
    <t>CII124021</t>
  </si>
  <si>
    <t>2251.1.2</t>
  </si>
  <si>
    <t>1.3</t>
  </si>
  <si>
    <t>DSE125004</t>
  </si>
  <si>
    <t>2251.1.3</t>
  </si>
  <si>
    <t>1.4</t>
  </si>
  <si>
    <t>DSE125018</t>
  </si>
  <si>
    <t>2251.1.4</t>
  </si>
  <si>
    <t>1.5</t>
  </si>
  <si>
    <t>HDB124018</t>
  </si>
  <si>
    <t>2251.1.5</t>
  </si>
  <si>
    <t>1.6</t>
  </si>
  <si>
    <t>MSN123008</t>
  </si>
  <si>
    <t>2251.1.6</t>
  </si>
  <si>
    <t>1.7</t>
  </si>
  <si>
    <t>MSN123009</t>
  </si>
  <si>
    <t>2251.1.7</t>
  </si>
  <si>
    <t>1.8</t>
  </si>
  <si>
    <t>SHB125010</t>
  </si>
  <si>
    <t>2251.1.8</t>
  </si>
  <si>
    <t>1.9</t>
  </si>
  <si>
    <t>SHB125017</t>
  </si>
  <si>
    <t>2251.1.9</t>
  </si>
  <si>
    <t>1.10</t>
  </si>
  <si>
    <t>VPI124001</t>
  </si>
  <si>
    <t>2251.1.10</t>
  </si>
  <si>
    <t>2</t>
  </si>
  <si>
    <t>Trái phiếu chưa niêm yết, trái phiếu phát hành riêng lẻ 
Unlisted Bonds, Private placement bonds</t>
  </si>
  <si>
    <t>2251.2</t>
  </si>
  <si>
    <t>2.1</t>
  </si>
  <si>
    <t>KBC12401</t>
  </si>
  <si>
    <t>2251.2.1</t>
  </si>
  <si>
    <t>TỔNG
	TOTAL</t>
  </si>
  <si>
    <t>2252</t>
  </si>
  <si>
    <t>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</si>
  <si>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</si>
  <si>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</si>
  <si>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</si>
  <si>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</si>
  <si>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</si>
  <si>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</si>
  <si>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</si>
  <si>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</si>
  <si>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</si>
  <si>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</si>
  <si>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</si>
  <si>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</si>
  <si>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</si>
  <si>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</si>
  <si>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</si>
  <si>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</si>
  <si>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</si>
  <si>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</si>
  <si>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</si>
  <si>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</si>
  <si>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</si>
  <si>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</si>
  <si>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công cụ thị trường tiền tệ được nhận
Interest receivables from bank deposits and Money market instruments</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</si>
  <si>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</si>
  <si>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</si>
  <si>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</si>
  <si>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</si>
  <si>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</si>
  <si>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</si>
  <si>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</si>
  <si>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</si>
  <si>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</si>
  <si>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</si>
  <si>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</si>
  <si>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</si>
  <si>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</si>
  <si>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</si>
  <si>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</si>
  <si>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</si>
  <si>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</si>
  <si>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</si>
  <si>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</si>
  <si>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</si>
  <si>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</si>
  <si>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</si>
  <si>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</si>
  <si>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</si>
  <si>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</si>
  <si>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</si>
  <si>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</si>
  <si>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</si>
  <si>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</si>
  <si>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</si>
  <si>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</si>
  <si>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Công cụ thị trường tiền tệ 
Money market instruments</t>
  </si>
  <si>
    <t>2261.1</t>
  </si>
  <si>
    <t>TỔNG
	TOTAL</t>
  </si>
  <si>
    <t>2262</t>
  </si>
  <si>
    <t>VIII</t>
  </si>
  <si>
    <t>Tổng giá trị danh mục 
Total value of portfolio</t>
  </si>
  <si>
    <t>2263</t>
  </si>
  <si>
    <t>I</t>
  </si>
  <si>
    <t>CỔ PHIẾU NIÊM YẾT, ĐĂNG KÝ GIAO DỊCH, CHỨNG CHỈ QUỸ NIÊM YẾT
SHARES LISTED, SHARES REGISTERED FOR TRADING, LISTED FUND CERTIFICATES</t>
  </si>
  <si>
    <t>4030</t>
  </si>
  <si>
    <t>...</t>
  </si>
  <si>
    <t>...</t>
  </si>
  <si>
    <t>...</t>
  </si>
  <si>
    <t>...</t>
  </si>
  <si>
    <t>...</t>
  </si>
  <si>
    <t>...</t>
  </si>
  <si>
    <t>...</t>
  </si>
  <si>
    <t>TỔNG
TOTAL</t>
  </si>
  <si>
    <t>4031</t>
  </si>
  <si>
    <t>II</t>
  </si>
  <si>
    <t>CỔ PHIẾU CHƯA NIÊM YẾT, ĐĂNG KÝ GIAO DỊCH, CHỨNG CHỈ QUỸ KHÔNG NIÊM YẾT
SHARES UNLISTED, UNREGISTERED FOR TRADING, UNLISTED FUND CERTIFICATES</t>
  </si>
  <si>
    <t>4032</t>
  </si>
  <si>
    <t>TỔNG
TOTAL</t>
  </si>
  <si>
    <t>4033</t>
  </si>
  <si>
    <t>TỔNG CÁC LOẠI CỔ PHIẾU, CHỨNG CHỈ QUỸ
 TOTAL SHARES, FUND CERTIFICATES</t>
  </si>
  <si>
    <t>4034</t>
  </si>
  <si>
    <t>III</t>
  </si>
  <si>
    <t>TRÁI PHIẾU
BONDS</t>
  </si>
  <si>
    <t>4035</t>
  </si>
  <si>
    <t>...</t>
  </si>
  <si>
    <t>...</t>
  </si>
  <si>
    <t>...</t>
  </si>
  <si>
    <t>...</t>
  </si>
  <si>
    <t>...</t>
  </si>
  <si>
    <t>...</t>
  </si>
  <si>
    <t>...</t>
  </si>
  <si>
    <t>1</t>
  </si>
  <si>
    <t>Trái phiếu niêm yết
Listed bonds</t>
  </si>
  <si>
    <t>4035.1</t>
  </si>
  <si>
    <t>1.1</t>
  </si>
  <si>
    <t>BAF123020</t>
  </si>
  <si>
    <t>4035.1.1</t>
  </si>
  <si>
    <t>1.2</t>
  </si>
  <si>
    <t>CII124021</t>
  </si>
  <si>
    <t>4035.1.2</t>
  </si>
  <si>
    <t>1.3</t>
  </si>
  <si>
    <t>DSE125004</t>
  </si>
  <si>
    <t>4035.1.3</t>
  </si>
  <si>
    <t>1.4</t>
  </si>
  <si>
    <t>DSE125018</t>
  </si>
  <si>
    <t>4035.1.4</t>
  </si>
  <si>
    <t>1.5</t>
  </si>
  <si>
    <t>HDB124018</t>
  </si>
  <si>
    <t>4035.1.5</t>
  </si>
  <si>
    <t>1.6</t>
  </si>
  <si>
    <t>MSN123008</t>
  </si>
  <si>
    <t>4035.1.6</t>
  </si>
  <si>
    <t>1.7</t>
  </si>
  <si>
    <t>MSN123009</t>
  </si>
  <si>
    <t>4035.1.7</t>
  </si>
  <si>
    <t>1.8</t>
  </si>
  <si>
    <t>SHB125010</t>
  </si>
  <si>
    <t>4035.1.8</t>
  </si>
  <si>
    <t>1.9</t>
  </si>
  <si>
    <t>SHB125017</t>
  </si>
  <si>
    <t>4035.1.9</t>
  </si>
  <si>
    <t>1.10</t>
  </si>
  <si>
    <t>VPI124001</t>
  </si>
  <si>
    <t>4035.1.10</t>
  </si>
  <si>
    <t>2</t>
  </si>
  <si>
    <t>Trái phiếu chưa niêm yết, trái phiếu phát hành riêng lẻ 
Unlisted Bonds, Private placement bonds</t>
  </si>
  <si>
    <t>4035.2</t>
  </si>
  <si>
    <t>2.1</t>
  </si>
  <si>
    <t>KBC12401</t>
  </si>
  <si>
    <t>4035.2.1</t>
  </si>
  <si>
    <t>TỔNG
TOTAL</t>
  </si>
  <si>
    <t>4036</t>
  </si>
  <si>
    <t>IV</t>
  </si>
  <si>
    <t>CÁC LOẠI CHỨNG KHOÁN KHÁC
OTHER SECURITIES</t>
  </si>
  <si>
    <t>4037</t>
  </si>
  <si>
    <t>...</t>
  </si>
  <si>
    <t>...</t>
  </si>
  <si>
    <t>...</t>
  </si>
  <si>
    <t>...</t>
  </si>
  <si>
    <t>...</t>
  </si>
  <si>
    <t>...</t>
  </si>
  <si>
    <t>...</t>
  </si>
  <si>
    <t>1</t>
  </si>
  <si>
    <t>Quyền mua 
Rights</t>
  </si>
  <si>
    <t>4037.1</t>
  </si>
  <si>
    <t>2</t>
  </si>
  <si>
    <t>Chi tiết loại hợp đồng phái sinh(*)
Index future contracts</t>
  </si>
  <si>
    <t>4037.2</t>
  </si>
  <si>
    <t>TỔNG
	TOTAL</t>
  </si>
  <si>
    <t>4038</t>
  </si>
  <si>
    <t>TỔNG CÁC LOẠI CHỨNG KHOÁN
TOTAL TYPES OF SECURITIES</t>
  </si>
  <si>
    <t>4039</t>
  </si>
  <si>
    <t>V</t>
  </si>
  <si>
    <t>CÁC TÀI SẢN KHÁC
OTHER ASSETS</t>
  </si>
  <si>
    <t>4040</t>
  </si>
  <si>
    <t>...</t>
  </si>
  <si>
    <t>...</t>
  </si>
  <si>
    <t>...</t>
  </si>
  <si>
    <t>...</t>
  </si>
  <si>
    <t>...</t>
  </si>
  <si>
    <t>...</t>
  </si>
  <si>
    <t>...</t>
  </si>
  <si>
    <t>1</t>
  </si>
  <si>
    <t>Cổ tức được nhận
Dividend receivables</t>
  </si>
  <si>
    <t>4040.1</t>
  </si>
  <si>
    <t>2</t>
  </si>
  <si>
    <t>Lãi trái phiếu được nhận
Coupon receivables</t>
  </si>
  <si>
    <t>4040.2</t>
  </si>
  <si>
    <t>3</t>
  </si>
  <si>
    <t>Lãi tiền gửi và công cụ thị trường tiền tệ được nhận
Interest receivables from bank deposits and Money market instruments</t>
  </si>
  <si>
    <t>4040.3</t>
  </si>
  <si>
    <t>4</t>
  </si>
  <si>
    <t>Tiền bán chứng khoán chờ thu
Outstanding Settlement of sales transactions</t>
  </si>
  <si>
    <t>4040.4</t>
  </si>
  <si>
    <t>5</t>
  </si>
  <si>
    <t>Phải thu cho khoản cổ phiếu hạn chế chờ mua
Receivable from AP/Investors on securities on hold of buying</t>
  </si>
  <si>
    <t>4040.5</t>
  </si>
  <si>
    <t>6</t>
  </si>
  <si>
    <t>Phải thu khác
Other receivables</t>
  </si>
  <si>
    <t>4040.6</t>
  </si>
  <si>
    <t>7</t>
  </si>
  <si>
    <t>Tài sản khác
Other assets</t>
  </si>
  <si>
    <t>4040.7</t>
  </si>
  <si>
    <t>TỔNG
TOTAL</t>
  </si>
  <si>
    <t>4041</t>
  </si>
  <si>
    <t>VI</t>
  </si>
  <si>
    <t>TIỀN
CASH</t>
  </si>
  <si>
    <t>4042</t>
  </si>
  <si>
    <t>1</t>
  </si>
  <si>
    <t>Tiền gửi Ngân hàng
Cash at bank</t>
  </si>
  <si>
    <t>4043</t>
  </si>
  <si>
    <t>...</t>
  </si>
  <si>
    <t>...</t>
  </si>
  <si>
    <t>...</t>
  </si>
  <si>
    <t>...</t>
  </si>
  <si>
    <t>...</t>
  </si>
  <si>
    <t>...</t>
  </si>
  <si>
    <t>...</t>
  </si>
  <si>
    <t>1.1</t>
  </si>
  <si>
    <t>Tiền gửi ngân hàng
Cash at Bank</t>
  </si>
  <si>
    <t>4043.1</t>
  </si>
  <si>
    <t>1.2</t>
  </si>
  <si>
    <t>Các khoản tương đương tiền
Cash Equivalents</t>
  </si>
  <si>
    <t>4043.2</t>
  </si>
  <si>
    <t>1.3</t>
  </si>
  <si>
    <t>Tiền gửi có kỳ hạn trên 3 tháng
Deposits with term over three (03) months</t>
  </si>
  <si>
    <t>4043.3</t>
  </si>
  <si>
    <t>2</t>
  </si>
  <si>
    <t>Công cụ thị trường tiền tệ
Money market instruments</t>
  </si>
  <si>
    <t>4044</t>
  </si>
  <si>
    <t>...</t>
  </si>
  <si>
    <t>...</t>
  </si>
  <si>
    <t>...</t>
  </si>
  <si>
    <t>...</t>
  </si>
  <si>
    <t>...</t>
  </si>
  <si>
    <t>...</t>
  </si>
  <si>
    <t>...</t>
  </si>
  <si>
    <t>3</t>
  </si>
  <si>
    <t>Công cụ chuyển nhượng…
Transferable instruments…</t>
  </si>
  <si>
    <t>4045</t>
  </si>
  <si>
    <t>...</t>
  </si>
  <si>
    <t>...</t>
  </si>
  <si>
    <t>...</t>
  </si>
  <si>
    <t>...</t>
  </si>
  <si>
    <t>...</t>
  </si>
  <si>
    <t>...</t>
  </si>
  <si>
    <t>...</t>
  </si>
  <si>
    <t>TỔNG
TOTAL</t>
  </si>
  <si>
    <t>4046</t>
  </si>
  <si>
    <t>VII</t>
  </si>
  <si>
    <t>Tổng giá trị danh mục 
Total value of portfolio</t>
  </si>
  <si>
    <t>4047</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</si>
  <si>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</si>
  <si>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</si>
  <si>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</si>
  <si>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</si>
  <si>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</si>
  <si>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</si>
  <si>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</si>
  <si>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</si>
  <si>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</si>
  <si>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</si>
  <si>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</si>
  <si>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</si>
  <si>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</si>
  <si>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</si>
  <si>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</si>
  <si>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</si>
  <si>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</si>
  <si>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</si>
  <si>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</si>
  <si>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</si>
  <si>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</si>
  <si>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</si>
  <si>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</si>
  <si>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</si>
  <si>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</si>
  <si>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</si>
  <si>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</si>
  <si>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</si>
  <si>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</si>
  <si>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</si>
  <si>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</si>
  <si>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</si>
  <si>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</si>
  <si>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</si>
  <si>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</si>
  <si>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</si>
  <si>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</si>
  <si>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</si>
  <si>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</si>
  <si>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</si>
  <si>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</si>
  <si>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</si>
  <si>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</si>
  <si>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</si>
  <si>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</si>
  <si>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</si>
  <si>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</si>
  <si>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</si>
  <si>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</si>
  <si>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</si>
  <si>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</si>
  <si>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</si>
  <si>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</si>
  <si>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</si>
  <si>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</si>
  <si>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</si>
  <si>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</si>
  <si>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</si>
  <si>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</si>
  <si>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</si>
  <si>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</si>
  <si>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</si>
  <si>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</si>
  <si>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</si>
  <si>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</si>
  <si>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</si>
  <si>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</si>
  <si>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</si>
  <si>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</si>
  <si>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</si>
  <si>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</si>
  <si>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</si>
  <si>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</si>
  <si>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</si>
  <si>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</si>
  <si>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</si>
  <si>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</si>
  <si>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</si>
  <si>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</si>
  <si>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</si>
  <si>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</si>
  <si>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</si>
  <si>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</si>
  <si>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</si>
  <si>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</si>
  <si>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</si>
  <si>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</si>
  <si>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</si>
  <si>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cổ tức và mua lại chứng chỉ quỹ  
Cash at bank for Fund's dividend payment and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</si>
  <si>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</si>
  <si>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</si>
  <si>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</si>
  <si>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</si>
  <si>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</si>
  <si>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</si>
  <si>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</si>
  <si>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</si>
  <si>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</si>
  <si>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</si>
  <si>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</si>
  <si>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</si>
  <si>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</si>
  <si>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</si>
  <si>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</si>
  <si>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</si>
  <si>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</si>
  <si>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</si>
  <si>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</si>
  <si>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</si>
  <si>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</si>
  <si>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</si>
  <si>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</si>
  <si>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</si>
  <si>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</si>
  <si>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</si>
  <si>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</si>
  <si>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</si>
  <si>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</si>
  <si>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Công cụ thị trường tiền tệ
Money market instruments</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</si>
  <si>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</si>
  <si>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</si>
  <si>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</si>
  <si>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</si>
  <si>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</si>
  <si>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</si>
  <si>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</si>
  <si>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</si>
  <si>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</si>
  <si>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</si>
  <si>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</si>
  <si>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</si>
  <si>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</si>
  <si>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</si>
  <si>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</si>
  <si>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</si>
  <si>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</si>
  <si>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</si>
  <si>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</si>
  <si>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</si>
  <si>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</si>
  <si>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</si>
  <si>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</si>
  <si>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</si>
  <si>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</si>
  <si>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</si>
  <si>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</si>
  <si>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</si>
  <si>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</si>
  <si>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</si>
  <si>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</si>
  <si>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</si>
  <si>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</si>
  <si>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</si>
  <si>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</si>
  <si>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</si>
  <si>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</si>
  <si>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</si>
  <si>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</si>
  <si>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</si>
  <si>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</si>
  <si>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</si>
  <si>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</si>
  <si>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</si>
  <si>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</si>
  <si>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</si>
  <si>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</si>
  <si>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</si>
  <si>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</si>
  <si>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</si>
  <si>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</si>
  <si>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</si>
  <si>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</si>
  <si>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công cụ thị trường tiền tệ
Interest receivable from Money market instruments</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</si>
  <si>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</si>
  <si>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</si>
  <si>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</si>
  <si>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</si>
  <si>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</si>
  <si>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</si>
  <si>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</si>
  <si>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</si>
  <si>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</si>
  <si>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</si>
  <si>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</si>
  <si>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</si>
  <si>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</si>
  <si>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</si>
  <si>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</si>
  <si>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</si>
  <si>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</si>
  <si>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</si>
  <si>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</si>
  <si>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</si>
  <si>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</si>
  <si>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</si>
  <si>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</si>
  <si>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</si>
  <si>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</si>
  <si>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</si>
  <si>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</si>
  <si>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</si>
  <si>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</si>
  <si>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</si>
  <si>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</si>
  <si>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</si>
  <si>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</si>
  <si>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</si>
  <si>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</si>
  <si>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</si>
  <si>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</si>
  <si>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</si>
  <si>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</si>
  <si>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</si>
  <si>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</si>
  <si>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</si>
  <si>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</si>
  <si>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</si>
  <si>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</si>
  <si>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</si>
  <si>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</si>
  <si>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</si>
  <si>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</si>
  <si>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</si>
  <si>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</si>
  <si>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</si>
  <si>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</si>
  <si>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</si>
  <si>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</si>
  <si>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</si>
  <si>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</si>
  <si>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</si>
  <si>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</si>
  <si>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</si>
  <si>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</si>
  <si>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</si>
  <si>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</si>
  <si>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</si>
  <si>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</si>
  <si>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</si>
  <si>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</si>
  <si>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</si>
  <si>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</si>
  <si>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</si>
  <si>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</si>
  <si>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</si>
  <si>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</si>
  <si>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</si>
  <si>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</si>
  <si>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</si>
  <si>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</si>
  <si>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</si>
  <si>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</si>
  <si>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</si>
  <si>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</si>
  <si>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</si>
  <si>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</si>
  <si>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</si>
  <si>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</si>
  <si>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</si>
  <si>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</si>
  <si>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</si>
  <si>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</si>
  <si>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</si>
  <si>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</si>
  <si>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</si>
  <si>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</si>
  <si>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</si>
  <si>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</si>
  <si>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</si>
  <si>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</si>
  <si>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</si>
  <si>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</si>
  <si>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</si>
  <si>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</si>
  <si>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</si>
  <si>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</si>
  <si>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</si>
  <si>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</si>
  <si>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</si>
  <si>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</si>
  <si>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</si>
  <si>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</si>
  <si>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</si>
  <si>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</si>
  <si>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</si>
  <si>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</si>
  <si>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</si>
  <si>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</si>
  <si>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</si>
  <si>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</si>
  <si>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</si>
  <si>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</si>
  <si>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</si>
  <si>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</si>
  <si>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</si>
  <si>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</si>
  <si>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</si>
  <si>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</si>
  <si>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</si>
  <si>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</si>
  <si>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</si>
  <si>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</si>
  <si>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</si>
  <si>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</si>
  <si>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</si>
  <si>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</si>
  <si>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</si>
  <si>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</si>
  <si>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</si>
  <si>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</si>
  <si>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VSDC
Custodian service -  Depository fee, Position and Margin management fee paid to VSDC</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</si>
  <si>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</si>
  <si>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</si>
  <si>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</si>
  <si>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</si>
  <si>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</si>
  <si>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</si>
  <si>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</si>
  <si>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</si>
  <si>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</si>
  <si>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</si>
  <si>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</si>
  <si>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</si>
  <si>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</si>
  <si>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</si>
  <si>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</si>
  <si>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</si>
  <si>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</si>
  <si>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</si>
  <si>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</si>
  <si>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</si>
  <si>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</si>
  <si>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</si>
  <si>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</si>
  <si>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</si>
  <si>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</si>
  <si>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</si>
  <si>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</si>
  <si>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</si>
  <si>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</si>
  <si>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</si>
  <si>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</si>
  <si>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</si>
  <si>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</si>
  <si>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</si>
  <si>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</si>
  <si>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</si>
  <si>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</si>
  <si>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</si>
  <si>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</si>
  <si>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</si>
  <si>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</si>
  <si>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</si>
  <si>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</si>
  <si>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</si>
  <si>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</si>
  <si>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</si>
  <si>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</si>
  <si>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</si>
  <si>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</si>
  <si>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</si>
  <si>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</si>
  <si>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</si>
  <si>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</si>
  <si>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</si>
  <si>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</si>
  <si>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</si>
  <si>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</si>
  <si>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</si>
  <si>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I. TÀI SẢN 
ASSETS</t>
  </si>
  <si>
    <t>1.Tiền gửi ngân hàng và tương đương tiền 
Cash at bank and cash equivalent</t>
  </si>
  <si>
    <t>1.1. Tiền gửi ngân hàng  
Cash at bank</t>
  </si>
  <si>
    <t>Tiền gửi của nhà đầu tư cho hoạt động mua chứng chỉ quỹ  
Cash at bank for Fund's subscription</t>
  </si>
  <si>
    <t>Tiền phải trả cho Nhà đầu tư về cổ tức và mua lại chứng chỉ quỹ 
Cash at bank for Fund's dividend payment and redemption</t>
  </si>
  <si>
    <t>Tiền gửi ngân hàng cho hoạt động của Quỹ 
Cash at bank for Fund's operation</t>
  </si>
  <si>
    <t>Tiền gửi ký quỹ cho hoạt động đầu tư chứng khoán phái sinh 
Margin account for trading derivatives</t>
  </si>
  <si>
    <t>1.2. Tiền gửi có kỳ hạn không quá ba (03) tháng 
Deposit with term up to three (03) months</t>
  </si>
  <si>
    <t>2. Các khoản đầu tư thuần 
Net Investments</t>
  </si>
  <si>
    <t>2.1. Các khoản đầu tư 
Investments</t>
  </si>
  <si>
    <t>Cổ phiếu, chứng chỉ quỹ niêm yết
Listed Shares, fund certificates</t>
  </si>
  <si>
    <t>Cổ phiếu, chứng chỉ quỹ chưa niêm yết
Unlisted Shares, fund certifictes</t>
  </si>
  <si>
    <t>Trái phiếu niêm yết 
Listed Bonds</t>
  </si>
  <si>
    <t>Trái phiếu chưa niêm yết, trái phiếu phát hành riêng lẻ 
Unlisted Bonds, Private placement bonds</t>
  </si>
  <si>
    <t>Công cụ thị trường tiền tệ 
Money market instruments</t>
  </si>
  <si>
    <t>Hợp đồng tiền gửi có kỳ hạn trên ba (03) tháng 
Deposits with term over three (03) months</t>
  </si>
  <si>
    <t>Quyền mua chứng khoán 
Investment - Rights</t>
  </si>
  <si>
    <t>Hợp đồng tương lai chỉ số 
Index future contracts</t>
  </si>
  <si>
    <t>Đầu tư khác 
Other Investments</t>
  </si>
  <si>
    <t>Hợp đồng mua lại đảo ngược 
Reverse repo contracts</t>
  </si>
  <si>
    <t>2.2. Dự phòng giảm giá tài sản nhận thế chấp  
Impairment of devaluation of pledged assets</t>
  </si>
  <si>
    <t>3. Các khoản phải thu 
Receivables</t>
  </si>
  <si>
    <t>3.1 Phải thu về bán các khoản đầu tư 
Receivables from investments sold but not yet settled</t>
  </si>
  <si>
    <t>Trong đó: Phải thu khó đòi về bán các khoản đầu tư 
In which: Overdue receivables from selling investments</t>
  </si>
  <si>
    <t>3.2. Phải thu và dự thu cổ tức, tiền lãi các khoản đầu tư 
Dividend and interest receivables</t>
  </si>
  <si>
    <t>3.2.1. Phải thu cổ tức, tiền lãi đến ngày nhận 
Dividend and interest receivables on or after payment date</t>
  </si>
  <si>
    <t>Phải thu cổ tức 
Dividend receivables</t>
  </si>
  <si>
    <t>Phải thu trái tức 
Coupon receivables</t>
  </si>
  <si>
    <t>Phải thu lãi tiền gửi có kỳ hạn không quá ba (03) tháng 
Interest receivables from deposit with term up to three (03) months</t>
  </si>
  <si>
    <t>Phải thu lãi tiền gửi có kỳ hạn trên 3 tháng 
Interest receivables from deposit with term more than three (03) months</t>
  </si>
  <si>
    <t>Phải thu lãi Công cụ thị trường tiền tệ 
Interest receivables from Money market instruments</t>
  </si>
  <si>
    <t>Trong đó: Phải thu khó đòi về cổ tức, tiền lãi đến ngày nhận  nhưng chưa nhận được 
In which: Overdue receivables from dividend, interest income</t>
  </si>
  <si>
    <t>3.2.2.Dự thu cổ tức, tiền lãi chưa đến ngày nhận  
Dividend and interest receivables before payment date</t>
  </si>
  <si>
    <t>Dự thu cổ tức 
Dividend receivables</t>
  </si>
  <si>
    <t>Dự thu lãi trái phiếu 
Interest accrual from bonds</t>
  </si>
  <si>
    <t>Dự thu lãi tiền gửi có kỳ hạn không quá ba (03) tháng 
Interest accrual from deposits with term up to three (03) months</t>
  </si>
  <si>
    <t>Dự thu lãi tiền gửi có kỳ hạn trên 3 tháng 
Interest accrual from deposit with term more than three (03) months</t>
  </si>
  <si>
    <t>Dự thu lãi Công cụ thị trường tiền tệ 
Interest accrual from Money market instruments</t>
  </si>
  <si>
    <t>Dự thu lãi hợp đồng mua lại đảo ngược 
Interest receivables from reverse repo contracts</t>
  </si>
  <si>
    <t>3.3. Các khoản phải thu khác 
Other receivables</t>
  </si>
  <si>
    <t>Phải thu cho khoản cổ phiếu hạn chế chờ mua 
Receivable from AP/Investors on securities on hold of buying</t>
  </si>
  <si>
    <t>Các tài sản khác 
Other assets</t>
  </si>
  <si>
    <t>Các khoản khác 
Others</t>
  </si>
  <si>
    <t>3.4. Dự phòng nợ phải thu khó đòi 
Provision for doubtful debt</t>
  </si>
  <si>
    <t>TỔNG TÀI SẢN 
TOTAL ASSETS</t>
  </si>
  <si>
    <t>II. NỢ PHẢI TRẢ 
TOTAL LIABILITIES</t>
  </si>
  <si>
    <t>1. Vay ngắn hạn  
Short-term loans</t>
  </si>
  <si>
    <t>Gốc hợp đồng 
repo Repo contracts - Principal</t>
  </si>
  <si>
    <t>Vay ngắn hạn 
Short-term loans</t>
  </si>
  <si>
    <t>2. Phải trả về mua các khoản đầu tư 
Payables for securities bought but not yet settled</t>
  </si>
  <si>
    <t>3. Phải trả phí cho các Đại lý phân phối, Công ty quản lý quỹ về mua bán Chứng chỉ quỹ 
Subscription and Redemption fee payable to distributors and fund management company</t>
  </si>
  <si>
    <t>Phải trả phí cho các Đại lý phân phối về mua bán Chứng chỉ quỹ 
Subscription and Redemption fee payable to distributors</t>
  </si>
  <si>
    <t>Phải trả phí cho Công ty quản lý quỹ về mua bán Chứng chỉ quỹ 
Subscription and Redemption fee payable to fund management company</t>
  </si>
  <si>
    <t>4. Thuế và các khoản phải nộp Nhà nước 
Tax payables and obligations to the State Budget</t>
  </si>
  <si>
    <t>5.Phải trả thu nhập cho Nhà đầu tư 
Profit distribution payables</t>
  </si>
  <si>
    <t>6. Chi phí phải trả 
Expense Accruals</t>
  </si>
  <si>
    <t>Phí giao dịch 
Transaction fee</t>
  </si>
  <si>
    <t>Phải trả phí môi giới 
Brokerage fee payables</t>
  </si>
  <si>
    <t>Phải trả phí giao dịch thanh toán bù trừ chứng khoán 
Clearing Settlement Fee payables</t>
  </si>
  <si>
    <t>Trích trước phí kiểm toán 
Accrued expense for audit fee</t>
  </si>
  <si>
    <t>Trích trước phí họp đại hội thường niên 
Accrued expense for Annual General meeting</t>
  </si>
  <si>
    <t>Trích trước phí báo cáo thường niên 
Accrued expense for Annual report</t>
  </si>
  <si>
    <t>Trích trước thù lao ban đại diện quỹ 
Accrued expense for Remuneration Payable to Fund's Board of Representatives</t>
  </si>
  <si>
    <t>Trích trước phí quản lý niêm yết hàng năm tại SGDCK  
Accrued expense for annual listing fee at HOSE</t>
  </si>
  <si>
    <t>Trích trước lãi vay ngắn hạn của hợp đồng vay và hợp đồng repo 
Accrued Interest Expense of short-term loan contracts and repo contracts</t>
  </si>
  <si>
    <t>7. Phải trả cho Nhà đầu tư về mua Chứng chỉ quỹ 
Subscription payables to investors</t>
  </si>
  <si>
    <t>Phải trả cho nhà đầu tư chờ mua chứng chỉ quỹ 
Subscription Pending allotment</t>
  </si>
  <si>
    <t>Phải trả nhà đầu tư trên tài sản giữ hộ 
Payables to investors for investment bought on behalf</t>
  </si>
  <si>
    <t>8. Phải trả cho Nhà đầu tư về mua lại Chứng chỉ quỹ 
Redemption payables to investors</t>
  </si>
  <si>
    <t>9. Phải trả dịch vụ quản lý Quỹ mở 
Fund management related service expense payable</t>
  </si>
  <si>
    <t>Trích trước phải trả phí quản lý 
Accrued expense for Management fee</t>
  </si>
  <si>
    <t>Trích trước phí lưu ký tài sản Quỹ mở 
Accrued expense for Custodian fee</t>
  </si>
  <si>
    <t>Phí dịch vụ lưu ký - bảo quản tài sản 
Custodian service - Safe Custody Fee</t>
  </si>
  <si>
    <t>Phí dịch vụ lưu ký - giao dịch chứng khoán 
Custodian service - Transaction fee</t>
  </si>
  <si>
    <t>Phí dịch vụ lưu ký cho chứng khoán cơ sở, phí quản lý vị thế và tài sản phái sinh trả cho VSDC 
Custodian service -  Depository fee, Position and Margin management fee paid to VSDC</t>
  </si>
  <si>
    <t>Trích trước phí quản trị quỹ 
Accrued expense for Fund administration fee</t>
  </si>
  <si>
    <t>Trích trước phí giám sát 
Accrued expense for Supervising fee</t>
  </si>
  <si>
    <t>Trích trước phí dịch vụ đại lý chuyển nhượng 
Accrued expense for Tranfer agency fee</t>
  </si>
  <si>
    <t>Dự chi phí cung cấp dịch vụ tính giá trị tài sản ròng tham chiếu (iNAV) cho HOSE 
Accrued expense for payable to HOSE for iNAV calculation</t>
  </si>
  <si>
    <t>Dự chi phí cấp quyền sử dụng chỉ số cho HOSE 
Accrued expense for payable to HOSE for Index usage</t>
  </si>
  <si>
    <t>10. Phải trả, phải nộp khác 
Other payables</t>
  </si>
  <si>
    <t>Phải trả phí báo giá 
Price feed fee payable</t>
  </si>
  <si>
    <t>Trích trước phí công tác, họp của ban đại diện 
Accrued expense for Fund's Board of Representatives travelling, meeting</t>
  </si>
  <si>
    <t>Trích trước phí quản lý thường niên trả cho UBCKNN 
Accrued expense for Annual Fee paid to SSC</t>
  </si>
  <si>
    <t>Phí Ngân hàng S2B 
S2B Bank charge</t>
  </si>
  <si>
    <t>Phải trả khác 
Other payables</t>
  </si>
  <si>
    <t>TỔNG NỢ PHẢI TRẢ 
TOTAL LIABILITIES</t>
  </si>
  <si>
    <t>III.  GIÁ TRỊ TÀI SẢN RÒNG CÓ THỂ PHÂN PHỐI CHO NHÀ ĐẦU TƯ NẮM GIỮ CHỨNG CHỈ QUỸ MỞ (I-II) 
DISTRIBUTABLE NET ASSET VALUE (I-II)</t>
  </si>
  <si>
    <t>1. Vốn góp của Nhà đầu tư 
Contributed capital</t>
  </si>
  <si>
    <t>1.1 Vốn góp phát hành 
Capital from subscription</t>
  </si>
  <si>
    <t>1.2 Vốn góp mua lại 
Capital from redemption</t>
  </si>
  <si>
    <t>2. Thặng dư vốn góp của Nhà đầu tư 
Share premium</t>
  </si>
  <si>
    <t>3. Lợi nhuận chưa phân phối  
Undistributed earnings</t>
  </si>
  <si>
    <t>3.1 Lợi nhuận chưa phân phối  đầu kỳ 
Undistributed earnings at the beginning of the period</t>
  </si>
  <si>
    <t>3.2 Lợi nhuận chưa phân phối  trong kỳ 
Undistributed earnings during the period</t>
  </si>
  <si>
    <t>IV. GIÁ TRỊ TÀI SẢN RÒNG QUỸ MỞ TRÊN 1 ĐƠN VỊ CHỨNG CHỈ QUỸ (IV=(I-II)/III) 
NET ASSET VALUE  PER FUND CERTIFICATE</t>
  </si>
  <si>
    <t>V. LỢI NHUẬN ĐÃ PHÂN PHỐI CHO NHÀ ĐẦU TƯ 
DISTRIBUTED EARNINGS</t>
  </si>
  <si>
    <t>1. Lợi nhuận/Tài sản đã phân phối cho Nhà đầu tư trong kỳ 
Distributed earnings assets in the period</t>
  </si>
  <si>
    <t>2. Lợi nhuận đã phân phối cho Nhà đầu tư lũy kế từ khi thành lập Quỹ mở đến kỳ lập báo cáo này 
Accumulated distributed profit/ assets</t>
  </si>
  <si>
    <t>VI. CÁC CHỈ TIÊU NGOÀI BÁO CÁO TÌNH HÌNH TÀI CHÍNH 
OFF BALANCE SHEET ITEMS</t>
  </si>
  <si>
    <t>1. Tài sản nhận thế chấp 
Assets received as pledge</t>
  </si>
  <si>
    <t>2. Nợ khó đòi đã xử lý 
Written off bad debts</t>
  </si>
  <si>
    <t>3. Ngoại tệ các loại 
Foreign currencies</t>
  </si>
  <si>
    <t>4. Số lượng Chứng chỉ quỹ đang lưu hành 
Number of outstanding fund certificates</t>
  </si>
  <si>
    <t>...</t>
  </si>
  <si>
    <t>...</t>
  </si>
  <si>
    <t>...</t>
  </si>
  <si>
    <t>...</t>
  </si>
  <si>
    <t>...</t>
  </si>
  <si>
    <t>...</t>
  </si>
  <si>
    <t>...</t>
  </si>
  <si>
    <t>...</t>
  </si>
  <si>
    <t>Không/No</t>
  </si>
  <si>
    <t>0.00% - 0.45%</t>
  </si>
  <si>
    <t>Tổng/Total</t>
  </si>
  <si>
    <t>Tại ngày 31 tháng 12 năm 2025
/ As at 31 Dec 2025</t>
  </si>
  <si>
    <t>Năm 2025
/ Year 2025</t>
  </si>
  <si>
    <t>Công ty Cổ phần Quản lý Quỹ Đầu tư Dragon Capital Việt Nam</t>
  </si>
  <si>
    <t>Dragon Capital Vietfund Management Joint Stock Company</t>
  </si>
  <si>
    <t>Ngân hàng TNHH Một thành viên Standard Chartered (Việt Nam)</t>
  </si>
  <si>
    <t>Standard Chartered Bank (Vietnam) Limited</t>
  </si>
  <si>
    <t>Quỹ Đầu tư Trái phiếu Gia tăng Thu nhập Cố định DC (DCIP)</t>
  </si>
  <si>
    <t>DC Income Plus Bond Fund (DCIP)</t>
  </si>
  <si>
    <t>Vũ Quang Phan</t>
  </si>
  <si>
    <t>Ninh Thị Tuệ Minh</t>
  </si>
  <si>
    <t>Phó phòng Dịch vụ nghiệp vụ giám sát Quỹ</t>
  </si>
  <si>
    <t>Trưởng phòng Kế toán Quỹ</t>
  </si>
  <si>
    <t>Ngày 31 tháng 12 năm 2025
 As at 31 Dec 2025</t>
  </si>
  <si>
    <t>Ngày 31 tháng 12 năm 2024
 As at 31 Dec 2024</t>
  </si>
  <si>
    <t>Năm 2025
Year 2025</t>
  </si>
  <si>
    <t>Năm 2024
Year 2024</t>
  </si>
  <si>
    <t>Chi phí môi giới và chuyển nhượng
Brokerage &amp; transfer fee</t>
  </si>
  <si>
    <t>Nguyễn Thu Ngọc</t>
  </si>
  <si>
    <t>Vương Thị Trâm Anh</t>
  </si>
  <si>
    <t>Kế toán Quỹ</t>
  </si>
  <si>
    <t>Chuyên viên Kế toán Quỹ</t>
  </si>
  <si>
    <t>Giao dịch chứng khoán không niêm yết
Unlisted securities trading</t>
  </si>
  <si>
    <t>CTCP Chứng khoán Thành phố Hồ Chí Minh
HO CHI MINH CITY SECURITIES CORPORATION</t>
  </si>
  <si>
    <t>Công Ty Chứng Khoán KIS Việt Nam
Công Ty Chứng Khoán KIS Việt Nam</t>
  </si>
  <si>
    <t>Công ty Cổ phần Chứng khoán ASAM
ASAM Securities Corporation</t>
  </si>
  <si>
    <t>Công ty Cổ phần Chứng khoán Sài Gòn - Hà Nội
SaiGon - Hanoi Securities Joint Stock Company</t>
  </si>
  <si>
    <t>Công ty Cổ phần Chứng khoán Vietcap
VIETCAP SECURITIES JOINT STOCK COMPANY</t>
  </si>
  <si>
    <t>Công ty TNHH Chứng khoán Mirae Asset (Việt Nam)
Mirae Asset Securities (Vietnam) Limited Liability Company</t>
  </si>
  <si>
    <t>Giao dịch chứng khoán không niêm yết bao gồm cổ phiếu chưa niêm yết, trái phiếu chưa niêm yết và giao dịch ngoài sàn.
Unlisted securities trading includes unlisted equities, unlisted bonds and trade off exchange..</t>
  </si>
  <si>
    <t>Ngày 11 tháng 03 năm 2026</t>
  </si>
  <si>
    <t>11 Mar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</si>
</sst>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43" formatCode="_(* #,##0.00_);_(* \(#,##0.00\);_(* &quot;-&quot;??_);_(@_)"/>
    <numFmt numFmtId="164" formatCode="_-* #,##0.00\ _₫_-;\-* #,##0.00\ _₫_-;_-* &quot;-&quot;??\ _₫_-;_-@_-"/>
    <numFmt numFmtId="165" formatCode="_(* #,##0_);_(* \(#,##0\);_(* &quot;-&quot;??_);_(@_)"/>
    <numFmt numFmtId="166" formatCode="_(* #,##0.00_);_(* \(#,##0.00\);_(* &quot;-&quot;_);_(@_)"/>
    <numFmt numFmtId="167" formatCode="_(* #,##0_);_(* \(#,##0\);_(* &quot; - &quot;??_);_(@_)"/>
  </numFmts>
  <fonts count="35">
    <font>
      <sz val="11"/>
      <color theme="1"/>
      <name val="Calibri"/>
      <family val="2"/>
      <scheme val="minor"/>
    </font>
    <font>
      <sz val="10"/>
      <color theme="1"/>
      <name val="Arial"/>
      <family val="2"/>
    </font>
    <font>
      <sz val="11"/>
      <color theme="1"/>
      <name val="Calibri"/>
      <family val="2"/>
      <scheme val="minor"/>
    </font>
    <font>
      <sz val="12"/>
      <name val=".VnTime"/>
      <family val="2"/>
    </font>
    <font>
      <sz val="10"/>
      <name val="Arial"/>
      <family val="2"/>
    </font>
    <font>
      <sz val="10"/>
      <color theme="1"/>
      <name val="Arial"/>
      <family val="2"/>
    </font>
    <font>
      <b/>
      <sz val="10"/>
      <color theme="1"/>
      <name val="Arial"/>
      <family val="2"/>
    </font>
    <font>
      <i/>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63"/>
      <name val="Tahoma"/>
      <family val="2"/>
    </font>
    <font>
      <sz val="10"/>
      <color indexed="8"/>
      <name val="Tahoma"/>
      <family val="2"/>
    </font>
    <font>
      <b/>
      <sz val="10"/>
      <color rgb="FF0070C0"/>
      <name val="Tahoma"/>
      <family val="2"/>
    </font>
    <font>
      <sz val="10"/>
      <color theme="1" tint="4.9989318521683403E-2"/>
      <name val="Tahoma"/>
      <family val="2"/>
    </font>
    <font>
      <i/>
      <sz val="10"/>
      <color indexed="8"/>
      <name val="Tahoma"/>
      <family val="2"/>
    </font>
    <font>
      <b/>
      <sz val="10"/>
      <color theme="1" tint="4.9989318521683403E-2"/>
      <name val="Tahoma"/>
      <family val="2"/>
    </font>
    <font>
      <sz val="10"/>
      <color theme="1"/>
      <name val="Calibri"/>
      <family val="2"/>
      <scheme val="minor"/>
    </font>
    <font>
      <sz val="11"/>
      <name val="Times New Roman"/>
      <family val="1"/>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30">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right/>
      <top style="thin">
        <color indexed="64"/>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s>
  <cellStyleXfs count="35">
    <xf numFmtId="0" fontId="0" fillId="0" borderId="0"/>
    <xf numFmtId="0" fontId="3" fillId="0" borderId="0"/>
    <xf numFmtId="0" fontId="2" fillId="0" borderId="0"/>
    <xf numFmtId="0" fontId="4" fillId="0" borderId="0"/>
    <xf numFmtId="0" fontId="4" fillId="0" borderId="0"/>
    <xf numFmtId="43" fontId="4" fillId="0" borderId="0" applyFont="0" applyFill="0" applyBorder="0" applyAlignment="0" applyProtection="0"/>
    <xf numFmtId="0" fontId="4" fillId="0" borderId="0"/>
    <xf numFmtId="43" fontId="2"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2" fillId="0" borderId="0" applyFont="0" applyFill="0" applyBorder="0" applyAlignment="0" applyProtection="0"/>
    <xf numFmtId="0" fontId="4" fillId="0" borderId="0"/>
    <xf numFmtId="0" fontId="2" fillId="0" borderId="0"/>
    <xf numFmtId="164" fontId="4" fillId="0" borderId="0" quotePrefix="1" applyFont="0" applyFill="0" applyBorder="0" applyAlignment="0">
      <protection locked="0"/>
    </xf>
    <xf numFmtId="0" fontId="4" fillId="5" borderId="0"/>
    <xf numFmtId="0" fontId="2" fillId="5" borderId="0"/>
    <xf numFmtId="0" fontId="2" fillId="5" borderId="0"/>
    <xf numFmtId="0" fontId="4" fillId="5" borderId="0"/>
    <xf numFmtId="0" fontId="4" fillId="5" borderId="0"/>
    <xf numFmtId="0" fontId="4" fillId="5" borderId="0"/>
    <xf numFmtId="10" fontId="4" fillId="5" borderId="0" quotePrefix="1" applyFont="0" applyFill="0" applyBorder="0" applyAlignment="0">
      <protection locked="0"/>
    </xf>
    <xf numFmtId="43" fontId="4" fillId="5" borderId="0" quotePrefix="1" applyFont="0" applyFill="0" applyBorder="0" applyAlignment="0">
      <protection locked="0"/>
    </xf>
    <xf numFmtId="43" fontId="4" fillId="5" borderId="0" applyFont="0" applyFill="0" applyBorder="0" applyAlignment="0" applyProtection="0"/>
    <xf numFmtId="0" fontId="2" fillId="5" borderId="0"/>
    <xf numFmtId="0" fontId="2" fillId="5" borderId="0"/>
    <xf numFmtId="43" fontId="4" fillId="5" borderId="0" quotePrefix="1" applyFont="0" applyFill="0" applyBorder="0" applyAlignment="0">
      <protection locked="0"/>
    </xf>
    <xf numFmtId="43" fontId="4" fillId="5" borderId="0" applyFont="0" applyFill="0" applyBorder="0" applyAlignment="0" applyProtection="0"/>
    <xf numFmtId="0" fontId="4" fillId="5" borderId="0"/>
    <xf numFmtId="10" fontId="2" fillId="5" borderId="0" applyFont="0" applyFill="0" applyBorder="0" applyAlignment="0" applyProtection="0"/>
    <xf numFmtId="43" fontId="2" fillId="5" borderId="0" applyFont="0" applyFill="0" applyBorder="0" applyAlignment="0" applyProtection="0"/>
    <xf numFmtId="0" fontId="1" fillId="5" borderId="0"/>
    <xf numFmtId="0" fontId="1" fillId="5" borderId="0"/>
    <xf numFmtId="0" fontId="2" fillId="5" borderId="0"/>
    <xf numFmtId="43" fontId="23" fillId="5" borderId="0" applyFont="0" applyFill="0" applyBorder="0" applyAlignment="0" applyProtection="0"/>
    <xf numFmtId="0" fontId="4" fillId="5" borderId="0"/>
  </cellStyleXfs>
  <cellXfs count="312">
    <xf numFmtId="0" fontId="0" fillId="0" borderId="0" xfId="0"/>
    <xf numFmtId="0" fontId="5" fillId="3" borderId="0" xfId="0" applyFont="1" applyFill="1"/>
    <xf numFmtId="0" fontId="6" fillId="3" borderId="0" xfId="0" applyFont="1" applyFill="1"/>
    <xf numFmtId="0" fontId="6" fillId="0" borderId="0" xfId="0" applyFont="1"/>
    <xf numFmtId="0" fontId="8" fillId="3" borderId="0" xfId="0" applyFont="1" applyFill="1"/>
    <xf numFmtId="0" fontId="9" fillId="3" borderId="0" xfId="0" applyFont="1" applyFill="1"/>
    <xf numFmtId="0" fontId="9" fillId="3" borderId="0" xfId="0" applyFont="1" applyFill="1" applyAlignment="1">
      <alignment horizontal="left" vertical="center"/>
    </xf>
    <xf numFmtId="0" fontId="11" fillId="3" borderId="0" xfId="0" applyFont="1" applyFill="1"/>
    <xf numFmtId="0" fontId="11" fillId="3" borderId="0" xfId="0" applyFont="1" applyFill="1" applyAlignment="1">
      <alignment horizontal="left" vertical="center"/>
    </xf>
    <xf numFmtId="0" fontId="10" fillId="2" borderId="9" xfId="6" applyFont="1" applyFill="1" applyBorder="1" applyAlignment="1">
      <alignment horizontal="center" vertical="center" wrapText="1"/>
    </xf>
    <xf numFmtId="165" fontId="10" fillId="2" borderId="9" xfId="7" applyNumberFormat="1" applyFont="1" applyFill="1" applyBorder="1" applyAlignment="1" applyProtection="1">
      <alignment horizontal="center" vertical="center" wrapText="1"/>
      <protection locked="0"/>
    </xf>
    <xf numFmtId="0" fontId="9" fillId="3" borderId="0" xfId="0" applyFont="1" applyFill="1" applyAlignment="1">
      <alignment vertical="center"/>
    </xf>
    <xf numFmtId="0" fontId="8" fillId="3" borderId="0" xfId="0" applyFont="1" applyFill="1" applyAlignment="1">
      <alignment vertical="center"/>
    </xf>
    <xf numFmtId="0" fontId="10" fillId="2" borderId="9" xfId="0" applyFont="1" applyFill="1" applyBorder="1" applyAlignment="1">
      <alignment horizontal="center" vertical="center"/>
    </xf>
    <xf numFmtId="0" fontId="10" fillId="3" borderId="5" xfId="0" applyFont="1" applyFill="1" applyBorder="1" applyAlignment="1">
      <alignment horizontal="left" vertical="center"/>
    </xf>
    <xf numFmtId="0" fontId="13" fillId="3" borderId="0" xfId="0" applyFont="1" applyFill="1" applyAlignment="1">
      <alignment vertical="center"/>
    </xf>
    <xf numFmtId="0" fontId="11" fillId="3" borderId="0" xfId="1" applyFont="1" applyFill="1" applyAlignment="1">
      <alignment vertical="center"/>
    </xf>
    <xf numFmtId="0" fontId="15" fillId="3" borderId="0" xfId="2" applyFont="1" applyFill="1" applyAlignment="1">
      <alignment horizontal="center" vertical="center"/>
    </xf>
    <xf numFmtId="0" fontId="15" fillId="3" borderId="0" xfId="2" applyFont="1" applyFill="1" applyAlignment="1">
      <alignment vertical="center"/>
    </xf>
    <xf numFmtId="0" fontId="8" fillId="0" borderId="0" xfId="0" applyFont="1" applyAlignment="1">
      <alignment vertical="center"/>
    </xf>
    <xf numFmtId="165" fontId="10" fillId="2" borderId="9" xfId="7" applyNumberFormat="1" applyFont="1" applyFill="1" applyBorder="1" applyAlignment="1" applyProtection="1">
      <alignment horizontal="right" vertical="center" wrapText="1"/>
      <protection locked="0"/>
    </xf>
    <xf numFmtId="0" fontId="15" fillId="0" borderId="0" xfId="0" applyFont="1" applyAlignment="1">
      <alignment vertical="center"/>
    </xf>
    <xf numFmtId="0" fontId="15" fillId="3" borderId="0" xfId="0" applyFont="1" applyFill="1" applyAlignment="1">
      <alignment vertical="center"/>
    </xf>
    <xf numFmtId="0" fontId="14" fillId="3" borderId="0" xfId="0" applyFont="1" applyFill="1" applyAlignment="1">
      <alignment vertical="center"/>
    </xf>
    <xf numFmtId="0" fontId="14" fillId="0" borderId="0" xfId="0" applyFont="1" applyAlignment="1">
      <alignment vertical="center"/>
    </xf>
    <xf numFmtId="0" fontId="15" fillId="3" borderId="5" xfId="0" applyFont="1" applyFill="1" applyBorder="1" applyAlignment="1">
      <alignment vertical="center"/>
    </xf>
    <xf numFmtId="0" fontId="8" fillId="3" borderId="5" xfId="0" applyFont="1" applyFill="1" applyBorder="1" applyAlignment="1">
      <alignment vertical="center"/>
    </xf>
    <xf numFmtId="0" fontId="5" fillId="0" borderId="0" xfId="0" applyFont="1"/>
    <xf numFmtId="0" fontId="15" fillId="2" borderId="9" xfId="0" applyFont="1" applyFill="1" applyBorder="1" applyAlignment="1">
      <alignment horizontal="center" vertical="center" wrapText="1"/>
    </xf>
    <xf numFmtId="0" fontId="10" fillId="3" borderId="5" xfId="1" applyFont="1" applyFill="1" applyBorder="1" applyAlignment="1">
      <alignment vertical="center"/>
    </xf>
    <xf numFmtId="0" fontId="10" fillId="3" borderId="0" xfId="1" applyFont="1" applyFill="1" applyAlignment="1">
      <alignment vertical="center"/>
    </xf>
    <xf numFmtId="0" fontId="9" fillId="3" borderId="0" xfId="1" applyFont="1" applyFill="1" applyAlignment="1">
      <alignment vertical="center"/>
    </xf>
    <xf numFmtId="0" fontId="6" fillId="0" borderId="0" xfId="0" applyFont="1" applyAlignment="1">
      <alignment wrapText="1"/>
    </xf>
    <xf numFmtId="0" fontId="7" fillId="0" borderId="0" xfId="0" applyFont="1" applyAlignment="1">
      <alignment wrapText="1"/>
    </xf>
    <xf numFmtId="0" fontId="7" fillId="0" borderId="0" xfId="0" applyFont="1"/>
    <xf numFmtId="0" fontId="15" fillId="3" borderId="9" xfId="0" applyFont="1" applyFill="1" applyBorder="1" applyAlignment="1">
      <alignment horizontal="center" vertical="center"/>
    </xf>
    <xf numFmtId="41" fontId="8" fillId="3" borderId="9" xfId="0" applyNumberFormat="1" applyFont="1" applyFill="1" applyBorder="1" applyAlignment="1">
      <alignment horizontal="right" vertical="center" wrapText="1"/>
    </xf>
    <xf numFmtId="0" fontId="8" fillId="3" borderId="9" xfId="0" applyFont="1" applyFill="1" applyBorder="1" applyAlignment="1">
      <alignment horizontal="center" vertical="center"/>
    </xf>
    <xf numFmtId="0" fontId="8" fillId="3" borderId="8" xfId="0" applyFont="1" applyFill="1" applyBorder="1" applyAlignment="1">
      <alignment vertical="center"/>
    </xf>
    <xf numFmtId="0" fontId="10" fillId="3" borderId="9" xfId="0" applyFont="1" applyFill="1" applyBorder="1" applyAlignment="1">
      <alignment horizontal="left" vertical="center" wrapText="1"/>
    </xf>
    <xf numFmtId="49" fontId="10" fillId="3" borderId="9" xfId="0" applyNumberFormat="1" applyFont="1" applyFill="1" applyBorder="1" applyAlignment="1">
      <alignment horizontal="center" vertical="center"/>
    </xf>
    <xf numFmtId="0" fontId="9" fillId="3" borderId="9" xfId="0" applyFont="1" applyFill="1" applyBorder="1" applyAlignment="1">
      <alignment horizontal="left" vertical="center" wrapText="1"/>
    </xf>
    <xf numFmtId="49" fontId="9" fillId="3" borderId="9" xfId="0" applyNumberFormat="1" applyFont="1" applyFill="1" applyBorder="1" applyAlignment="1">
      <alignment horizontal="center" vertical="center"/>
    </xf>
    <xf numFmtId="41" fontId="16" fillId="3" borderId="9" xfId="5" applyNumberFormat="1" applyFont="1" applyFill="1" applyBorder="1" applyAlignment="1" applyProtection="1">
      <alignment horizontal="right" vertical="center" wrapText="1"/>
      <protection locked="0"/>
    </xf>
    <xf numFmtId="0" fontId="8" fillId="3" borderId="0" xfId="0" applyFont="1" applyFill="1" applyAlignment="1">
      <alignment vertical="center" wrapText="1"/>
    </xf>
    <xf numFmtId="41" fontId="8" fillId="3" borderId="0" xfId="0" applyNumberFormat="1" applyFont="1" applyFill="1" applyAlignment="1">
      <alignment horizontal="right" vertical="center" wrapText="1"/>
    </xf>
    <xf numFmtId="0" fontId="15" fillId="3" borderId="9" xfId="0" applyFont="1" applyFill="1" applyBorder="1" applyAlignment="1">
      <alignment vertical="center" wrapText="1"/>
    </xf>
    <xf numFmtId="49" fontId="15" fillId="3" borderId="9" xfId="0" applyNumberFormat="1" applyFont="1" applyFill="1" applyBorder="1" applyAlignment="1">
      <alignment horizontal="center" vertical="center"/>
    </xf>
    <xf numFmtId="0" fontId="15" fillId="3" borderId="9" xfId="0" applyFont="1" applyFill="1" applyBorder="1" applyAlignment="1">
      <alignment vertical="center"/>
    </xf>
    <xf numFmtId="41" fontId="15" fillId="3" borderId="9" xfId="0" applyNumberFormat="1" applyFont="1" applyFill="1" applyBorder="1" applyAlignment="1">
      <alignment horizontal="right" vertical="center" wrapText="1"/>
    </xf>
    <xf numFmtId="0" fontId="8" fillId="3" borderId="9" xfId="0" applyFont="1" applyFill="1" applyBorder="1" applyAlignment="1">
      <alignment vertical="center" wrapText="1"/>
    </xf>
    <xf numFmtId="0" fontId="8" fillId="3" borderId="9" xfId="0" applyFont="1" applyFill="1" applyBorder="1" applyAlignment="1">
      <alignment vertical="center"/>
    </xf>
    <xf numFmtId="0" fontId="8" fillId="3" borderId="9" xfId="0" applyFont="1" applyFill="1" applyBorder="1" applyAlignment="1">
      <alignment horizontal="left" vertical="center" wrapText="1"/>
    </xf>
    <xf numFmtId="0" fontId="8" fillId="3" borderId="9" xfId="0" quotePrefix="1" applyFont="1" applyFill="1" applyBorder="1" applyAlignment="1">
      <alignment vertical="center" wrapText="1"/>
    </xf>
    <xf numFmtId="0" fontId="14" fillId="3" borderId="9" xfId="0" applyFont="1" applyFill="1" applyBorder="1" applyAlignment="1">
      <alignment vertical="center" wrapText="1"/>
    </xf>
    <xf numFmtId="49" fontId="14" fillId="3" borderId="9" xfId="0" applyNumberFormat="1" applyFont="1" applyFill="1" applyBorder="1" applyAlignment="1">
      <alignment horizontal="center" vertical="center"/>
    </xf>
    <xf numFmtId="0" fontId="11" fillId="3" borderId="9" xfId="0" applyFont="1" applyFill="1" applyBorder="1" applyAlignment="1">
      <alignment vertical="center" wrapText="1"/>
    </xf>
    <xf numFmtId="0" fontId="10" fillId="3" borderId="9" xfId="4" applyFont="1" applyFill="1" applyBorder="1" applyAlignment="1">
      <alignment horizontal="left" vertical="center" wrapText="1"/>
    </xf>
    <xf numFmtId="49" fontId="15" fillId="3" borderId="9" xfId="0" applyNumberFormat="1" applyFont="1" applyFill="1" applyBorder="1" applyAlignment="1">
      <alignment horizontal="center" vertical="center" wrapText="1"/>
    </xf>
    <xf numFmtId="0" fontId="9" fillId="3" borderId="9" xfId="4" applyFont="1" applyFill="1" applyBorder="1" applyAlignment="1">
      <alignment horizontal="left" vertical="center" wrapText="1"/>
    </xf>
    <xf numFmtId="49" fontId="8" fillId="3" borderId="9" xfId="0" applyNumberFormat="1" applyFont="1" applyFill="1" applyBorder="1" applyAlignment="1">
      <alignment horizontal="center" vertical="center" wrapText="1"/>
    </xf>
    <xf numFmtId="0" fontId="9" fillId="3" borderId="9" xfId="6" applyFont="1" applyFill="1" applyBorder="1" applyAlignment="1">
      <alignment vertical="center" wrapText="1"/>
    </xf>
    <xf numFmtId="49" fontId="14" fillId="3" borderId="9" xfId="0" applyNumberFormat="1" applyFont="1" applyFill="1" applyBorder="1" applyAlignment="1">
      <alignment horizontal="center" vertical="center" wrapText="1"/>
    </xf>
    <xf numFmtId="0" fontId="11" fillId="3" borderId="9" xfId="4" applyFont="1" applyFill="1" applyBorder="1" applyAlignment="1">
      <alignment horizontal="left" vertical="center" wrapText="1"/>
    </xf>
    <xf numFmtId="0" fontId="11" fillId="3" borderId="9" xfId="6" applyFont="1" applyFill="1" applyBorder="1" applyAlignment="1">
      <alignment vertical="center" wrapText="1"/>
    </xf>
    <xf numFmtId="0" fontId="15" fillId="3" borderId="0" xfId="0" applyFont="1" applyFill="1" applyAlignment="1">
      <alignment vertical="center" wrapText="1"/>
    </xf>
    <xf numFmtId="0" fontId="4" fillId="3" borderId="0" xfId="0" applyFont="1" applyFill="1"/>
    <xf numFmtId="0" fontId="4" fillId="0" borderId="0" xfId="0" applyFont="1"/>
    <xf numFmtId="166" fontId="10" fillId="2" borderId="9" xfId="7" applyNumberFormat="1" applyFont="1" applyFill="1" applyBorder="1" applyAlignment="1" applyProtection="1">
      <alignment horizontal="right" vertical="center" wrapText="1"/>
      <protection locked="0"/>
    </xf>
    <xf numFmtId="43" fontId="15" fillId="3" borderId="9" xfId="0" applyNumberFormat="1" applyFont="1" applyFill="1" applyBorder="1" applyAlignment="1">
      <alignment horizontal="right" vertical="center" wrapText="1"/>
    </xf>
    <xf numFmtId="165" fontId="10" fillId="2" borderId="9" xfId="10" applyNumberFormat="1" applyFont="1" applyFill="1" applyBorder="1" applyAlignment="1" applyProtection="1">
      <alignment horizontal="center" vertical="center" wrapText="1"/>
    </xf>
    <xf numFmtId="0" fontId="17" fillId="3" borderId="0" xfId="0" applyFont="1" applyFill="1" applyAlignment="1">
      <alignment vertical="center"/>
    </xf>
    <xf numFmtId="0" fontId="9" fillId="3" borderId="0" xfId="11" applyFont="1" applyFill="1"/>
    <xf numFmtId="0" fontId="17" fillId="3" borderId="0" xfId="11" applyFont="1" applyFill="1" applyAlignment="1">
      <alignment horizontal="left" vertical="top"/>
    </xf>
    <xf numFmtId="0" fontId="18" fillId="3" borderId="0" xfId="11" applyFont="1" applyFill="1" applyAlignment="1">
      <alignment horizontal="left" vertical="top"/>
    </xf>
    <xf numFmtId="0" fontId="9" fillId="3" borderId="0" xfId="11" applyFont="1" applyFill="1" applyAlignment="1">
      <alignment horizontal="left" vertical="top"/>
    </xf>
    <xf numFmtId="0" fontId="8" fillId="3" borderId="0" xfId="11" applyFont="1" applyFill="1" applyAlignment="1">
      <alignment horizontal="left" vertical="top"/>
    </xf>
    <xf numFmtId="0" fontId="8" fillId="4" borderId="0" xfId="12" applyFont="1" applyFill="1"/>
    <xf numFmtId="0" fontId="8" fillId="3" borderId="0" xfId="12" applyFont="1" applyFill="1"/>
    <xf numFmtId="0" fontId="15" fillId="3" borderId="0" xfId="11" applyFont="1" applyFill="1"/>
    <xf numFmtId="0" fontId="8" fillId="3" borderId="0" xfId="11" applyFont="1" applyFill="1"/>
    <xf numFmtId="165" fontId="8" fillId="3" borderId="0" xfId="13" applyNumberFormat="1" applyFont="1" applyFill="1">
      <protection locked="0"/>
    </xf>
    <xf numFmtId="165" fontId="15" fillId="3" borderId="0" xfId="13" applyNumberFormat="1" applyFont="1" applyFill="1">
      <protection locked="0"/>
    </xf>
    <xf numFmtId="0" fontId="14" fillId="3" borderId="0" xfId="11" applyFont="1" applyFill="1"/>
    <xf numFmtId="165" fontId="14" fillId="3" borderId="0" xfId="13" applyNumberFormat="1" applyFont="1" applyFill="1">
      <protection locked="0"/>
    </xf>
    <xf numFmtId="0" fontId="10" fillId="3" borderId="0" xfId="0" applyFont="1" applyFill="1" applyAlignment="1">
      <alignment horizontal="left" vertical="center"/>
    </xf>
    <xf numFmtId="0" fontId="9" fillId="3" borderId="5" xfId="0" applyFont="1" applyFill="1" applyBorder="1" applyAlignment="1">
      <alignment horizontal="left" vertical="center"/>
    </xf>
    <xf numFmtId="0" fontId="9" fillId="3" borderId="8" xfId="0" applyFont="1" applyFill="1" applyBorder="1" applyAlignment="1">
      <alignment horizontal="left" vertical="center"/>
    </xf>
    <xf numFmtId="0" fontId="15" fillId="3" borderId="0" xfId="12" applyFont="1" applyFill="1" applyAlignment="1">
      <alignment horizontal="center"/>
    </xf>
    <xf numFmtId="0" fontId="15" fillId="3" borderId="0" xfId="12" applyFont="1" applyFill="1"/>
    <xf numFmtId="0" fontId="9" fillId="5" borderId="9" xfId="15" applyFont="1" applyBorder="1" applyAlignment="1">
      <alignment horizontal="center" vertical="center"/>
    </xf>
    <xf numFmtId="49" fontId="9" fillId="5" borderId="9" xfId="14" applyNumberFormat="1" applyFont="1" applyBorder="1" applyAlignment="1">
      <alignment horizontal="left" vertical="center" wrapText="1"/>
    </xf>
    <xf numFmtId="49" fontId="9" fillId="5" borderId="9" xfId="14" applyNumberFormat="1" applyFont="1" applyBorder="1" applyAlignment="1">
      <alignment horizontal="center" vertical="center" wrapText="1"/>
    </xf>
    <xf numFmtId="0" fontId="11" fillId="5" borderId="9" xfId="15" applyFont="1" applyBorder="1" applyAlignment="1">
      <alignment horizontal="center" vertical="center"/>
    </xf>
    <xf numFmtId="49" fontId="11" fillId="5" borderId="9" xfId="14" applyNumberFormat="1" applyFont="1" applyBorder="1" applyAlignment="1">
      <alignment horizontal="left" vertical="center" wrapText="1"/>
    </xf>
    <xf numFmtId="49" fontId="11" fillId="5" borderId="9" xfId="14" applyNumberFormat="1" applyFont="1" applyBorder="1" applyAlignment="1">
      <alignment horizontal="center" vertical="center" wrapText="1"/>
    </xf>
    <xf numFmtId="0" fontId="11" fillId="3" borderId="9" xfId="15" applyFont="1" applyFill="1" applyBorder="1" applyAlignment="1">
      <alignment horizontal="center" vertical="center"/>
    </xf>
    <xf numFmtId="49" fontId="11" fillId="3" borderId="9" xfId="14" applyNumberFormat="1" applyFont="1" applyFill="1" applyBorder="1" applyAlignment="1">
      <alignment horizontal="left" vertical="center" wrapText="1"/>
    </xf>
    <xf numFmtId="49" fontId="11" fillId="3" borderId="9" xfId="14" applyNumberFormat="1" applyFont="1" applyFill="1" applyBorder="1" applyAlignment="1">
      <alignment horizontal="center" vertical="center" wrapText="1"/>
    </xf>
    <xf numFmtId="0" fontId="9" fillId="3" borderId="9" xfId="15" applyFont="1" applyFill="1" applyBorder="1" applyAlignment="1">
      <alignment horizontal="center" vertical="center"/>
    </xf>
    <xf numFmtId="0" fontId="9" fillId="5" borderId="9" xfId="14" applyFont="1" applyBorder="1" applyAlignment="1">
      <alignment horizontal="left" vertical="center" wrapText="1"/>
    </xf>
    <xf numFmtId="0" fontId="11" fillId="5" borderId="9" xfId="14" applyFont="1" applyBorder="1" applyAlignment="1">
      <alignment horizontal="left" vertical="center" wrapText="1"/>
    </xf>
    <xf numFmtId="0" fontId="11" fillId="0" borderId="9" xfId="4" applyFont="1" applyBorder="1" applyAlignment="1">
      <alignment horizontal="left" vertical="center" wrapText="1"/>
    </xf>
    <xf numFmtId="0" fontId="9" fillId="0" borderId="9" xfId="0" applyFont="1" applyBorder="1" applyAlignment="1">
      <alignment horizontal="center" vertical="center"/>
    </xf>
    <xf numFmtId="49" fontId="15" fillId="3" borderId="9" xfId="0" applyNumberFormat="1" applyFont="1" applyFill="1" applyBorder="1" applyAlignment="1">
      <alignment horizontal="left" vertical="center" wrapText="1"/>
    </xf>
    <xf numFmtId="49" fontId="15" fillId="3" borderId="9" xfId="15" applyNumberFormat="1" applyFont="1" applyFill="1" applyBorder="1" applyAlignment="1">
      <alignment horizontal="center" vertical="center" wrapText="1"/>
    </xf>
    <xf numFmtId="49" fontId="8" fillId="3" borderId="9" xfId="0" applyNumberFormat="1" applyFont="1" applyFill="1" applyBorder="1" applyAlignment="1">
      <alignment horizontal="left" vertical="center" wrapText="1"/>
    </xf>
    <xf numFmtId="49" fontId="8" fillId="3" borderId="9" xfId="15" applyNumberFormat="1" applyFont="1" applyFill="1" applyBorder="1" applyAlignment="1">
      <alignment horizontal="center" vertical="center" wrapText="1"/>
    </xf>
    <xf numFmtId="43" fontId="10" fillId="3" borderId="14" xfId="7" applyFont="1" applyFill="1" applyBorder="1" applyAlignment="1" applyProtection="1">
      <alignment horizontal="right" vertical="center" wrapText="1"/>
      <protection locked="0"/>
    </xf>
    <xf numFmtId="43" fontId="9" fillId="3" borderId="14" xfId="7" applyFont="1" applyFill="1" applyBorder="1" applyAlignment="1" applyProtection="1">
      <alignment horizontal="right" vertical="center" wrapText="1"/>
      <protection locked="0"/>
    </xf>
    <xf numFmtId="0" fontId="15" fillId="3" borderId="0" xfId="16" applyFont="1" applyFill="1" applyAlignment="1">
      <alignment horizontal="center" vertical="center"/>
    </xf>
    <xf numFmtId="0" fontId="15" fillId="3" borderId="0" xfId="16" applyFont="1" applyFill="1" applyAlignment="1">
      <alignment vertical="center"/>
    </xf>
    <xf numFmtId="0" fontId="10" fillId="3" borderId="0" xfId="16" applyFont="1" applyFill="1" applyAlignment="1">
      <alignment horizontal="center" vertical="center"/>
    </xf>
    <xf numFmtId="0" fontId="10" fillId="3" borderId="0" xfId="16" applyFont="1" applyFill="1" applyAlignment="1">
      <alignment vertical="center"/>
    </xf>
    <xf numFmtId="0" fontId="9" fillId="0" borderId="9" xfId="0" applyFont="1" applyBorder="1" applyAlignment="1">
      <alignment horizontal="left"/>
    </xf>
    <xf numFmtId="0" fontId="11" fillId="3" borderId="0" xfId="17" applyFont="1" applyFill="1" applyAlignment="1">
      <alignment horizontal="center" vertical="center"/>
    </xf>
    <xf numFmtId="165" fontId="9" fillId="3" borderId="0" xfId="20" applyNumberFormat="1" applyFont="1" applyFill="1" applyProtection="1"/>
    <xf numFmtId="0" fontId="10" fillId="3" borderId="0" xfId="18" applyFont="1" applyFill="1" applyAlignment="1">
      <alignment horizontal="center" vertical="top"/>
    </xf>
    <xf numFmtId="0" fontId="10" fillId="3" borderId="0" xfId="18" applyFont="1" applyFill="1" applyAlignment="1">
      <alignment horizontal="left" vertical="top"/>
    </xf>
    <xf numFmtId="0" fontId="15" fillId="3" borderId="0" xfId="18" applyFont="1" applyFill="1" applyAlignment="1">
      <alignment horizontal="center"/>
    </xf>
    <xf numFmtId="0" fontId="15" fillId="3" borderId="0" xfId="18" applyFont="1" applyFill="1"/>
    <xf numFmtId="165" fontId="15" fillId="2" borderId="9" xfId="22" applyNumberFormat="1" applyFont="1" applyFill="1" applyBorder="1" applyAlignment="1" applyProtection="1">
      <alignment horizontal="center" vertical="center" wrapText="1"/>
    </xf>
    <xf numFmtId="49" fontId="15" fillId="3" borderId="13" xfId="17" applyNumberFormat="1" applyFont="1" applyFill="1" applyBorder="1" applyAlignment="1">
      <alignment horizontal="center" vertical="center" wrapText="1"/>
    </xf>
    <xf numFmtId="49" fontId="15" fillId="3" borderId="9" xfId="21" applyNumberFormat="1" applyFont="1" applyFill="1" applyBorder="1" applyAlignment="1" applyProtection="1">
      <alignment horizontal="center" vertical="center" wrapText="1"/>
    </xf>
    <xf numFmtId="49" fontId="15" fillId="3" borderId="13" xfId="21" applyNumberFormat="1" applyFont="1" applyFill="1" applyBorder="1" applyAlignment="1" applyProtection="1">
      <alignment horizontal="center" vertical="center" wrapText="1"/>
    </xf>
    <xf numFmtId="0" fontId="8" fillId="5" borderId="0" xfId="17" applyFont="1"/>
    <xf numFmtId="49" fontId="15" fillId="3" borderId="0" xfId="17" applyNumberFormat="1" applyFont="1" applyFill="1" applyAlignment="1">
      <alignment horizontal="center" vertical="center" wrapText="1"/>
    </xf>
    <xf numFmtId="49" fontId="15" fillId="3" borderId="0" xfId="21" applyNumberFormat="1" applyFont="1" applyFill="1" applyBorder="1" applyAlignment="1" applyProtection="1">
      <alignment horizontal="center" vertical="center" wrapText="1"/>
    </xf>
    <xf numFmtId="0" fontId="8" fillId="3" borderId="0" xfId="17" applyFont="1" applyFill="1"/>
    <xf numFmtId="165" fontId="8" fillId="3" borderId="0" xfId="21" applyNumberFormat="1" applyFont="1" applyFill="1" applyProtection="1"/>
    <xf numFmtId="0" fontId="15" fillId="3" borderId="0" xfId="17" applyFont="1" applyFill="1"/>
    <xf numFmtId="165" fontId="8" fillId="3" borderId="0" xfId="21" applyNumberFormat="1" applyFont="1" applyFill="1">
      <protection locked="0"/>
    </xf>
    <xf numFmtId="0" fontId="8" fillId="3" borderId="0" xfId="23" applyFont="1" applyFill="1"/>
    <xf numFmtId="165" fontId="15" fillId="3" borderId="0" xfId="21" applyNumberFormat="1" applyFont="1" applyFill="1" applyBorder="1">
      <protection locked="0"/>
    </xf>
    <xf numFmtId="165" fontId="15" fillId="3" borderId="0" xfId="21" applyNumberFormat="1" applyFont="1" applyFill="1">
      <protection locked="0"/>
    </xf>
    <xf numFmtId="0" fontId="14" fillId="3" borderId="0" xfId="17" applyFont="1" applyFill="1"/>
    <xf numFmtId="165" fontId="14" fillId="3" borderId="0" xfId="21" applyNumberFormat="1" applyFont="1" applyFill="1" applyBorder="1">
      <protection locked="0"/>
    </xf>
    <xf numFmtId="165" fontId="14" fillId="3" borderId="0" xfId="21" applyNumberFormat="1" applyFont="1" applyFill="1">
      <protection locked="0"/>
    </xf>
    <xf numFmtId="165" fontId="8" fillId="3" borderId="0" xfId="21" applyNumberFormat="1" applyFont="1" applyFill="1" applyBorder="1">
      <protection locked="0"/>
    </xf>
    <xf numFmtId="165" fontId="8" fillId="3" borderId="8" xfId="21" applyNumberFormat="1" applyFont="1" applyFill="1" applyBorder="1">
      <protection locked="0"/>
    </xf>
    <xf numFmtId="0" fontId="9" fillId="3" borderId="0" xfId="0" applyFont="1" applyFill="1" applyAlignment="1">
      <alignment horizontal="left" vertical="center" wrapText="1"/>
    </xf>
    <xf numFmtId="0" fontId="12" fillId="3" borderId="0" xfId="0" applyFont="1" applyFill="1" applyAlignment="1">
      <alignment horizontal="left" vertical="center"/>
    </xf>
    <xf numFmtId="49" fontId="8" fillId="3" borderId="9" xfId="0" applyNumberFormat="1" applyFont="1" applyFill="1" applyBorder="1" applyAlignment="1">
      <alignment horizontal="center" vertical="center"/>
    </xf>
    <xf numFmtId="41" fontId="9" fillId="3" borderId="14" xfId="7" applyNumberFormat="1" applyFont="1" applyFill="1" applyBorder="1" applyAlignment="1" applyProtection="1">
      <alignment horizontal="right" vertical="center" wrapText="1"/>
      <protection locked="0"/>
    </xf>
    <xf numFmtId="0" fontId="15" fillId="2" borderId="0" xfId="0" applyFont="1" applyFill="1"/>
    <xf numFmtId="0" fontId="8" fillId="2" borderId="0" xfId="0" applyFont="1" applyFill="1"/>
    <xf numFmtId="0" fontId="8" fillId="3" borderId="3" xfId="0" applyFont="1" applyFill="1" applyBorder="1"/>
    <xf numFmtId="0" fontId="14" fillId="3" borderId="4" xfId="0" applyFont="1" applyFill="1" applyBorder="1"/>
    <xf numFmtId="0" fontId="14" fillId="2" borderId="0" xfId="0" applyFont="1" applyFill="1"/>
    <xf numFmtId="0" fontId="12" fillId="3" borderId="0" xfId="0" applyFont="1" applyFill="1" applyAlignment="1">
      <alignment horizontal="left" vertical="center" wrapText="1"/>
    </xf>
    <xf numFmtId="0" fontId="12" fillId="3" borderId="0" xfId="0" applyFont="1" applyFill="1" applyAlignment="1">
      <alignment vertical="center" wrapText="1"/>
    </xf>
    <xf numFmtId="0" fontId="17" fillId="3" borderId="0" xfId="0" applyFont="1" applyFill="1" applyAlignment="1">
      <alignment vertical="center" wrapText="1"/>
    </xf>
    <xf numFmtId="0" fontId="18" fillId="3" borderId="0" xfId="0" applyFont="1" applyFill="1" applyAlignment="1">
      <alignment vertical="center" wrapText="1"/>
    </xf>
    <xf numFmtId="0" fontId="13" fillId="3" borderId="1" xfId="0" applyFont="1" applyFill="1" applyBorder="1" applyAlignment="1">
      <alignment vertical="center"/>
    </xf>
    <xf numFmtId="0" fontId="14" fillId="3" borderId="2" xfId="0" applyFont="1" applyFill="1" applyBorder="1"/>
    <xf numFmtId="0" fontId="8" fillId="3" borderId="5" xfId="0" applyFont="1" applyFill="1" applyBorder="1"/>
    <xf numFmtId="0" fontId="8" fillId="3" borderId="2" xfId="0" applyFont="1" applyFill="1" applyBorder="1"/>
    <xf numFmtId="0" fontId="11" fillId="3" borderId="6" xfId="1" applyFont="1" applyFill="1" applyBorder="1" applyAlignment="1">
      <alignment vertical="center"/>
    </xf>
    <xf numFmtId="0" fontId="14" fillId="3" borderId="7" xfId="0" applyFont="1" applyFill="1" applyBorder="1"/>
    <xf numFmtId="0" fontId="8" fillId="3" borderId="7" xfId="0" applyFont="1" applyFill="1" applyBorder="1"/>
    <xf numFmtId="0" fontId="8" fillId="3" borderId="6" xfId="0" applyFont="1" applyFill="1" applyBorder="1"/>
    <xf numFmtId="0" fontId="10" fillId="3" borderId="6" xfId="1" applyFont="1" applyFill="1" applyBorder="1" applyAlignment="1">
      <alignment vertical="center"/>
    </xf>
    <xf numFmtId="0" fontId="9" fillId="3" borderId="3" xfId="1" applyFont="1" applyFill="1" applyBorder="1" applyAlignment="1">
      <alignment vertical="center"/>
    </xf>
    <xf numFmtId="0" fontId="8" fillId="3" borderId="8" xfId="0" applyFont="1" applyFill="1" applyBorder="1"/>
    <xf numFmtId="0" fontId="8" fillId="3" borderId="4" xfId="0" applyFont="1" applyFill="1" applyBorder="1"/>
    <xf numFmtId="0" fontId="8" fillId="2" borderId="0" xfId="0" applyFont="1" applyFill="1" applyAlignment="1">
      <alignment horizontal="center" vertical="center"/>
    </xf>
    <xf numFmtId="0" fontId="8" fillId="0" borderId="0" xfId="0" applyFont="1"/>
    <xf numFmtId="0" fontId="15" fillId="0" borderId="0" xfId="0" applyFont="1" applyAlignment="1">
      <alignment wrapText="1"/>
    </xf>
    <xf numFmtId="0" fontId="14" fillId="0" borderId="0" xfId="0" applyFont="1" applyAlignment="1">
      <alignment wrapText="1"/>
    </xf>
    <xf numFmtId="0" fontId="14" fillId="0" borderId="0" xfId="0" applyFont="1"/>
    <xf numFmtId="0" fontId="15" fillId="0" borderId="0" xfId="0" applyFont="1"/>
    <xf numFmtId="0" fontId="15" fillId="3" borderId="0" xfId="0" applyFont="1" applyFill="1" applyAlignment="1">
      <alignment horizontal="center" vertical="center"/>
    </xf>
    <xf numFmtId="0" fontId="8" fillId="3" borderId="0" xfId="0" applyFont="1" applyFill="1" applyAlignment="1">
      <alignment horizontal="center" vertical="center"/>
    </xf>
    <xf numFmtId="0" fontId="8" fillId="3" borderId="0" xfId="0" applyFont="1" applyFill="1" applyAlignment="1">
      <alignment horizontal="center" vertical="center" wrapText="1"/>
    </xf>
    <xf numFmtId="0" fontId="15" fillId="3" borderId="0" xfId="0" applyFont="1" applyFill="1" applyAlignment="1">
      <alignment horizontal="center" vertical="center" wrapText="1"/>
    </xf>
    <xf numFmtId="0" fontId="11" fillId="3" borderId="0" xfId="11" applyFont="1" applyFill="1" applyAlignment="1">
      <alignment horizontal="center" vertical="center"/>
    </xf>
    <xf numFmtId="0" fontId="17" fillId="3" borderId="0" xfId="11" applyFont="1" applyFill="1" applyAlignment="1">
      <alignment horizontal="left" vertical="top" wrapText="1"/>
    </xf>
    <xf numFmtId="37" fontId="9" fillId="3" borderId="0" xfId="11" applyNumberFormat="1" applyFont="1" applyFill="1" applyAlignment="1">
      <alignment horizontal="left"/>
    </xf>
    <xf numFmtId="0" fontId="10" fillId="6" borderId="15" xfId="0" applyFont="1" applyFill="1" applyBorder="1" applyAlignment="1">
      <alignment horizontal="center" vertical="center" wrapText="1"/>
    </xf>
    <xf numFmtId="165" fontId="15" fillId="3" borderId="0" xfId="21" applyNumberFormat="1" applyFont="1" applyFill="1" applyAlignment="1">
      <alignment horizontal="left" vertical="center"/>
      <protection locked="0"/>
    </xf>
    <xf numFmtId="0" fontId="9" fillId="3" borderId="0" xfId="17" applyFont="1" applyFill="1" applyAlignment="1">
      <alignment horizontal="left" vertical="top"/>
    </xf>
    <xf numFmtId="4" fontId="9" fillId="3" borderId="0" xfId="17" quotePrefix="1" applyNumberFormat="1" applyFont="1" applyFill="1" applyAlignment="1">
      <alignment horizontal="left"/>
    </xf>
    <xf numFmtId="4" fontId="9" fillId="3" borderId="0" xfId="17" applyNumberFormat="1" applyFont="1" applyFill="1" applyAlignment="1">
      <alignment horizontal="left"/>
    </xf>
    <xf numFmtId="0" fontId="22" fillId="4" borderId="0" xfId="12" applyFont="1" applyFill="1" applyAlignment="1">
      <alignment vertical="center"/>
    </xf>
    <xf numFmtId="0" fontId="22" fillId="4" borderId="0" xfId="12" applyFont="1" applyFill="1"/>
    <xf numFmtId="0" fontId="22" fillId="3" borderId="0" xfId="12" applyFont="1" applyFill="1"/>
    <xf numFmtId="0" fontId="22" fillId="0" borderId="0" xfId="0" applyFont="1"/>
    <xf numFmtId="0" fontId="22" fillId="4" borderId="0" xfId="12" applyFont="1" applyFill="1" applyAlignment="1">
      <alignment horizontal="center"/>
    </xf>
    <xf numFmtId="0" fontId="8" fillId="3" borderId="8" xfId="23" applyFont="1" applyFill="1" applyBorder="1"/>
    <xf numFmtId="0" fontId="8" fillId="3" borderId="0" xfId="23" applyFont="1" applyFill="1" applyAlignment="1">
      <alignment horizontal="left"/>
    </xf>
    <xf numFmtId="165" fontId="8" fillId="5" borderId="0" xfId="21" applyNumberFormat="1" applyFont="1" applyProtection="1"/>
    <xf numFmtId="0" fontId="22" fillId="3" borderId="0" xfId="12" applyFont="1" applyFill="1" applyAlignment="1">
      <alignment horizontal="center"/>
    </xf>
    <xf numFmtId="0" fontId="15" fillId="7" borderId="9" xfId="0" applyFont="1" applyFill="1" applyBorder="1" applyAlignment="1">
      <alignment horizontal="center" vertical="center" wrapText="1"/>
    </xf>
    <xf numFmtId="165" fontId="10" fillId="7" borderId="15" xfId="0" applyNumberFormat="1" applyFont="1" applyFill="1" applyBorder="1" applyAlignment="1">
      <alignment horizontal="center" vertical="center" wrapText="1"/>
    </xf>
    <xf numFmtId="0" fontId="10" fillId="7" borderId="9" xfId="14" applyFont="1" applyFill="1" applyBorder="1" applyAlignment="1">
      <alignment horizontal="center" vertical="center" wrapText="1"/>
    </xf>
    <xf numFmtId="0" fontId="10" fillId="7" borderId="9" xfId="0" applyFont="1" applyFill="1" applyBorder="1" applyAlignment="1">
      <alignment horizontal="center" vertical="center" wrapText="1"/>
    </xf>
    <xf numFmtId="0" fontId="10" fillId="7" borderId="9" xfId="0" applyFont="1" applyFill="1" applyBorder="1" applyAlignment="1">
      <alignment horizontal="center" vertical="center"/>
    </xf>
    <xf numFmtId="49" fontId="10" fillId="7" borderId="9" xfId="14" applyNumberFormat="1" applyFont="1" applyFill="1" applyBorder="1" applyAlignment="1">
      <alignment horizontal="left" vertical="center" wrapText="1"/>
    </xf>
    <xf numFmtId="49" fontId="10" fillId="7" borderId="9" xfId="14" applyNumberFormat="1" applyFont="1" applyFill="1" applyBorder="1" applyAlignment="1">
      <alignment horizontal="center" vertical="center" wrapText="1"/>
    </xf>
    <xf numFmtId="41" fontId="10" fillId="7" borderId="9" xfId="22" applyNumberFormat="1" applyFont="1" applyFill="1" applyBorder="1" applyAlignment="1">
      <alignment horizontal="left"/>
    </xf>
    <xf numFmtId="41" fontId="9" fillId="5" borderId="9" xfId="22" applyNumberFormat="1" applyFont="1" applyBorder="1"/>
    <xf numFmtId="41" fontId="9" fillId="0" borderId="9" xfId="0" applyNumberFormat="1" applyFont="1" applyBorder="1" applyAlignment="1">
      <alignment horizontal="left"/>
    </xf>
    <xf numFmtId="0" fontId="10" fillId="7" borderId="9" xfId="15" applyFont="1" applyFill="1" applyBorder="1" applyAlignment="1">
      <alignment horizontal="center" vertical="center"/>
    </xf>
    <xf numFmtId="41" fontId="10" fillId="7" borderId="9" xfId="22" applyNumberFormat="1" applyFont="1" applyFill="1" applyBorder="1"/>
    <xf numFmtId="0" fontId="8" fillId="3" borderId="0" xfId="12" applyFont="1" applyFill="1" applyAlignment="1">
      <alignment horizontal="center"/>
    </xf>
    <xf numFmtId="0" fontId="15" fillId="3" borderId="5" xfId="12" applyFont="1" applyFill="1" applyBorder="1"/>
    <xf numFmtId="0" fontId="8" fillId="3" borderId="5" xfId="12" applyFont="1" applyFill="1" applyBorder="1"/>
    <xf numFmtId="0" fontId="10" fillId="2" borderId="9" xfId="14" applyFont="1" applyFill="1" applyBorder="1" applyAlignment="1">
      <alignment horizontal="left" vertical="center" wrapText="1"/>
    </xf>
    <xf numFmtId="0" fontId="10" fillId="2" borderId="9" xfId="14" applyFont="1" applyFill="1" applyBorder="1" applyAlignment="1">
      <alignment horizontal="center" vertical="center" wrapText="1"/>
    </xf>
    <xf numFmtId="4" fontId="9" fillId="3" borderId="14" xfId="0" applyNumberFormat="1" applyFont="1" applyFill="1" applyBorder="1" applyAlignment="1" applyProtection="1">
      <alignment horizontal="center" vertical="center" wrapText="1"/>
      <protection locked="0"/>
    </xf>
    <xf numFmtId="4" fontId="9" fillId="3" borderId="14" xfId="0" applyNumberFormat="1" applyFont="1" applyFill="1" applyBorder="1" applyAlignment="1" applyProtection="1">
      <alignment horizontal="left" vertical="center" wrapText="1"/>
      <protection locked="0"/>
    </xf>
    <xf numFmtId="49" fontId="9" fillId="3" borderId="14" xfId="0" applyNumberFormat="1" applyFont="1" applyFill="1" applyBorder="1" applyAlignment="1" applyProtection="1">
      <alignment horizontal="center" vertical="center" wrapText="1"/>
      <protection locked="0"/>
    </xf>
    <xf numFmtId="165" fontId="9" fillId="0" borderId="14" xfId="0" applyNumberFormat="1" applyFont="1" applyBorder="1" applyAlignment="1" applyProtection="1">
      <alignment horizontal="right" vertical="center" wrapText="1"/>
      <protection locked="0"/>
    </xf>
    <xf numFmtId="4" fontId="11" fillId="3" borderId="14" xfId="0" applyNumberFormat="1" applyFont="1" applyFill="1" applyBorder="1" applyAlignment="1" applyProtection="1">
      <alignment horizontal="left" vertical="center" wrapText="1"/>
      <protection locked="0"/>
    </xf>
    <xf numFmtId="49" fontId="11" fillId="3" borderId="14" xfId="0" applyNumberFormat="1" applyFont="1" applyFill="1" applyBorder="1" applyAlignment="1" applyProtection="1">
      <alignment horizontal="center" vertical="center" wrapText="1"/>
      <protection locked="0"/>
    </xf>
    <xf numFmtId="0" fontId="9" fillId="3" borderId="14" xfId="0" applyFont="1" applyFill="1" applyBorder="1" applyAlignment="1" applyProtection="1">
      <alignment horizontal="center" vertical="center" wrapText="1"/>
      <protection locked="0"/>
    </xf>
    <xf numFmtId="0" fontId="9" fillId="3" borderId="14" xfId="0" applyFont="1" applyFill="1" applyBorder="1" applyAlignment="1" applyProtection="1">
      <alignment horizontal="left" vertical="center" wrapText="1"/>
      <protection locked="0"/>
    </xf>
    <xf numFmtId="166" fontId="9" fillId="3" borderId="14" xfId="0" applyNumberFormat="1" applyFont="1" applyFill="1" applyBorder="1" applyAlignment="1" applyProtection="1">
      <alignment horizontal="right" vertical="center" wrapText="1"/>
      <protection locked="0"/>
    </xf>
    <xf numFmtId="0" fontId="8" fillId="3" borderId="0" xfId="24" applyFont="1" applyFill="1" applyAlignment="1">
      <alignment vertical="center" wrapText="1"/>
    </xf>
    <xf numFmtId="0" fontId="15" fillId="3" borderId="0" xfId="24" applyFont="1" applyFill="1" applyAlignment="1">
      <alignment horizontal="center" vertical="center"/>
    </xf>
    <xf numFmtId="4" fontId="24" fillId="8" borderId="18" xfId="0" applyNumberFormat="1" applyFont="1" applyFill="1" applyBorder="1" applyAlignment="1" applyProtection="1">
      <alignment horizontal="left" vertical="center" wrapText="1"/>
      <protection locked="0"/>
    </xf>
    <xf numFmtId="4" fontId="25" fillId="9" borderId="19" xfId="0" applyNumberFormat="1" applyFont="1" applyFill="1" applyBorder="1" applyAlignment="1" applyProtection="1">
      <alignment horizontal="center" vertical="center" wrapText="1"/>
      <protection locked="0"/>
    </xf>
    <xf numFmtId="0" fontId="26" fillId="10" borderId="20" xfId="0" applyNumberFormat="1" applyFont="1" applyFill="1" applyBorder="1" applyAlignment="1" applyProtection="1">
      <alignment horizontal="center" vertical="center" wrapText="1"/>
      <protection locked="0"/>
    </xf>
    <xf numFmtId="10" fontId="27" fillId="11" borderId="21" xfId="0" applyNumberFormat="1" applyFont="1" applyFill="1" applyBorder="1" applyAlignment="1" applyProtection="1">
      <alignment horizontal="right" vertical="center" wrapText="1"/>
      <protection locked="0"/>
    </xf>
    <xf numFmtId="165" fontId="28" fillId="12" borderId="22" xfId="0" applyNumberFormat="1" applyFont="1" applyFill="1" applyBorder="1" applyAlignment="1" applyProtection="1">
      <alignment horizontal="right" vertical="center" wrapText="1"/>
      <protection locked="0"/>
    </xf>
    <xf numFmtId="0" fontId="29" fillId="13" borderId="23" xfId="0" applyNumberFormat="1" applyFont="1" applyFill="1" applyBorder="1" applyAlignment="1" applyProtection="1">
      <alignment horizontal="left" vertical="center" wrapText="1"/>
      <protection locked="0"/>
    </xf>
    <xf numFmtId="0" fontId="30" fillId="14" borderId="24" xfId="0" applyNumberFormat="1" applyFont="1" applyFill="1" applyBorder="1" applyAlignment="1" applyProtection="1">
      <alignment horizontal="center" vertical="center" wrapText="1"/>
      <protection locked="0"/>
    </xf>
    <xf numFmtId="10" fontId="31" fillId="15" borderId="25" xfId="0" applyNumberFormat="1" applyFont="1" applyFill="1" applyBorder="1" applyAlignment="1" applyProtection="1">
      <alignment horizontal="right" vertical="center" wrapText="1"/>
      <protection locked="0"/>
    </xf>
    <xf numFmtId="165" fontId="32" fillId="16" borderId="26" xfId="0" applyNumberFormat="1" applyFont="1" applyFill="1" applyBorder="1" applyAlignment="1" applyProtection="1">
      <alignment horizontal="right" vertical="center" wrapText="1"/>
      <protection locked="0"/>
    </xf>
    <xf numFmtId="43" fontId="33" fillId="17" borderId="27" xfId="0" applyNumberFormat="1" applyFont="1" applyFill="1" applyBorder="1" applyAlignment="1" applyProtection="1">
      <alignment horizontal="right" vertical="center" wrapText="1"/>
      <protection locked="0"/>
    </xf>
    <xf numFmtId="37" fontId="34" fillId="18" borderId="28" xfId="0" applyNumberFormat="1" applyFont="1" applyFill="1" applyBorder="1" applyAlignment="1" applyProtection="1">
      <alignment horizontal="right" vertical="center" wrapText="1"/>
      <protection locked="0"/>
    </xf>
    <xf numFmtId="0" fontId="9" fillId="0" borderId="29" xfId="0" applyFont="1" applyFill="1" applyBorder="1" applyAlignment="1">
      <alignment horizontal="center" vertical="center" wrapText="1"/>
    </xf>
    <xf numFmtId="167" fontId="9" fillId="0" borderId="29" xfId="0" applyNumberFormat="1" applyFont="1" applyFill="1" applyBorder="1" applyAlignment="1">
      <alignment horizontal="right" vertical="center" wrapText="1"/>
    </xf>
    <xf numFmtId="10" fontId="9" fillId="0" borderId="29" xfId="0" applyNumberFormat="1" applyFont="1" applyFill="1" applyBorder="1" applyAlignment="1">
      <alignment horizontal="right" vertical="center" wrapText="1"/>
    </xf>
    <xf numFmtId="0" fontId="9" fillId="0" borderId="29" xfId="0" applyFont="1" applyFill="1" applyBorder="1" applyAlignment="1">
      <alignment horizontal="right" vertical="center" wrapText="1"/>
    </xf>
    <xf numFmtId="0" fontId="8" fillId="3" borderId="1" xfId="0" applyFont="1" applyFill="1" applyBorder="1"/>
    <xf numFmtId="0" fontId="8" fillId="3" borderId="2" xfId="0" applyFont="1" applyFill="1" applyBorder="1"/>
    <xf numFmtId="15" fontId="9" fillId="3" borderId="0" xfId="0" applyNumberFormat="1" applyFont="1" applyFill="1" applyAlignment="1">
      <alignment horizontal="left" vertical="center" wrapText="1"/>
    </xf>
    <xf numFmtId="0" fontId="9" fillId="3" borderId="0" xfId="0" applyFont="1" applyFill="1" applyAlignment="1">
      <alignment horizontal="left" vertical="center" wrapText="1"/>
    </xf>
    <xf numFmtId="0" fontId="12" fillId="3" borderId="0" xfId="0" applyFont="1" applyFill="1" applyAlignment="1">
      <alignment horizontal="left" vertical="center" wrapText="1"/>
    </xf>
    <xf numFmtId="0" fontId="21" fillId="0" borderId="0" xfId="11" applyFont="1" applyAlignment="1">
      <alignment horizontal="right" vertical="center" wrapText="1"/>
    </xf>
    <xf numFmtId="0" fontId="20" fillId="3" borderId="0" xfId="11" applyFont="1" applyFill="1" applyAlignment="1">
      <alignment horizontal="right" vertical="center" wrapText="1"/>
    </xf>
    <xf numFmtId="0" fontId="10" fillId="0" borderId="0" xfId="11" applyFont="1" applyAlignment="1">
      <alignment horizontal="center" vertical="center" wrapText="1"/>
    </xf>
    <xf numFmtId="0" fontId="11" fillId="3" borderId="0" xfId="11" applyFont="1" applyFill="1" applyAlignment="1">
      <alignment horizontal="center" vertical="center"/>
    </xf>
    <xf numFmtId="0" fontId="12" fillId="3" borderId="0" xfId="11" applyFont="1" applyFill="1" applyAlignment="1">
      <alignment horizontal="left" vertical="center" wrapText="1"/>
    </xf>
    <xf numFmtId="0" fontId="10" fillId="3" borderId="0" xfId="11" applyFont="1" applyFill="1" applyAlignment="1">
      <alignment horizontal="left" vertical="center"/>
    </xf>
    <xf numFmtId="0" fontId="18" fillId="3" borderId="0" xfId="11" applyFont="1" applyFill="1" applyAlignment="1">
      <alignment horizontal="left" vertical="center" wrapText="1"/>
    </xf>
    <xf numFmtId="0" fontId="9" fillId="3" borderId="0" xfId="11" applyFont="1" applyFill="1" applyAlignment="1">
      <alignment horizontal="left" vertical="center" wrapText="1"/>
    </xf>
    <xf numFmtId="0" fontId="19" fillId="3" borderId="0" xfId="11" applyFont="1" applyFill="1" applyAlignment="1">
      <alignment horizontal="left" vertical="center" wrapText="1"/>
    </xf>
    <xf numFmtId="0" fontId="12" fillId="3" borderId="0" xfId="11" applyFont="1" applyFill="1" applyAlignment="1">
      <alignment horizontal="left" vertical="top" wrapText="1"/>
    </xf>
    <xf numFmtId="0" fontId="8" fillId="3" borderId="0" xfId="11" applyFont="1" applyFill="1" applyAlignment="1">
      <alignment horizontal="left" vertical="top" wrapText="1"/>
    </xf>
    <xf numFmtId="0" fontId="18" fillId="3" borderId="0" xfId="11" applyFont="1" applyFill="1" applyAlignment="1">
      <alignment horizontal="left" vertical="top" wrapText="1"/>
    </xf>
    <xf numFmtId="0" fontId="17" fillId="3" borderId="0" xfId="11" applyFont="1" applyFill="1" applyAlignment="1">
      <alignment horizontal="left" vertical="top" wrapText="1"/>
    </xf>
    <xf numFmtId="37" fontId="9" fillId="3" borderId="0" xfId="11" quotePrefix="1" applyNumberFormat="1" applyFont="1" applyFill="1" applyAlignment="1">
      <alignment horizontal="left"/>
    </xf>
    <xf numFmtId="37" fontId="9" fillId="3" borderId="0" xfId="11" applyNumberFormat="1" applyFont="1" applyFill="1" applyAlignment="1">
      <alignment horizontal="left"/>
    </xf>
    <xf numFmtId="0" fontId="15" fillId="3" borderId="5" xfId="17" applyFont="1" applyFill="1" applyBorder="1" applyAlignment="1">
      <alignment horizontal="left" vertical="center"/>
    </xf>
    <xf numFmtId="0" fontId="10" fillId="6" borderId="15" xfId="0" applyFont="1" applyFill="1" applyBorder="1" applyAlignment="1">
      <alignment horizontal="center" vertical="center" wrapText="1"/>
    </xf>
    <xf numFmtId="0" fontId="10" fillId="6" borderId="15" xfId="0" applyFont="1" applyFill="1" applyBorder="1" applyAlignment="1">
      <alignment horizontal="center" vertical="center"/>
    </xf>
    <xf numFmtId="0" fontId="9" fillId="3" borderId="0" xfId="0" quotePrefix="1" applyFont="1" applyFill="1" applyAlignment="1">
      <alignment horizontal="left" vertical="center" wrapText="1"/>
    </xf>
    <xf numFmtId="0" fontId="10" fillId="3" borderId="0" xfId="0" applyFont="1" applyFill="1" applyAlignment="1">
      <alignment horizontal="right" vertical="center" wrapText="1"/>
    </xf>
    <xf numFmtId="0" fontId="11" fillId="3" borderId="0" xfId="0" applyFont="1" applyFill="1" applyAlignment="1">
      <alignment horizontal="right" vertical="center" wrapText="1"/>
    </xf>
    <xf numFmtId="0" fontId="10" fillId="3" borderId="0" xfId="0" applyFont="1" applyFill="1" applyAlignment="1">
      <alignment horizontal="center" vertical="center" wrapText="1"/>
    </xf>
    <xf numFmtId="0" fontId="11" fillId="3" borderId="0" xfId="0" applyFont="1" applyFill="1" applyAlignment="1">
      <alignment horizontal="center" vertical="center"/>
    </xf>
    <xf numFmtId="0" fontId="8" fillId="3" borderId="0" xfId="0" quotePrefix="1" applyFont="1" applyFill="1" applyAlignment="1">
      <alignment horizontal="left" vertical="center"/>
    </xf>
    <xf numFmtId="0" fontId="8" fillId="3" borderId="0" xfId="0" applyFont="1" applyFill="1" applyAlignment="1">
      <alignment horizontal="left" vertical="center"/>
    </xf>
    <xf numFmtId="0" fontId="15" fillId="3" borderId="0" xfId="0" applyFont="1" applyFill="1" applyAlignment="1">
      <alignment horizontal="right" vertical="center" wrapText="1"/>
    </xf>
    <xf numFmtId="0" fontId="14" fillId="3" borderId="0" xfId="0" applyFont="1" applyFill="1" applyAlignment="1">
      <alignment horizontal="right" vertical="center" wrapText="1"/>
    </xf>
    <xf numFmtId="0" fontId="15" fillId="3" borderId="0" xfId="0" applyFont="1" applyFill="1" applyAlignment="1">
      <alignment horizontal="center" vertical="center" wrapText="1"/>
    </xf>
    <xf numFmtId="0" fontId="14" fillId="3" borderId="0" xfId="0" applyFont="1" applyFill="1" applyAlignment="1">
      <alignment horizontal="center" vertical="center"/>
    </xf>
    <xf numFmtId="0" fontId="12" fillId="3" borderId="0" xfId="0" applyFont="1" applyFill="1" applyAlignment="1">
      <alignment horizontal="left" vertical="center"/>
    </xf>
    <xf numFmtId="0" fontId="8" fillId="3" borderId="0" xfId="0" applyFont="1" applyFill="1" applyAlignment="1">
      <alignment horizontal="left" vertical="center" wrapText="1"/>
    </xf>
    <xf numFmtId="49" fontId="8" fillId="3" borderId="9" xfId="0" applyNumberFormat="1" applyFont="1" applyFill="1" applyBorder="1" applyAlignment="1">
      <alignment horizontal="center" vertical="center"/>
    </xf>
    <xf numFmtId="49" fontId="8" fillId="3" borderId="12" xfId="0" applyNumberFormat="1" applyFont="1" applyFill="1" applyBorder="1" applyAlignment="1">
      <alignment horizontal="center" vertical="center"/>
    </xf>
    <xf numFmtId="49" fontId="8" fillId="3" borderId="17" xfId="0" applyNumberFormat="1" applyFont="1" applyFill="1" applyBorder="1" applyAlignment="1">
      <alignment horizontal="center" vertical="center"/>
    </xf>
    <xf numFmtId="49" fontId="8" fillId="3" borderId="13" xfId="0" applyNumberFormat="1" applyFont="1" applyFill="1" applyBorder="1" applyAlignment="1">
      <alignment horizontal="center" vertical="center"/>
    </xf>
    <xf numFmtId="0" fontId="8" fillId="3" borderId="0" xfId="0" applyFont="1" applyFill="1" applyAlignment="1">
      <alignment horizontal="center" vertical="center"/>
    </xf>
    <xf numFmtId="0" fontId="15" fillId="3" borderId="0" xfId="0" applyFont="1" applyFill="1" applyAlignment="1">
      <alignment horizontal="center" vertical="center"/>
    </xf>
    <xf numFmtId="0" fontId="8" fillId="3" borderId="0" xfId="0" quotePrefix="1" applyFont="1" applyFill="1" applyAlignment="1">
      <alignment horizontal="left" vertical="center" wrapText="1"/>
    </xf>
    <xf numFmtId="0" fontId="15" fillId="2" borderId="10" xfId="0" applyFont="1" applyFill="1" applyBorder="1" applyAlignment="1">
      <alignment horizontal="center" vertical="center" wrapText="1"/>
    </xf>
    <xf numFmtId="0" fontId="15" fillId="2" borderId="11" xfId="0" applyFont="1" applyFill="1" applyBorder="1" applyAlignment="1">
      <alignment horizontal="center" vertical="center" wrapText="1"/>
    </xf>
    <xf numFmtId="0" fontId="8" fillId="3" borderId="12" xfId="0" applyFont="1" applyFill="1" applyBorder="1" applyAlignment="1">
      <alignment horizontal="center" vertical="center"/>
    </xf>
    <xf numFmtId="0" fontId="8" fillId="3" borderId="13" xfId="0" applyFont="1" applyFill="1" applyBorder="1" applyAlignment="1">
      <alignment horizontal="center" vertical="center"/>
    </xf>
    <xf numFmtId="0" fontId="8" fillId="3" borderId="0" xfId="0" applyFont="1" applyFill="1" applyAlignment="1">
      <alignment horizontal="center" vertical="center" wrapText="1"/>
    </xf>
    <xf numFmtId="0" fontId="8" fillId="3" borderId="0" xfId="0" quotePrefix="1" applyFont="1" applyFill="1" applyAlignment="1">
      <alignment vertical="center" wrapText="1"/>
    </xf>
    <xf numFmtId="0" fontId="8" fillId="3" borderId="0" xfId="0" applyFont="1" applyFill="1" applyAlignment="1">
      <alignment vertical="center" wrapText="1"/>
    </xf>
    <xf numFmtId="0" fontId="12" fillId="3" borderId="0" xfId="0" applyFont="1" applyFill="1" applyAlignment="1">
      <alignment vertical="center" wrapText="1"/>
    </xf>
    <xf numFmtId="0" fontId="15" fillId="3" borderId="0" xfId="24" applyFont="1" applyFill="1" applyAlignment="1">
      <alignment horizontal="center" vertical="center"/>
    </xf>
    <xf numFmtId="0" fontId="15" fillId="2" borderId="12" xfId="0" applyFont="1" applyFill="1" applyBorder="1" applyAlignment="1">
      <alignment horizontal="center" vertical="center" wrapText="1"/>
    </xf>
    <xf numFmtId="0" fontId="15" fillId="2" borderId="13" xfId="0" applyFont="1" applyFill="1" applyBorder="1" applyAlignment="1">
      <alignment horizontal="center" vertical="center" wrapText="1"/>
    </xf>
    <xf numFmtId="49" fontId="8" fillId="3" borderId="0" xfId="17" applyNumberFormat="1" applyFont="1" applyFill="1" applyAlignment="1">
      <alignment horizontal="left" vertical="center" wrapText="1"/>
    </xf>
    <xf numFmtId="0" fontId="15" fillId="3" borderId="0" xfId="17" applyFont="1" applyFill="1" applyAlignment="1">
      <alignment horizontal="left" vertical="center"/>
    </xf>
    <xf numFmtId="165" fontId="15" fillId="3" borderId="0" xfId="21" applyNumberFormat="1" applyFont="1" applyFill="1" applyAlignment="1">
      <alignment horizontal="left" vertical="center"/>
      <protection locked="0"/>
    </xf>
    <xf numFmtId="0" fontId="8" fillId="3" borderId="0" xfId="17" applyFont="1" applyFill="1" applyAlignment="1">
      <alignment horizontal="left" vertical="center"/>
    </xf>
    <xf numFmtId="165" fontId="8" fillId="3" borderId="0" xfId="21" applyNumberFormat="1" applyFont="1" applyFill="1" applyAlignment="1">
      <alignment horizontal="left" vertical="center"/>
      <protection locked="0"/>
    </xf>
    <xf numFmtId="0" fontId="9" fillId="3" borderId="0" xfId="17" applyFont="1" applyFill="1" applyAlignment="1">
      <alignment horizontal="left" vertical="top"/>
    </xf>
    <xf numFmtId="4" fontId="9" fillId="3" borderId="0" xfId="17" quotePrefix="1" applyNumberFormat="1" applyFont="1" applyFill="1" applyAlignment="1">
      <alignment horizontal="left"/>
    </xf>
    <xf numFmtId="4" fontId="9" fillId="3" borderId="0" xfId="17" applyNumberFormat="1" applyFont="1" applyFill="1" applyAlignment="1">
      <alignment horizontal="left"/>
    </xf>
    <xf numFmtId="165" fontId="15" fillId="2" borderId="12" xfId="22" applyNumberFormat="1" applyFont="1" applyFill="1" applyBorder="1" applyAlignment="1" applyProtection="1">
      <alignment horizontal="center" vertical="center" wrapText="1"/>
    </xf>
    <xf numFmtId="165" fontId="15" fillId="2" borderId="13" xfId="22" applyNumberFormat="1" applyFont="1" applyFill="1" applyBorder="1" applyAlignment="1" applyProtection="1">
      <alignment horizontal="center" vertical="center" wrapText="1"/>
    </xf>
    <xf numFmtId="165" fontId="15" fillId="2" borderId="10" xfId="22" applyNumberFormat="1" applyFont="1" applyFill="1" applyBorder="1" applyAlignment="1" applyProtection="1">
      <alignment horizontal="center" vertical="center" wrapText="1"/>
    </xf>
    <xf numFmtId="165" fontId="15" fillId="2" borderId="16" xfId="22" applyNumberFormat="1" applyFont="1" applyFill="1" applyBorder="1" applyAlignment="1" applyProtection="1">
      <alignment horizontal="center" vertical="center" wrapText="1"/>
    </xf>
    <xf numFmtId="165" fontId="15" fillId="2" borderId="11" xfId="22" applyNumberFormat="1" applyFont="1" applyFill="1" applyBorder="1" applyAlignment="1" applyProtection="1">
      <alignment horizontal="center" vertical="center" wrapText="1"/>
    </xf>
    <xf numFmtId="0" fontId="12" fillId="3" borderId="0" xfId="17" applyFont="1" applyFill="1" applyAlignment="1">
      <alignment horizontal="left" vertical="top" wrapText="1"/>
    </xf>
    <xf numFmtId="0" fontId="18" fillId="3" borderId="0" xfId="17" applyFont="1" applyFill="1" applyAlignment="1">
      <alignment horizontal="left" vertical="top" wrapText="1"/>
    </xf>
    <xf numFmtId="0" fontId="17" fillId="3" borderId="0" xfId="17" applyFont="1" applyFill="1" applyAlignment="1">
      <alignment horizontal="left" vertical="top" wrapText="1"/>
    </xf>
    <xf numFmtId="0" fontId="19" fillId="3" borderId="0" xfId="17" applyFont="1" applyFill="1" applyAlignment="1">
      <alignment horizontal="left" vertical="top" wrapText="1"/>
    </xf>
    <xf numFmtId="0" fontId="9" fillId="3" borderId="0" xfId="17" applyFont="1" applyFill="1" applyAlignment="1">
      <alignment horizontal="left" vertical="top" wrapText="1"/>
    </xf>
    <xf numFmtId="0" fontId="8" fillId="3" borderId="0" xfId="17" applyFont="1" applyFill="1" applyAlignment="1">
      <alignment horizontal="left" vertical="top" wrapText="1"/>
    </xf>
    <xf numFmtId="0" fontId="21" fillId="3" borderId="0" xfId="17" applyFont="1" applyFill="1" applyAlignment="1">
      <alignment horizontal="right" vertical="center" wrapText="1"/>
    </xf>
    <xf numFmtId="0" fontId="20" fillId="3" borderId="0" xfId="17" applyFont="1" applyFill="1" applyAlignment="1">
      <alignment horizontal="right" vertical="center" wrapText="1"/>
    </xf>
    <xf numFmtId="0" fontId="10" fillId="3" borderId="0" xfId="18" applyFont="1" applyFill="1" applyAlignment="1">
      <alignment horizontal="center" vertical="center" wrapText="1"/>
    </xf>
    <xf numFmtId="0" fontId="11" fillId="3" borderId="0" xfId="19" applyFont="1" applyFill="1" applyAlignment="1">
      <alignment horizontal="center" vertical="center"/>
    </xf>
  </cellXfs>
  <cellStyles count="35">
    <cellStyle name="Comma" xfId="7" builtinId="3"/>
    <cellStyle name="Comma 13" xfId="25" xr:uid="{17F5F435-C64B-402D-A665-C86A770C48E7}"/>
    <cellStyle name="Comma 2" xfId="5" xr:uid="{00000000-0005-0000-0000-000001000000}"/>
    <cellStyle name="Comma 2 2" xfId="26" xr:uid="{B2B1EDE3-B046-4497-BA96-92C19E2065B5}"/>
    <cellStyle name="Comma 3" xfId="8" xr:uid="{00000000-0005-0000-0000-000002000000}"/>
    <cellStyle name="Comma 4" xfId="13" xr:uid="{00000000-0005-0000-0000-000003000000}"/>
    <cellStyle name="Comma 4 2" xfId="22" xr:uid="{00000000-0005-0000-0000-000004000000}"/>
    <cellStyle name="Comma 4 3" xfId="33" xr:uid="{280550B0-48A8-4169-8B75-08D021A153C3}"/>
    <cellStyle name="Comma 5" xfId="21" xr:uid="{00000000-0005-0000-0000-000005000000}"/>
    <cellStyle name="Comma 6" xfId="29" xr:uid="{3F409AD4-61E2-4D18-9CD9-5EC392423D75}"/>
    <cellStyle name="Currency [0] 2" xfId="4" xr:uid="{00000000-0005-0000-0000-000006000000}"/>
    <cellStyle name="Currency [0] 2 2" xfId="27" xr:uid="{DC3261B7-D4EB-448E-AFDC-9AC5D1C93FCB}"/>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213" xfId="34" xr:uid="{878B0949-0731-4726-BD84-BAF2BB3D261B}"/>
    <cellStyle name="Normal 3" xfId="2" xr:uid="{00000000-0005-0000-0000-00000C000000}"/>
    <cellStyle name="Normal 3 2" xfId="12" xr:uid="{00000000-0005-0000-0000-00000D000000}"/>
    <cellStyle name="Normal 3 2 2" xfId="16" xr:uid="{00000000-0005-0000-0000-00000E000000}"/>
    <cellStyle name="Normal 3 2 2 2" xfId="31" xr:uid="{D604CB62-CD83-40DC-8A8A-976D0B809DE8}"/>
    <cellStyle name="Normal 3 2 25" xfId="15" xr:uid="{00000000-0005-0000-0000-00000F000000}"/>
    <cellStyle name="Normal 3 2 3" xfId="32" xr:uid="{5A416607-902F-45BA-98A4-130307974D96}"/>
    <cellStyle name="Normal 3 2 4" xfId="30" xr:uid="{631848AD-2E4A-4259-BED7-D22CE47CD3C7}"/>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 6" xfId="24" xr:uid="{CDBF440C-AF98-40C9-A15B-DCC594CB0910}"/>
    <cellStyle name="Normal_Bao cao tai chinh 280405" xfId="1" xr:uid="{00000000-0005-0000-0000-000014000000}"/>
    <cellStyle name="Percent 2" xfId="9" xr:uid="{00000000-0005-0000-0000-000016000000}"/>
    <cellStyle name="Percent 2 2" xfId="28" xr:uid="{00C202D6-E4BB-4B53-ADD3-7A16A2816C48}"/>
    <cellStyle name="Percent 3" xfId="10" xr:uid="{00000000-0005-0000-0000-000017000000}"/>
    <cellStyle name="Percent 4" xfId="20" xr:uid="{00000000-0005-0000-0000-000018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drawing8.xml.rels><?xml version="1.0" encoding="UTF-8" standalone="yes"?>
<Relationships xmlns="http://schemas.openxmlformats.org/package/2006/relationships"><Relationship Id="rId1" Type="http://schemas.openxmlformats.org/officeDocument/2006/relationships/image" Target="../media/image1.emf"/></Relationships>
</file>

<file path=xl/drawings/_rels/drawing9.xml.rels><?xml version="1.0" encoding="UTF-8" standalone="yes"?>
<Relationships xmlns="http://schemas.openxmlformats.org/package/2006/relationships"><Relationship Id="rId1" Type="http://schemas.openxmlformats.org/officeDocument/2006/relationships/image" Target="../media/image1.emf"/></Relationships>
</file>

<file path=xl/drawings/_rels/drawing10.xml.rels><?xml version="1.0" encoding="UTF-8" standalone="yes"?>
<Relationships xmlns="http://schemas.openxmlformats.org/package/2006/relationships"><Relationship Id="rId1" Type="http://schemas.openxmlformats.org/officeDocument/2006/relationships/image" Target="../media/image1.emf"/></Relationships>
</file>

<file path=xl/drawings/_rels/drawing11.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9.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10.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11.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1304925</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67"/>
                </a:ext>
              </a:extLst>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xdr:colOff>
          <xdr:row>0</xdr:row>
          <xdr:rowOff>0</xdr:rowOff>
        </xdr:from>
        <xdr:to>
          <xdr:col>1</xdr:col>
          <xdr:colOff>2285371</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497"/>
                </a:ext>
              </a:extLst>
            </xdr:cNvPicPr>
          </xdr:nvPicPr>
          <xdr:blipFill>
            <a:blip xmlns:r="http://schemas.openxmlformats.org/officeDocument/2006/relationships" r:embed="rId1"/>
            <a:srcRect/>
            <a:stretch>
              <a:fillRect/>
            </a:stretch>
          </xdr:blipFill>
          <xdr:spPr bwMode="auto">
            <a:xfrm>
              <a:off x="57150" y="0"/>
              <a:ext cx="2809246"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7013"/>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0</xdr:row>
          <xdr:rowOff>466285</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517"/>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2656975</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306"/>
                </a:ext>
              </a:extLst>
            </xdr:cNvPicPr>
          </xdr:nvPicPr>
          <xdr:blipFill>
            <a:blip xmlns:r="http://schemas.openxmlformats.org/officeDocument/2006/relationships" r:embed="rId1"/>
            <a:srcRect/>
            <a:stretch>
              <a:fillRect/>
            </a:stretch>
          </xdr:blipFill>
          <xdr:spPr bwMode="auto">
            <a:xfrm>
              <a:off x="1" y="0"/>
              <a:ext cx="1774658" cy="70078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1626870</xdr:colOff>
          <xdr:row>0</xdr:row>
          <xdr:rowOff>786177</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86628"/>
                </a:ext>
              </a:extLst>
            </xdr:cNvPicPr>
          </xdr:nvPicPr>
          <xdr:blipFill>
            <a:blip xmlns:r="http://schemas.openxmlformats.org/officeDocument/2006/relationships" r:embed="rId1"/>
            <a:srcRect/>
            <a:stretch>
              <a:fillRect/>
            </a:stretch>
          </xdr:blipFill>
          <xdr:spPr bwMode="auto">
            <a:xfrm>
              <a:off x="0" y="0"/>
              <a:ext cx="2103120" cy="78617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2</xdr:col>
          <xdr:colOff>1060383</xdr:colOff>
          <xdr:row>0</xdr:row>
          <xdr:rowOff>774469</xdr:rowOff>
        </xdr:to>
        <xdr:pic>
          <xdr:nvPicPr>
            <xdr:cNvPr id="3" name="Picture 1" descr="vfm-logo_915970.jpg">
              <a:extLst>
                <a:ext uri="{FF2B5EF4-FFF2-40B4-BE49-F238E27FC236}">
                  <a16:creationId xmlns:a16="http://schemas.microsoft.com/office/drawing/2014/main" id="{00000000-0008-0000-0700-000003000000}"/>
                </a:ext>
              </a:extLst>
            </xdr:cNvPr>
            <xdr:cNvPicPr>
              <a:picLocks noChangeAspect="1"/>
              <a:extLst>
                <a:ext uri="{84589F7E-364E-4C9E-8A38-B11213B215E9}">
                  <a14:cameraTool cellRange="addlogo" spid="_x0000_s71513"/>
                </a:ext>
              </a:extLst>
            </xdr:cNvPicPr>
          </xdr:nvPicPr>
          <xdr:blipFill>
            <a:blip xmlns:r="http://schemas.openxmlformats.org/officeDocument/2006/relationships" r:embed="rId1"/>
            <a:srcRect/>
            <a:stretch>
              <a:fillRect/>
            </a:stretch>
          </xdr:blipFill>
          <xdr:spPr bwMode="auto">
            <a:xfrm>
              <a:off x="0" y="0"/>
              <a:ext cx="2103120" cy="77848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1112734</xdr:colOff>
          <xdr:row>0</xdr:row>
          <xdr:rowOff>634115</xdr:rowOff>
        </xdr:to>
        <xdr:pic>
          <xdr:nvPicPr>
            <xdr:cNvPr id="3" name="Picture 1" descr="vfm-logo_915970.jpg">
              <a:extLst>
                <a:ext uri="{FF2B5EF4-FFF2-40B4-BE49-F238E27FC236}">
                  <a16:creationId xmlns:a16="http://schemas.microsoft.com/office/drawing/2014/main" id="{00000000-0008-0000-0800-000003000000}"/>
                </a:ext>
              </a:extLst>
            </xdr:cNvPr>
            <xdr:cNvPicPr>
              <a:picLocks noChangeAspect="1"/>
              <a:extLst>
                <a:ext uri="{84589F7E-364E-4C9E-8A38-B11213B215E9}">
                  <a14:cameraTool cellRange="addlogo" spid="_x0000_s73550"/>
                </a:ext>
              </a:extLst>
            </xdr:cNvPicPr>
          </xdr:nvPicPr>
          <xdr:blipFill>
            <a:blip xmlns:r="http://schemas.openxmlformats.org/officeDocument/2006/relationships" r:embed="rId1"/>
            <a:srcRect/>
            <a:stretch>
              <a:fillRect/>
            </a:stretch>
          </xdr:blipFill>
          <xdr:spPr bwMode="auto">
            <a:xfrm>
              <a:off x="0" y="0"/>
              <a:ext cx="1691355" cy="63411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47625</xdr:colOff>
          <xdr:row>0</xdr:row>
          <xdr:rowOff>0</xdr:rowOff>
        </xdr:from>
        <xdr:to>
          <xdr:col>0</xdr:col>
          <xdr:colOff>1876425</xdr:colOff>
          <xdr:row>0</xdr:row>
          <xdr:rowOff>678261</xdr:rowOff>
        </xdr:to>
        <xdr:pic>
          <xdr:nvPicPr>
            <xdr:cNvPr id="3" name="Picture 1" descr="vfm-logo_915970.jpg">
              <a:extLst>
                <a:ext uri="{FF2B5EF4-FFF2-40B4-BE49-F238E27FC236}">
                  <a16:creationId xmlns:a16="http://schemas.microsoft.com/office/drawing/2014/main" id="{00000000-0008-0000-0900-000003000000}"/>
                </a:ext>
              </a:extLst>
            </xdr:cNvPr>
            <xdr:cNvPicPr>
              <a:picLocks noChangeAspect="1"/>
              <a:extLst>
                <a:ext uri="{84589F7E-364E-4C9E-8A38-B11213B215E9}">
                  <a14:cameraTool cellRange="addlogo" spid="_x0000_s74564"/>
                </a:ext>
              </a:extLst>
            </xdr:cNvPicPr>
          </xdr:nvPicPr>
          <xdr:blipFill>
            <a:blip xmlns:r="http://schemas.openxmlformats.org/officeDocument/2006/relationships" r:embed="rId1"/>
            <a:srcRect/>
            <a:stretch>
              <a:fillRect/>
            </a:stretch>
          </xdr:blipFill>
          <xdr:spPr bwMode="auto">
            <a:xfrm>
              <a:off x="47625" y="0"/>
              <a:ext cx="1828800" cy="67826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1643529</xdr:colOff>
          <xdr:row>0</xdr:row>
          <xdr:rowOff>655211</xdr:rowOff>
        </xdr:to>
        <xdr:pic>
          <xdr:nvPicPr>
            <xdr:cNvPr id="3" name="Picture 1" descr="vfm-logo_915970.jpg">
              <a:extLst>
                <a:ext uri="{FF2B5EF4-FFF2-40B4-BE49-F238E27FC236}">
                  <a16:creationId xmlns:a16="http://schemas.microsoft.com/office/drawing/2014/main" id="{00000000-0008-0000-0A00-000003000000}"/>
                </a:ext>
              </a:extLst>
            </xdr:cNvPr>
            <xdr:cNvPicPr>
              <a:picLocks noChangeAspect="1"/>
              <a:extLst>
                <a:ext uri="{84589F7E-364E-4C9E-8A38-B11213B215E9}">
                  <a14:cameraTool cellRange="addlogo" spid="_x0000_s75582"/>
                </a:ext>
              </a:extLst>
            </xdr:cNvPicPr>
          </xdr:nvPicPr>
          <xdr:blipFill>
            <a:blip xmlns:r="http://schemas.openxmlformats.org/officeDocument/2006/relationships" r:embed="rId1"/>
            <a:srcRect/>
            <a:stretch>
              <a:fillRect/>
            </a:stretch>
          </xdr:blipFill>
          <xdr:spPr bwMode="auto">
            <a:xfrm>
              <a:off x="0" y="0"/>
              <a:ext cx="1643529" cy="65521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1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556745</xdr:colOff>
          <xdr:row>1</xdr:row>
          <xdr:rowOff>370750</xdr:rowOff>
        </xdr:to>
        <xdr:pic>
          <xdr:nvPicPr>
            <xdr:cNvPr id="3" name="Picture 1" descr="vfm-logo_915970.jpg">
              <a:extLst>
                <a:ext uri="{FF2B5EF4-FFF2-40B4-BE49-F238E27FC236}">
                  <a16:creationId xmlns:a16="http://schemas.microsoft.com/office/drawing/2014/main" id="{00000000-0008-0000-0C00-000003000000}"/>
                </a:ext>
              </a:extLst>
            </xdr:cNvPr>
            <xdr:cNvPicPr>
              <a:picLocks noChangeAspect="1"/>
              <a:extLst>
                <a:ext uri="{84589F7E-364E-4C9E-8A38-B11213B215E9}">
                  <a14:cameraTool cellRange="addlogo" spid="_x0000_s95628"/>
                </a:ext>
              </a:extLst>
            </xdr:cNvPicPr>
          </xdr:nvPicPr>
          <xdr:blipFill>
            <a:blip xmlns:r="http://schemas.openxmlformats.org/officeDocument/2006/relationships" r:embed="rId1"/>
            <a:srcRect/>
            <a:stretch>
              <a:fillRect/>
            </a:stretch>
          </xdr:blipFill>
          <xdr:spPr bwMode="auto">
            <a:xfrm>
              <a:off x="0" y="0"/>
              <a:ext cx="1880720" cy="78032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view="pageBreakPreview" zoomScaleSheetLayoutView="100" workbookViewId="0">
      <selection activeCell="D12" sqref="D12:I12"/>
    </sheetView>
  </sheetViews>
  <sheetFormatPr defaultColWidth="9.1796875" defaultRowHeight="12.5"/>
  <cols>
    <col min="1" max="2" width="9.1796875" style="145"/>
    <col min="3" max="3" width="30.1796875" style="145" customWidth="1"/>
    <col min="4" max="4" width="30.81640625" style="145" customWidth="1"/>
    <col min="5" max="5" width="21.1796875" style="145" customWidth="1"/>
    <col min="6" max="9" width="9.1796875" style="145"/>
    <col min="10" max="10" width="11.81640625" style="145" customWidth="1"/>
    <col min="11" max="11" width="15" style="145" customWidth="1"/>
    <col min="12" max="16384" width="9.1796875" style="145"/>
  </cols>
  <sheetData>
    <row r="1" spans="1:11">
      <c r="A1" s="144" t="s">
        <v>0</v>
      </c>
      <c r="C1" s="235" t="s">
        <v>1391</v>
      </c>
      <c r="D1" s="236"/>
    </row>
    <row r="2" spans="1:11">
      <c r="C2" s="146" t="s">
        <v>1392</v>
      </c>
      <c r="D2" s="147"/>
    </row>
    <row r="3" spans="1:11">
      <c r="D3" s="148"/>
    </row>
    <row r="4" spans="1:11">
      <c r="A4" s="144" t="s">
        <v>1</v>
      </c>
      <c r="D4" s="148"/>
    </row>
    <row r="5" spans="1:11" ht="15" customHeight="1">
      <c r="C5" s="149" t="s">
        <v>2</v>
      </c>
      <c r="D5" s="239" t="s">
        <v>1393</v>
      </c>
      <c r="E5" s="239"/>
      <c r="F5" s="239"/>
      <c r="G5" s="239"/>
      <c r="H5" s="239"/>
      <c r="I5" s="239"/>
    </row>
    <row r="6" spans="1:11">
      <c r="C6" s="140" t="s">
        <v>15</v>
      </c>
      <c r="D6" s="238" t="s">
        <v>1394</v>
      </c>
      <c r="E6" s="238"/>
      <c r="F6" s="238"/>
      <c r="G6" s="238"/>
      <c r="H6" s="238"/>
      <c r="I6" s="238"/>
    </row>
    <row r="7" spans="1:11">
      <c r="C7" s="150" t="s">
        <v>3</v>
      </c>
      <c r="D7" s="239" t="s">
        <v>1395</v>
      </c>
      <c r="E7" s="239"/>
      <c r="F7" s="239"/>
      <c r="G7" s="239"/>
      <c r="H7" s="239"/>
      <c r="I7" s="239"/>
    </row>
    <row r="8" spans="1:11" ht="15" customHeight="1">
      <c r="C8" s="44" t="s">
        <v>4</v>
      </c>
      <c r="D8" s="238" t="s">
        <v>1396</v>
      </c>
      <c r="E8" s="238"/>
      <c r="F8" s="238"/>
      <c r="G8" s="238"/>
      <c r="H8" s="238"/>
      <c r="I8" s="238"/>
    </row>
    <row r="9" spans="1:11" ht="15" customHeight="1">
      <c r="C9" s="150" t="s">
        <v>5</v>
      </c>
      <c r="D9" s="239" t="s">
        <v>1397</v>
      </c>
      <c r="E9" s="239"/>
      <c r="F9" s="239"/>
      <c r="G9" s="239"/>
      <c r="H9" s="239"/>
      <c r="I9" s="239"/>
    </row>
    <row r="10" spans="1:11" ht="15" customHeight="1">
      <c r="C10" s="151" t="s">
        <v>6</v>
      </c>
      <c r="D10" s="238" t="s">
        <v>1398</v>
      </c>
      <c r="E10" s="238"/>
      <c r="F10" s="238"/>
      <c r="G10" s="238"/>
      <c r="H10" s="238"/>
      <c r="I10" s="238"/>
    </row>
    <row r="11" spans="1:11">
      <c r="C11" s="152" t="s">
        <v>7</v>
      </c>
      <c r="D11" s="239" t="s">
        <v>1420</v>
      </c>
      <c r="E11" s="239"/>
      <c r="F11" s="239"/>
      <c r="G11" s="239"/>
      <c r="H11" s="239"/>
      <c r="I11" s="239"/>
    </row>
    <row r="12" spans="1:11">
      <c r="C12" s="5" t="s">
        <v>8</v>
      </c>
      <c r="D12" s="237">
        <v>46092</v>
      </c>
      <c r="E12" s="238"/>
      <c r="F12" s="238"/>
      <c r="G12" s="238"/>
      <c r="H12" s="238"/>
      <c r="I12" s="238"/>
    </row>
    <row r="13" spans="1:11">
      <c r="D13" s="148"/>
    </row>
    <row r="14" spans="1:11">
      <c r="A14" s="144" t="s">
        <v>9</v>
      </c>
      <c r="D14" s="148"/>
    </row>
    <row r="15" spans="1:11">
      <c r="D15" s="148"/>
    </row>
    <row r="16" spans="1:11">
      <c r="C16" s="153" t="s">
        <v>10</v>
      </c>
      <c r="D16" s="154"/>
      <c r="F16" s="153" t="s">
        <v>11</v>
      </c>
      <c r="G16" s="155"/>
      <c r="H16" s="155"/>
      <c r="I16" s="155"/>
      <c r="J16" s="155"/>
      <c r="K16" s="156"/>
    </row>
    <row r="17" spans="3:11">
      <c r="C17" s="157" t="s">
        <v>12</v>
      </c>
      <c r="D17" s="158"/>
      <c r="F17" s="157" t="s">
        <v>13</v>
      </c>
      <c r="G17" s="4"/>
      <c r="H17" s="4"/>
      <c r="I17" s="4"/>
      <c r="J17" s="4"/>
      <c r="K17" s="159"/>
    </row>
    <row r="18" spans="3:11">
      <c r="C18" s="160"/>
      <c r="D18" s="158"/>
      <c r="F18" s="160"/>
      <c r="G18" s="4"/>
      <c r="H18" s="4"/>
      <c r="I18" s="4"/>
      <c r="J18" s="4"/>
      <c r="K18" s="159"/>
    </row>
    <row r="19" spans="3:11">
      <c r="C19" s="161" t="s">
        <v>14</v>
      </c>
      <c r="D19" s="158"/>
      <c r="F19" s="161" t="s">
        <v>1393</v>
      </c>
      <c r="G19" s="4"/>
      <c r="H19" s="4"/>
      <c r="I19" s="4"/>
      <c r="J19" s="4"/>
      <c r="K19" s="159"/>
    </row>
    <row r="20" spans="3:11">
      <c r="C20" s="161" t="s">
        <v>1399</v>
      </c>
      <c r="D20" s="158"/>
      <c r="F20" s="161" t="s">
        <v>1400</v>
      </c>
      <c r="G20" s="4"/>
      <c r="H20" s="4"/>
      <c r="I20" s="4"/>
      <c r="J20" s="4"/>
      <c r="K20" s="159"/>
    </row>
    <row r="21" spans="3:11">
      <c r="C21" s="162" t="s">
        <v>1401</v>
      </c>
      <c r="D21" s="147"/>
      <c r="F21" s="162" t="s">
        <v>1402</v>
      </c>
      <c r="G21" s="163"/>
      <c r="H21" s="163"/>
      <c r="I21" s="163"/>
      <c r="J21" s="163"/>
      <c r="K21" s="164"/>
    </row>
    <row r="22" spans="3:11">
      <c r="D22" s="148"/>
    </row>
    <row r="23" spans="3:11">
      <c r="D23" s="148"/>
    </row>
    <row r="24" spans="3:11">
      <c r="D24" s="148"/>
    </row>
    <row r="25" spans="3:11">
      <c r="D25" s="148"/>
    </row>
    <row r="26" spans="3:11">
      <c r="D26" s="148"/>
    </row>
    <row r="27" spans="3:11">
      <c r="D27" s="148"/>
    </row>
    <row r="28" spans="3:11">
      <c r="D28" s="148"/>
    </row>
    <row r="29" spans="3:11">
      <c r="D29" s="148"/>
    </row>
    <row r="30" spans="3:11">
      <c r="D30" s="148"/>
    </row>
    <row r="31" spans="3:11">
      <c r="D31" s="148"/>
    </row>
    <row r="32" spans="3:11">
      <c r="D32" s="148"/>
    </row>
    <row r="33" spans="4:4">
      <c r="D33" s="148"/>
    </row>
    <row r="34" spans="4:4">
      <c r="D34" s="165"/>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&amp;L&amp;"Arial"&amp;9&amp;KA80000CONFIDENTIAL&amp;1#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6"/>
  <sheetViews>
    <sheetView view="pageBreakPreview" zoomScaleNormal="85" zoomScaleSheetLayoutView="100" workbookViewId="0">
      <selection activeCell="G11" sqref="G11:J11"/>
    </sheetView>
  </sheetViews>
  <sheetFormatPr defaultColWidth="9.1796875" defaultRowHeight="13"/>
  <cols>
    <col min="1" max="1" width="4.81640625" style="187" customWidth="1"/>
    <col min="2" max="2" width="34.453125" style="184" customWidth="1"/>
    <col min="3" max="3" width="14.453125" style="184" customWidth="1"/>
    <col min="4" max="4" width="11.81640625" style="184" customWidth="1"/>
    <col min="5" max="5" width="12.26953125" style="184" customWidth="1"/>
    <col min="6" max="6" width="12.54296875" style="184" customWidth="1"/>
    <col min="7" max="7" width="16.453125" style="184" customWidth="1"/>
    <col min="8" max="9" width="19" style="184" customWidth="1"/>
    <col min="10" max="10" width="43.54296875" style="184" customWidth="1"/>
    <col min="11" max="16384" width="9.1796875" style="184"/>
  </cols>
  <sheetData>
    <row r="1" spans="1:10" s="183" customFormat="1" ht="46.5" customHeight="1">
      <c r="A1" s="240" t="s">
        <v>570</v>
      </c>
      <c r="B1" s="240"/>
      <c r="C1" s="240"/>
      <c r="D1" s="240"/>
      <c r="E1" s="240"/>
      <c r="F1" s="240"/>
      <c r="G1" s="240"/>
      <c r="H1" s="240"/>
      <c r="I1" s="240"/>
      <c r="J1" s="240"/>
    </row>
    <row r="2" spans="1:10" ht="49" customHeight="1">
      <c r="A2" s="241" t="s">
        <v>590</v>
      </c>
      <c r="B2" s="241"/>
      <c r="C2" s="241"/>
      <c r="D2" s="241"/>
      <c r="E2" s="241"/>
      <c r="F2" s="241"/>
      <c r="G2" s="241"/>
      <c r="H2" s="241"/>
      <c r="I2" s="241"/>
      <c r="J2" s="241"/>
    </row>
    <row r="3" spans="1:10" ht="19.149999999999999" customHeight="1">
      <c r="A3" s="242" t="s">
        <v>521</v>
      </c>
      <c r="B3" s="242"/>
      <c r="C3" s="242"/>
      <c r="D3" s="242"/>
      <c r="E3" s="242"/>
      <c r="F3" s="242"/>
      <c r="G3" s="242"/>
      <c r="H3" s="242"/>
      <c r="I3" s="242"/>
      <c r="J3" s="242"/>
    </row>
    <row r="4" spans="1:10" ht="21.65" customHeight="1">
      <c r="A4" s="242"/>
      <c r="B4" s="242"/>
      <c r="C4" s="242"/>
      <c r="D4" s="242"/>
      <c r="E4" s="242"/>
      <c r="F4" s="242"/>
      <c r="G4" s="242"/>
      <c r="H4" s="242"/>
      <c r="I4" s="242"/>
      <c r="J4" s="242"/>
    </row>
    <row r="5" spans="1:10">
      <c r="A5" s="243" t="s">
        <v>1392</v>
      </c>
      <c r="B5" s="243"/>
      <c r="C5" s="243"/>
      <c r="D5" s="243"/>
      <c r="E5" s="243"/>
      <c r="F5" s="243"/>
      <c r="G5" s="243"/>
      <c r="H5" s="243"/>
      <c r="I5" s="243"/>
      <c r="J5" s="243"/>
    </row>
    <row r="6" spans="1:10">
      <c r="A6" s="175"/>
      <c r="B6" s="175"/>
      <c r="C6" s="175"/>
      <c r="D6" s="175"/>
      <c r="E6" s="175"/>
      <c r="F6" s="72"/>
      <c r="G6" s="185"/>
      <c r="H6" s="185"/>
      <c r="I6" s="185"/>
      <c r="J6" s="185"/>
    </row>
    <row r="7" spans="1:10">
      <c r="A7" s="244" t="s">
        <v>2</v>
      </c>
      <c r="B7" s="245"/>
      <c r="C7" s="185"/>
      <c r="D7" s="185"/>
      <c r="E7" s="185"/>
      <c r="F7" s="185"/>
      <c r="G7" s="246" t="s">
        <v>1393</v>
      </c>
      <c r="H7" s="246"/>
      <c r="I7" s="246"/>
      <c r="J7" s="246"/>
    </row>
    <row r="8" spans="1:10" ht="15" customHeight="1">
      <c r="A8" s="247" t="s">
        <v>15</v>
      </c>
      <c r="B8" s="247"/>
      <c r="C8" s="185"/>
      <c r="D8" s="185"/>
      <c r="E8" s="185"/>
      <c r="F8" s="185"/>
      <c r="G8" s="248" t="s">
        <v>1394</v>
      </c>
      <c r="H8" s="248"/>
      <c r="I8" s="248"/>
      <c r="J8" s="248"/>
    </row>
    <row r="9" spans="1:10">
      <c r="A9" s="249" t="s">
        <v>3</v>
      </c>
      <c r="B9" s="250"/>
      <c r="C9" s="185"/>
      <c r="D9" s="185"/>
      <c r="E9" s="185"/>
      <c r="F9" s="185"/>
      <c r="G9" s="251" t="s">
        <v>1395</v>
      </c>
      <c r="H9" s="251"/>
      <c r="I9" s="251"/>
      <c r="J9" s="251"/>
    </row>
    <row r="10" spans="1:10" ht="15" customHeight="1">
      <c r="A10" s="250" t="s">
        <v>4</v>
      </c>
      <c r="B10" s="250"/>
      <c r="C10" s="185"/>
      <c r="D10" s="185"/>
      <c r="E10" s="185"/>
      <c r="F10" s="185"/>
      <c r="G10" s="248" t="s">
        <v>1396</v>
      </c>
      <c r="H10" s="248"/>
      <c r="I10" s="248"/>
      <c r="J10" s="248"/>
    </row>
    <row r="11" spans="1:10" ht="15" customHeight="1">
      <c r="A11" s="249" t="s">
        <v>5</v>
      </c>
      <c r="B11" s="252"/>
      <c r="C11" s="185"/>
      <c r="D11" s="185"/>
      <c r="E11" s="185"/>
      <c r="F11" s="185"/>
      <c r="G11" s="246" t="s">
        <v>1397</v>
      </c>
      <c r="H11" s="246"/>
      <c r="I11" s="246"/>
      <c r="J11" s="246"/>
    </row>
    <row r="12" spans="1:10" ht="15" customHeight="1">
      <c r="A12" s="73" t="s">
        <v>508</v>
      </c>
      <c r="B12" s="176"/>
      <c r="C12" s="185"/>
      <c r="D12" s="185"/>
      <c r="E12" s="185"/>
      <c r="F12" s="185"/>
      <c r="G12" s="248" t="s">
        <v>1398</v>
      </c>
      <c r="H12" s="248"/>
      <c r="I12" s="248"/>
      <c r="J12" s="248"/>
    </row>
    <row r="13" spans="1:10" ht="15" customHeight="1">
      <c r="A13" s="74" t="s">
        <v>7</v>
      </c>
      <c r="B13" s="75"/>
      <c r="C13" s="185"/>
      <c r="D13" s="185"/>
      <c r="E13" s="185"/>
      <c r="F13" s="185"/>
      <c r="G13" s="246" t="s">
        <v>1420</v>
      </c>
      <c r="H13" s="246"/>
      <c r="I13" s="246"/>
      <c r="J13" s="246"/>
    </row>
    <row r="14" spans="1:10">
      <c r="A14" s="76" t="s">
        <v>8</v>
      </c>
      <c r="B14" s="76"/>
      <c r="C14" s="78"/>
      <c r="D14" s="78"/>
      <c r="E14" s="78"/>
      <c r="F14" s="78"/>
      <c r="G14" s="253" t="s">
        <v>1421</v>
      </c>
      <c r="H14" s="254"/>
      <c r="I14" s="254"/>
      <c r="J14" s="254"/>
    </row>
    <row r="15" spans="1:10">
      <c r="A15" s="110" t="s">
        <v>568</v>
      </c>
      <c r="B15" s="111" t="s">
        <v>569</v>
      </c>
      <c r="C15" s="78"/>
      <c r="D15" s="78"/>
      <c r="E15" s="78"/>
      <c r="F15" s="78"/>
      <c r="G15" s="177"/>
      <c r="H15" s="177"/>
      <c r="I15" s="177"/>
      <c r="J15" s="177"/>
    </row>
    <row r="16" spans="1:10">
      <c r="A16" s="88" t="s">
        <v>29</v>
      </c>
      <c r="B16" s="89" t="s">
        <v>524</v>
      </c>
      <c r="C16" s="78"/>
      <c r="D16" s="78"/>
      <c r="E16" s="78"/>
      <c r="F16" s="78"/>
      <c r="G16" s="78"/>
      <c r="H16" s="78"/>
      <c r="I16" s="78"/>
      <c r="J16" s="78"/>
    </row>
    <row r="17" spans="1:10" s="77" customFormat="1" ht="36" customHeight="1">
      <c r="A17" s="256" t="s">
        <v>250</v>
      </c>
      <c r="B17" s="256" t="s">
        <v>559</v>
      </c>
      <c r="C17" s="256" t="s">
        <v>560</v>
      </c>
      <c r="D17" s="256" t="s">
        <v>561</v>
      </c>
      <c r="E17" s="256" t="s">
        <v>562</v>
      </c>
      <c r="F17" s="256" t="s">
        <v>563</v>
      </c>
      <c r="G17" s="256" t="s">
        <v>564</v>
      </c>
      <c r="H17" s="257"/>
      <c r="I17" s="256" t="s">
        <v>591</v>
      </c>
      <c r="J17" s="257"/>
    </row>
    <row r="18" spans="1:10" s="77" customFormat="1" ht="87" customHeight="1">
      <c r="A18" s="257"/>
      <c r="B18" s="257"/>
      <c r="C18" s="257"/>
      <c r="D18" s="257"/>
      <c r="E18" s="257"/>
      <c r="F18" s="257"/>
      <c r="G18" s="178" t="s">
        <v>565</v>
      </c>
      <c r="H18" s="178" t="s">
        <v>566</v>
      </c>
      <c r="I18" s="178" t="s">
        <v>565</v>
      </c>
      <c r="J18" s="178" t="s">
        <v>567</v>
      </c>
    </row>
    <row r="19" spans="1:10" s="77" customFormat="1" ht="45.75" customHeight="1">
      <c r="A19" s="221" t="s">
        <v>907</v>
      </c>
      <c r="B19" s="221" t="s">
        <v>908</v>
      </c>
      <c r="C19" s="221"/>
      <c r="D19" s="221"/>
      <c r="E19" s="221"/>
      <c r="F19" s="224"/>
      <c r="G19" s="221"/>
      <c r="H19" s="223"/>
      <c r="I19" s="221"/>
      <c r="J19" s="223"/>
    </row>
    <row r="20" spans="1:10">
      <c r="A20" s="221" t="s">
        <v>909</v>
      </c>
      <c r="B20" s="221" t="s">
        <v>910</v>
      </c>
      <c r="C20" s="221" t="s">
        <v>911</v>
      </c>
      <c r="D20" s="221" t="s">
        <v>912</v>
      </c>
      <c r="E20" s="221" t="s">
        <v>913</v>
      </c>
      <c r="F20" s="224" t="s">
        <v>914</v>
      </c>
      <c r="G20" s="221" t="s">
        <v>915</v>
      </c>
      <c r="H20" s="223" t="s">
        <v>916</v>
      </c>
      <c r="I20" s="221" t="s">
        <v>917</v>
      </c>
      <c r="J20" s="223" t="s">
        <v>918</v>
      </c>
    </row>
    <row r="21" spans="1:10" ht="25">
      <c r="A21" s="226" t="s">
        <v>919</v>
      </c>
      <c r="B21" s="226" t="s">
        <v>920</v>
      </c>
      <c r="C21" s="226"/>
      <c r="D21" s="226"/>
      <c r="E21" s="226"/>
      <c r="F21" s="228">
        <v>0</v>
      </c>
      <c r="G21" s="226"/>
      <c r="H21" s="227">
        <v>0</v>
      </c>
      <c r="I21" s="226"/>
      <c r="J21" s="227">
        <v>0</v>
      </c>
    </row>
    <row r="22" spans="1:10" ht="25">
      <c r="A22" s="221" t="s">
        <v>921</v>
      </c>
      <c r="B22" s="221" t="s">
        <v>922</v>
      </c>
      <c r="C22" s="221"/>
      <c r="D22" s="221"/>
      <c r="E22" s="221"/>
      <c r="F22" s="224"/>
      <c r="G22" s="221"/>
      <c r="H22" s="223"/>
      <c r="I22" s="221"/>
      <c r="J22" s="223"/>
    </row>
    <row r="23" spans="1:10">
      <c r="A23" s="221" t="s">
        <v>923</v>
      </c>
      <c r="B23" s="221" t="s">
        <v>924</v>
      </c>
      <c r="C23" s="221" t="s">
        <v>925</v>
      </c>
      <c r="D23" s="221" t="s">
        <v>926</v>
      </c>
      <c r="E23" s="221" t="s">
        <v>927</v>
      </c>
      <c r="F23" s="224" t="s">
        <v>928</v>
      </c>
      <c r="G23" s="221" t="s">
        <v>929</v>
      </c>
      <c r="H23" s="223" t="s">
        <v>930</v>
      </c>
      <c r="I23" s="221" t="s">
        <v>931</v>
      </c>
      <c r="J23" s="223" t="s">
        <v>932</v>
      </c>
    </row>
    <row r="24" spans="1:10" ht="25">
      <c r="A24" s="226" t="s">
        <v>933</v>
      </c>
      <c r="B24" s="226" t="s">
        <v>934</v>
      </c>
      <c r="C24" s="226"/>
      <c r="D24" s="226"/>
      <c r="E24" s="226"/>
      <c r="F24" s="228">
        <v>0</v>
      </c>
      <c r="G24" s="226"/>
      <c r="H24" s="227">
        <v>0</v>
      </c>
      <c r="I24" s="226"/>
      <c r="J24" s="227">
        <v>0</v>
      </c>
    </row>
    <row r="25" spans="1:10" ht="25">
      <c r="A25" s="226" t="s">
        <v>935</v>
      </c>
      <c r="B25" s="226" t="s">
        <v>936</v>
      </c>
      <c r="C25" s="226"/>
      <c r="D25" s="226"/>
      <c r="E25" s="226"/>
      <c r="F25" s="228">
        <v>0</v>
      </c>
      <c r="G25" s="226"/>
      <c r="H25" s="227">
        <v>0</v>
      </c>
      <c r="I25" s="226"/>
      <c r="J25" s="227">
        <v>0</v>
      </c>
    </row>
    <row r="26" spans="1:10" ht="25">
      <c r="A26" s="221" t="s">
        <v>937</v>
      </c>
      <c r="B26" s="221" t="s">
        <v>938</v>
      </c>
      <c r="C26" s="221"/>
      <c r="D26" s="221"/>
      <c r="E26" s="221"/>
      <c r="F26" s="224"/>
      <c r="G26" s="221"/>
      <c r="H26" s="223"/>
      <c r="I26" s="221"/>
      <c r="J26" s="223"/>
    </row>
    <row r="27" spans="1:10">
      <c r="A27" s="221" t="s">
        <v>939</v>
      </c>
      <c r="B27" s="221" t="s">
        <v>940</v>
      </c>
      <c r="C27" s="221" t="s">
        <v>941</v>
      </c>
      <c r="D27" s="221" t="s">
        <v>942</v>
      </c>
      <c r="E27" s="221" t="s">
        <v>943</v>
      </c>
      <c r="F27" s="224" t="s">
        <v>944</v>
      </c>
      <c r="G27" s="221" t="s">
        <v>945</v>
      </c>
      <c r="H27" s="223" t="s">
        <v>946</v>
      </c>
      <c r="I27" s="221" t="s">
        <v>947</v>
      </c>
      <c r="J27" s="223" t="s">
        <v>948</v>
      </c>
    </row>
    <row r="28" spans="1:10" ht="25">
      <c r="A28" s="226" t="s">
        <v>949</v>
      </c>
      <c r="B28" s="226" t="s">
        <v>950</v>
      </c>
      <c r="C28" s="226"/>
      <c r="D28" s="226"/>
      <c r="E28" s="226"/>
      <c r="F28" s="228">
        <v>0</v>
      </c>
      <c r="G28" s="226"/>
      <c r="H28" s="227">
        <v>0</v>
      </c>
      <c r="I28" s="226"/>
      <c r="J28" s="227">
        <v>0</v>
      </c>
    </row>
    <row r="29" spans="1:10" ht="25">
      <c r="A29" s="221" t="s">
        <v>951</v>
      </c>
      <c r="B29" s="221" t="s">
        <v>952</v>
      </c>
      <c r="C29" s="221"/>
      <c r="D29" s="221"/>
      <c r="E29" s="221"/>
      <c r="F29" s="224"/>
      <c r="G29" s="221"/>
      <c r="H29" s="223"/>
      <c r="I29" s="221"/>
      <c r="J29" s="223"/>
    </row>
    <row r="30" spans="1:10">
      <c r="A30" s="221" t="s">
        <v>953</v>
      </c>
      <c r="B30" s="221" t="s">
        <v>954</v>
      </c>
      <c r="C30" s="221" t="s">
        <v>955</v>
      </c>
      <c r="D30" s="221" t="s">
        <v>956</v>
      </c>
      <c r="E30" s="221" t="s">
        <v>957</v>
      </c>
      <c r="F30" s="224" t="s">
        <v>958</v>
      </c>
      <c r="G30" s="221" t="s">
        <v>959</v>
      </c>
      <c r="H30" s="223" t="s">
        <v>960</v>
      </c>
      <c r="I30" s="221" t="s">
        <v>961</v>
      </c>
      <c r="J30" s="223" t="s">
        <v>962</v>
      </c>
    </row>
    <row r="31" spans="1:10" ht="25">
      <c r="A31" s="226" t="s">
        <v>963</v>
      </c>
      <c r="B31" s="226" t="s">
        <v>964</v>
      </c>
      <c r="C31" s="226"/>
      <c r="D31" s="226"/>
      <c r="E31" s="226"/>
      <c r="F31" s="228">
        <v>0</v>
      </c>
      <c r="G31" s="226"/>
      <c r="H31" s="227">
        <v>0</v>
      </c>
      <c r="I31" s="226"/>
      <c r="J31" s="227">
        <v>0</v>
      </c>
    </row>
    <row r="32" spans="1:10" ht="25">
      <c r="A32" s="226" t="s">
        <v>965</v>
      </c>
      <c r="B32" s="226" t="s">
        <v>966</v>
      </c>
      <c r="C32" s="226"/>
      <c r="D32" s="226"/>
      <c r="E32" s="226"/>
      <c r="F32" s="228">
        <v>0</v>
      </c>
      <c r="G32" s="226"/>
      <c r="H32" s="227">
        <v>0</v>
      </c>
      <c r="I32" s="226"/>
      <c r="J32" s="227">
        <v>0</v>
      </c>
    </row>
    <row r="33" spans="1:10" s="186" customFormat="1" ht="45.75" customHeight="1">
      <c r="A33" s="79" t="s">
        <v>10</v>
      </c>
      <c r="B33" s="80"/>
      <c r="C33" s="81"/>
      <c r="D33" s="78"/>
      <c r="E33" s="78"/>
      <c r="F33" s="78"/>
      <c r="G33" s="78"/>
      <c r="H33" s="78"/>
      <c r="I33" s="82" t="s">
        <v>11</v>
      </c>
      <c r="J33" s="78"/>
    </row>
    <row r="34" spans="1:10">
      <c r="A34" s="83" t="s">
        <v>12</v>
      </c>
      <c r="B34" s="80"/>
      <c r="C34" s="81"/>
      <c r="D34" s="78"/>
      <c r="E34" s="78"/>
      <c r="F34" s="78"/>
      <c r="G34" s="78"/>
      <c r="H34" s="78"/>
      <c r="I34" s="84" t="s">
        <v>13</v>
      </c>
      <c r="J34" s="78"/>
    </row>
    <row r="35" spans="1:10">
      <c r="A35" s="80"/>
      <c r="B35" s="80"/>
      <c r="C35" s="81"/>
      <c r="D35" s="185"/>
      <c r="E35" s="185"/>
      <c r="F35" s="185"/>
      <c r="G35" s="185"/>
      <c r="H35" s="185"/>
      <c r="I35" s="81"/>
      <c r="J35" s="185"/>
    </row>
    <row r="36" spans="1:10">
      <c r="A36" s="191"/>
      <c r="B36" s="185"/>
      <c r="C36" s="185"/>
      <c r="D36" s="185"/>
      <c r="E36" s="185"/>
      <c r="F36" s="185"/>
      <c r="G36" s="78"/>
      <c r="H36" s="185"/>
      <c r="I36" s="185"/>
      <c r="J36" s="185"/>
    </row>
    <row r="37" spans="1:10">
      <c r="A37" s="191"/>
      <c r="B37" s="185"/>
      <c r="C37" s="185"/>
      <c r="D37" s="185"/>
      <c r="E37" s="185"/>
      <c r="F37" s="185"/>
      <c r="G37" s="185"/>
      <c r="H37" s="185"/>
      <c r="I37" s="185"/>
      <c r="J37" s="185"/>
    </row>
    <row r="38" spans="1:10">
      <c r="A38" s="191"/>
      <c r="B38" s="185"/>
      <c r="C38" s="185"/>
      <c r="D38" s="185"/>
      <c r="E38" s="185"/>
      <c r="F38" s="185"/>
      <c r="G38" s="185"/>
      <c r="H38" s="185"/>
      <c r="I38" s="185"/>
      <c r="J38" s="185"/>
    </row>
    <row r="39" spans="1:10">
      <c r="A39" s="191"/>
      <c r="B39" s="185"/>
      <c r="C39" s="185"/>
      <c r="D39" s="185"/>
      <c r="E39" s="185"/>
      <c r="F39" s="185"/>
      <c r="G39" s="185"/>
      <c r="H39" s="185"/>
      <c r="I39" s="185"/>
      <c r="J39" s="185"/>
    </row>
    <row r="40" spans="1:10" s="77" customFormat="1" ht="12.5">
      <c r="A40" s="255" t="s">
        <v>14</v>
      </c>
      <c r="B40" s="255"/>
      <c r="C40" s="78"/>
      <c r="D40" s="78"/>
      <c r="E40" s="78"/>
      <c r="F40" s="78"/>
      <c r="G40" s="78"/>
      <c r="H40" s="78"/>
      <c r="I40" s="205" t="s">
        <v>1393</v>
      </c>
      <c r="J40" s="206"/>
    </row>
    <row r="41" spans="1:10" s="77" customFormat="1" ht="12.5">
      <c r="A41" s="89" t="s">
        <v>1399</v>
      </c>
      <c r="B41" s="78"/>
      <c r="C41" s="78"/>
      <c r="D41" s="78"/>
      <c r="E41" s="78"/>
      <c r="F41" s="78"/>
      <c r="G41" s="78"/>
      <c r="H41" s="78"/>
      <c r="I41" s="89" t="s">
        <v>1400</v>
      </c>
      <c r="J41" s="78"/>
    </row>
    <row r="42" spans="1:10" s="77" customFormat="1" ht="12.5">
      <c r="A42" s="78" t="s">
        <v>1401</v>
      </c>
      <c r="B42" s="78"/>
      <c r="C42" s="78"/>
      <c r="D42" s="78"/>
      <c r="E42" s="78"/>
      <c r="F42" s="78"/>
      <c r="G42" s="78"/>
      <c r="H42" s="78"/>
      <c r="I42" s="78" t="s">
        <v>1402</v>
      </c>
      <c r="J42" s="78"/>
    </row>
    <row r="43" spans="1:10" s="77" customFormat="1" ht="12.5">
      <c r="A43" s="204"/>
      <c r="B43" s="78"/>
      <c r="C43" s="78"/>
      <c r="D43" s="78"/>
      <c r="E43" s="78"/>
      <c r="F43" s="78"/>
      <c r="G43" s="78"/>
      <c r="H43" s="78"/>
      <c r="I43" s="78"/>
      <c r="J43" s="78"/>
    </row>
    <row r="44" spans="1:10" s="77" customFormat="1" ht="12.5">
      <c r="A44" s="204"/>
      <c r="B44" s="78"/>
      <c r="C44" s="78"/>
      <c r="D44" s="78"/>
      <c r="E44" s="78"/>
      <c r="F44" s="78"/>
      <c r="G44" s="78"/>
      <c r="H44" s="78"/>
      <c r="I44" s="78"/>
      <c r="J44" s="78"/>
    </row>
    <row r="45" spans="1:10">
      <c r="A45" s="191"/>
      <c r="B45" s="185"/>
      <c r="C45" s="185"/>
      <c r="D45" s="185"/>
      <c r="E45" s="185"/>
      <c r="F45" s="185"/>
      <c r="G45" s="185"/>
      <c r="H45" s="185"/>
      <c r="I45" s="185"/>
      <c r="J45" s="185"/>
    </row>
    <row r="46" spans="1:10">
      <c r="A46" s="191"/>
      <c r="B46" s="185"/>
      <c r="C46" s="185"/>
      <c r="D46" s="185"/>
      <c r="E46" s="185"/>
      <c r="F46" s="185"/>
      <c r="G46" s="185"/>
      <c r="H46" s="185"/>
      <c r="I46" s="185"/>
      <c r="J46" s="185"/>
    </row>
  </sheetData>
  <mergeCells count="26">
    <mergeCell ref="A40:B40"/>
    <mergeCell ref="F17:F18"/>
    <mergeCell ref="G17:H17"/>
    <mergeCell ref="I17:J17"/>
    <mergeCell ref="A17:A18"/>
    <mergeCell ref="B17:B18"/>
    <mergeCell ref="C17:C18"/>
    <mergeCell ref="D17:D18"/>
    <mergeCell ref="E17:E18"/>
    <mergeCell ref="A11:B11"/>
    <mergeCell ref="G11:J11"/>
    <mergeCell ref="G12:J12"/>
    <mergeCell ref="G13:J13"/>
    <mergeCell ref="G14:J14"/>
    <mergeCell ref="A8:B8"/>
    <mergeCell ref="G8:J8"/>
    <mergeCell ref="A9:B9"/>
    <mergeCell ref="G9:J9"/>
    <mergeCell ref="A10:B10"/>
    <mergeCell ref="G10:J10"/>
    <mergeCell ref="A1:J1"/>
    <mergeCell ref="A2:J2"/>
    <mergeCell ref="A3:J4"/>
    <mergeCell ref="A5:J5"/>
    <mergeCell ref="A7:B7"/>
    <mergeCell ref="G7:J7"/>
  </mergeCells>
  <printOptions horizontalCentered="1"/>
  <pageMargins left="0.3" right="0.3" top="0.75" bottom="0.5" header="0.3" footer="0.3"/>
  <pageSetup paperSize="9" scale="75" fitToHeight="0" orientation="landscape" r:id="rId1"/>
  <headerFooter>
    <oddHeader>&amp;L&amp;"Arial"&amp;9&amp;KA80000CONFIDENTIAL&amp;1#</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zoomScaleNormal="100" zoomScaleSheetLayoutView="100" workbookViewId="0">
      <selection sqref="A1:F1"/>
    </sheetView>
  </sheetViews>
  <sheetFormatPr defaultColWidth="8.7265625" defaultRowHeight="12.5"/>
  <cols>
    <col min="1" max="1" width="8.7265625" style="4"/>
    <col min="2" max="2" width="44.26953125" style="4" customWidth="1"/>
    <col min="3" max="3" width="10.26953125" style="4" customWidth="1"/>
    <col min="4" max="5" width="41.1796875" style="4" customWidth="1"/>
    <col min="6" max="6" width="37.54296875" style="4" customWidth="1"/>
    <col min="7" max="16384" width="8.7265625" style="4"/>
  </cols>
  <sheetData>
    <row r="1" spans="1:6" s="5" customFormat="1" ht="54.75" customHeight="1">
      <c r="A1" s="259" t="s">
        <v>570</v>
      </c>
      <c r="B1" s="259"/>
      <c r="C1" s="259"/>
      <c r="D1" s="259"/>
      <c r="E1" s="259"/>
      <c r="F1" s="259"/>
    </row>
    <row r="2" spans="1:6" s="5" customFormat="1" ht="50.5" customHeight="1">
      <c r="A2" s="260" t="s">
        <v>571</v>
      </c>
      <c r="B2" s="260"/>
      <c r="C2" s="260"/>
      <c r="D2" s="260"/>
      <c r="E2" s="260"/>
      <c r="F2" s="260"/>
    </row>
    <row r="3" spans="1:6" s="5" customFormat="1">
      <c r="A3" s="261" t="s">
        <v>521</v>
      </c>
      <c r="B3" s="261"/>
      <c r="C3" s="261"/>
      <c r="D3" s="261"/>
      <c r="E3" s="261"/>
      <c r="F3" s="261"/>
    </row>
    <row r="4" spans="1:6" s="5" customFormat="1" ht="32.65" customHeight="1">
      <c r="A4" s="261"/>
      <c r="B4" s="261"/>
      <c r="C4" s="261"/>
      <c r="D4" s="261"/>
      <c r="E4" s="261"/>
      <c r="F4" s="261"/>
    </row>
    <row r="5" spans="1:6" s="5" customFormat="1" ht="16.899999999999999" customHeight="1">
      <c r="A5" s="262" t="s">
        <v>1391</v>
      </c>
      <c r="B5" s="262"/>
      <c r="C5" s="262"/>
      <c r="D5" s="262"/>
      <c r="E5" s="262"/>
      <c r="F5" s="262"/>
    </row>
    <row r="6" spans="1:6">
      <c r="A6" s="12"/>
      <c r="B6" s="12"/>
      <c r="C6" s="12"/>
      <c r="D6" s="12"/>
      <c r="E6" s="12"/>
      <c r="F6" s="12"/>
    </row>
    <row r="7" spans="1:6" ht="16.899999999999999" customHeight="1">
      <c r="A7" s="239" t="s">
        <v>2</v>
      </c>
      <c r="B7" s="239"/>
      <c r="C7" s="239" t="s">
        <v>1393</v>
      </c>
      <c r="D7" s="239"/>
      <c r="E7" s="239"/>
      <c r="F7" s="239"/>
    </row>
    <row r="8" spans="1:6" s="5" customFormat="1" ht="16.899999999999999" customHeight="1">
      <c r="A8" s="238" t="s">
        <v>15</v>
      </c>
      <c r="B8" s="238"/>
      <c r="C8" s="238" t="s">
        <v>1394</v>
      </c>
      <c r="D8" s="238"/>
      <c r="E8" s="238"/>
      <c r="F8" s="238"/>
    </row>
    <row r="9" spans="1:6" ht="16.899999999999999" customHeight="1">
      <c r="A9" s="239" t="s">
        <v>3</v>
      </c>
      <c r="B9" s="239"/>
      <c r="C9" s="239" t="s">
        <v>1395</v>
      </c>
      <c r="D9" s="239"/>
      <c r="E9" s="239"/>
      <c r="F9" s="239"/>
    </row>
    <row r="10" spans="1:6" s="5" customFormat="1" ht="16.899999999999999" customHeight="1">
      <c r="A10" s="238" t="s">
        <v>4</v>
      </c>
      <c r="B10" s="238"/>
      <c r="C10" s="238" t="s">
        <v>1396</v>
      </c>
      <c r="D10" s="238"/>
      <c r="E10" s="238"/>
      <c r="F10" s="238"/>
    </row>
    <row r="11" spans="1:6" ht="16.899999999999999" customHeight="1">
      <c r="A11" s="239" t="s">
        <v>5</v>
      </c>
      <c r="B11" s="239"/>
      <c r="C11" s="239" t="s">
        <v>1397</v>
      </c>
      <c r="D11" s="239"/>
      <c r="E11" s="239"/>
      <c r="F11" s="239"/>
    </row>
    <row r="12" spans="1:6" s="5" customFormat="1" ht="16.899999999999999" customHeight="1">
      <c r="A12" s="238" t="s">
        <v>6</v>
      </c>
      <c r="B12" s="238"/>
      <c r="C12" s="238" t="s">
        <v>1398</v>
      </c>
      <c r="D12" s="238"/>
      <c r="E12" s="238"/>
      <c r="F12" s="238"/>
    </row>
    <row r="13" spans="1:6" ht="16.899999999999999" customHeight="1">
      <c r="A13" s="239" t="s">
        <v>7</v>
      </c>
      <c r="B13" s="239"/>
      <c r="C13" s="239" t="s">
        <v>1420</v>
      </c>
      <c r="D13" s="239"/>
      <c r="E13" s="239"/>
      <c r="F13" s="239"/>
    </row>
    <row r="14" spans="1:6" s="5" customFormat="1" ht="16.899999999999999" customHeight="1">
      <c r="A14" s="238" t="s">
        <v>8</v>
      </c>
      <c r="B14" s="238"/>
      <c r="C14" s="258" t="s">
        <v>1421</v>
      </c>
      <c r="D14" s="238"/>
      <c r="E14" s="238"/>
      <c r="F14" s="238"/>
    </row>
    <row r="15" spans="1:6" s="5" customFormat="1" ht="7.5" customHeight="1">
      <c r="A15" s="11"/>
      <c r="B15" s="11"/>
      <c r="C15" s="11"/>
      <c r="D15" s="11"/>
      <c r="E15" s="11"/>
      <c r="F15" s="11"/>
    </row>
    <row r="16" spans="1:6" s="5" customFormat="1" ht="16.899999999999999" customHeight="1">
      <c r="A16" s="110" t="s">
        <v>568</v>
      </c>
      <c r="B16" s="111" t="s">
        <v>569</v>
      </c>
      <c r="C16" s="11"/>
      <c r="D16" s="11"/>
      <c r="E16" s="11"/>
      <c r="F16" s="11"/>
    </row>
    <row r="17" spans="1:6" s="5" customFormat="1" ht="16.899999999999999" customHeight="1">
      <c r="A17" s="112" t="s">
        <v>16</v>
      </c>
      <c r="B17" s="113" t="s">
        <v>522</v>
      </c>
      <c r="C17" s="11"/>
      <c r="D17" s="11"/>
      <c r="E17" s="11"/>
      <c r="F17" s="11"/>
    </row>
    <row r="18" spans="1:6" s="5" customFormat="1" ht="50.65" customHeight="1">
      <c r="A18" s="9" t="s">
        <v>17</v>
      </c>
      <c r="B18" s="9" t="s">
        <v>18</v>
      </c>
      <c r="C18" s="9" t="s">
        <v>19</v>
      </c>
      <c r="D18" s="10" t="s">
        <v>1403</v>
      </c>
      <c r="E18" s="10" t="s">
        <v>1404</v>
      </c>
      <c r="F18" s="70" t="s">
        <v>20</v>
      </c>
    </row>
    <row r="19" spans="1:6" ht="39" customHeight="1">
      <c r="A19" s="226" t="s">
        <v>967</v>
      </c>
      <c r="B19" s="225" t="s">
        <v>968</v>
      </c>
      <c r="C19" s="226" t="s">
        <v>969</v>
      </c>
      <c r="D19" s="228"/>
      <c r="E19" s="228"/>
      <c r="F19" s="227"/>
    </row>
    <row r="20" spans="1:6" ht="39" customHeight="1">
      <c r="A20" s="221" t="s">
        <v>970</v>
      </c>
      <c r="B20" s="220" t="s">
        <v>971</v>
      </c>
      <c r="C20" s="221" t="s">
        <v>972</v>
      </c>
      <c r="D20" s="224">
        <v>78546789408</v>
      </c>
      <c r="E20" s="224">
        <v>532821835814</v>
      </c>
      <c r="F20" s="223">
        <v>0.147416611198006</v>
      </c>
    </row>
    <row r="21" spans="1:6" ht="39" customHeight="1">
      <c r="A21" s="221" t="s">
        <v>973</v>
      </c>
      <c r="B21" s="220" t="s">
        <v>974</v>
      </c>
      <c r="C21" s="221" t="s">
        <v>975</v>
      </c>
      <c r="D21" s="224"/>
      <c r="E21" s="224"/>
      <c r="F21" s="223"/>
    </row>
    <row r="22" spans="1:6" ht="39" customHeight="1">
      <c r="A22" s="221" t="s">
        <v>976</v>
      </c>
      <c r="B22" s="220" t="s">
        <v>977</v>
      </c>
      <c r="C22" s="221" t="s">
        <v>978</v>
      </c>
      <c r="D22" s="224" t="s">
        <v>979</v>
      </c>
      <c r="E22" s="224" t="s">
        <v>980</v>
      </c>
      <c r="F22" s="223" t="s">
        <v>981</v>
      </c>
    </row>
    <row r="23" spans="1:6" ht="39" customHeight="1">
      <c r="A23" s="221" t="s">
        <v>982</v>
      </c>
      <c r="B23" s="220" t="s">
        <v>983</v>
      </c>
      <c r="C23" s="221" t="s">
        <v>984</v>
      </c>
      <c r="D23" s="224">
        <v>78546789408</v>
      </c>
      <c r="E23" s="224">
        <v>532821835814</v>
      </c>
      <c r="F23" s="223">
        <v>0.147416611198006</v>
      </c>
    </row>
    <row r="24" spans="1:6" ht="39" customHeight="1">
      <c r="A24" s="221" t="s">
        <v>985</v>
      </c>
      <c r="B24" s="220" t="s">
        <v>986</v>
      </c>
      <c r="C24" s="221" t="s">
        <v>987</v>
      </c>
      <c r="D24" s="224" t="s">
        <v>988</v>
      </c>
      <c r="E24" s="224" t="s">
        <v>989</v>
      </c>
      <c r="F24" s="223" t="s">
        <v>990</v>
      </c>
    </row>
    <row r="25" spans="1:6" ht="48" customHeight="1">
      <c r="A25" s="221" t="s">
        <v>991</v>
      </c>
      <c r="B25" s="220" t="s">
        <v>992</v>
      </c>
      <c r="C25" s="221" t="s">
        <v>993</v>
      </c>
      <c r="D25" s="224">
        <v>21527465725</v>
      </c>
      <c r="E25" s="224">
        <v>15719104214</v>
      </c>
      <c r="F25" s="223">
        <v>1.36950970182047</v>
      </c>
    </row>
    <row r="26" spans="1:6" ht="45" customHeight="1">
      <c r="A26" s="221" t="s">
        <v>994</v>
      </c>
      <c r="B26" s="220" t="s">
        <v>995</v>
      </c>
      <c r="C26" s="221" t="s">
        <v>996</v>
      </c>
      <c r="D26" s="224">
        <v>821711488</v>
      </c>
      <c r="E26" s="224">
        <v>700928</v>
      </c>
      <c r="F26" s="223">
        <v>1172.3193937180399</v>
      </c>
    </row>
    <row r="27" spans="1:6" ht="42" customHeight="1">
      <c r="A27" s="221" t="s">
        <v>997</v>
      </c>
      <c r="B27" s="220" t="s">
        <v>998</v>
      </c>
      <c r="C27" s="221" t="s">
        <v>999</v>
      </c>
      <c r="D27" s="224">
        <v>1197612195</v>
      </c>
      <c r="E27" s="224">
        <v>22302030672</v>
      </c>
      <c r="F27" s="223">
        <v>5.3699692759529398E-2</v>
      </c>
    </row>
    <row r="28" spans="1:6" ht="48" customHeight="1">
      <c r="A28" s="221" t="s">
        <v>1000</v>
      </c>
      <c r="B28" s="220" t="s">
        <v>1001</v>
      </c>
      <c r="C28" s="221" t="s">
        <v>1002</v>
      </c>
      <c r="D28" s="224">
        <v>0</v>
      </c>
      <c r="E28" s="224">
        <v>0</v>
      </c>
      <c r="F28" s="223"/>
    </row>
    <row r="29" spans="1:6" ht="39" customHeight="1">
      <c r="A29" s="221" t="s">
        <v>1003</v>
      </c>
      <c r="B29" s="220" t="s">
        <v>1004</v>
      </c>
      <c r="C29" s="221" t="s">
        <v>1005</v>
      </c>
      <c r="D29" s="224">
        <v>55000000000</v>
      </c>
      <c r="E29" s="224">
        <v>494800000000</v>
      </c>
      <c r="F29" s="223">
        <v>0.111156022635408</v>
      </c>
    </row>
    <row r="30" spans="1:6" ht="39" customHeight="1">
      <c r="A30" s="221" t="s">
        <v>1006</v>
      </c>
      <c r="B30" s="220" t="s">
        <v>1007</v>
      </c>
      <c r="C30" s="221" t="s">
        <v>1008</v>
      </c>
      <c r="D30" s="224">
        <v>1254654159384</v>
      </c>
      <c r="E30" s="224">
        <v>639279969928</v>
      </c>
      <c r="F30" s="223">
        <v>1.9626051470458401</v>
      </c>
    </row>
    <row r="31" spans="1:6" ht="39" customHeight="1">
      <c r="A31" s="221" t="s">
        <v>1009</v>
      </c>
      <c r="B31" s="220" t="s">
        <v>1010</v>
      </c>
      <c r="C31" s="221" t="s">
        <v>1011</v>
      </c>
      <c r="D31" s="224" t="s">
        <v>1012</v>
      </c>
      <c r="E31" s="224" t="s">
        <v>1013</v>
      </c>
      <c r="F31" s="223" t="s">
        <v>1014</v>
      </c>
    </row>
    <row r="32" spans="1:6" ht="39" customHeight="1">
      <c r="A32" s="221" t="s">
        <v>1015</v>
      </c>
      <c r="B32" s="220" t="s">
        <v>1016</v>
      </c>
      <c r="C32" s="221" t="s">
        <v>1017</v>
      </c>
      <c r="D32" s="224">
        <v>0</v>
      </c>
      <c r="E32" s="224">
        <v>0</v>
      </c>
      <c r="F32" s="223"/>
    </row>
    <row r="33" spans="1:6" ht="39" customHeight="1">
      <c r="A33" s="221" t="s">
        <v>1018</v>
      </c>
      <c r="B33" s="220" t="s">
        <v>1019</v>
      </c>
      <c r="C33" s="221" t="s">
        <v>1020</v>
      </c>
      <c r="D33" s="224">
        <v>0</v>
      </c>
      <c r="E33" s="224">
        <v>0</v>
      </c>
      <c r="F33" s="223"/>
    </row>
    <row r="34" spans="1:6" ht="39" customHeight="1">
      <c r="A34" s="221" t="s">
        <v>1021</v>
      </c>
      <c r="B34" s="220" t="s">
        <v>1022</v>
      </c>
      <c r="C34" s="221" t="s">
        <v>1023</v>
      </c>
      <c r="D34" s="224">
        <v>714813798775</v>
      </c>
      <c r="E34" s="224">
        <v>392779969928</v>
      </c>
      <c r="F34" s="223">
        <v>1.81988353149992</v>
      </c>
    </row>
    <row r="35" spans="1:6" ht="39" customHeight="1">
      <c r="A35" s="221" t="s">
        <v>1024</v>
      </c>
      <c r="B35" s="220" t="s">
        <v>1025</v>
      </c>
      <c r="C35" s="221" t="s">
        <v>1026</v>
      </c>
      <c r="D35" s="224">
        <v>469940360609</v>
      </c>
      <c r="E35" s="224">
        <v>240000000000</v>
      </c>
      <c r="F35" s="223">
        <v>1.95808483587083</v>
      </c>
    </row>
    <row r="36" spans="1:6" ht="39" customHeight="1">
      <c r="A36" s="221" t="s">
        <v>1027</v>
      </c>
      <c r="B36" s="220" t="s">
        <v>1028</v>
      </c>
      <c r="C36" s="221" t="s">
        <v>1029</v>
      </c>
      <c r="D36" s="224">
        <v>69900000000</v>
      </c>
      <c r="E36" s="224">
        <v>6500000000</v>
      </c>
      <c r="F36" s="223">
        <v>10.753846153846199</v>
      </c>
    </row>
    <row r="37" spans="1:6" ht="39" customHeight="1">
      <c r="A37" s="221" t="s">
        <v>1030</v>
      </c>
      <c r="B37" s="220" t="s">
        <v>1031</v>
      </c>
      <c r="C37" s="221" t="s">
        <v>1032</v>
      </c>
      <c r="D37" s="224">
        <v>0</v>
      </c>
      <c r="E37" s="224">
        <v>0</v>
      </c>
      <c r="F37" s="223"/>
    </row>
    <row r="38" spans="1:6" ht="39" customHeight="1">
      <c r="A38" s="221" t="s">
        <v>1033</v>
      </c>
      <c r="B38" s="220" t="s">
        <v>1034</v>
      </c>
      <c r="C38" s="221" t="s">
        <v>1035</v>
      </c>
      <c r="D38" s="224">
        <v>0</v>
      </c>
      <c r="E38" s="224">
        <v>0</v>
      </c>
      <c r="F38" s="223"/>
    </row>
    <row r="39" spans="1:6" ht="39" customHeight="1">
      <c r="A39" s="221" t="s">
        <v>1036</v>
      </c>
      <c r="B39" s="220" t="s">
        <v>1037</v>
      </c>
      <c r="C39" s="221" t="s">
        <v>1038</v>
      </c>
      <c r="D39" s="224">
        <v>0</v>
      </c>
      <c r="E39" s="224">
        <v>0</v>
      </c>
      <c r="F39" s="223"/>
    </row>
    <row r="40" spans="1:6" ht="39" customHeight="1">
      <c r="A40" s="221" t="s">
        <v>1039</v>
      </c>
      <c r="B40" s="220" t="s">
        <v>1040</v>
      </c>
      <c r="C40" s="221" t="s">
        <v>1041</v>
      </c>
      <c r="D40" s="224">
        <v>0</v>
      </c>
      <c r="E40" s="224">
        <v>0</v>
      </c>
      <c r="F40" s="223"/>
    </row>
    <row r="41" spans="1:6" ht="39" customHeight="1">
      <c r="A41" s="221" t="s">
        <v>1042</v>
      </c>
      <c r="B41" s="220" t="s">
        <v>1043</v>
      </c>
      <c r="C41" s="221" t="s">
        <v>1044</v>
      </c>
      <c r="D41" s="224">
        <v>0</v>
      </c>
      <c r="E41" s="224">
        <v>0</v>
      </c>
      <c r="F41" s="223"/>
    </row>
    <row r="42" spans="1:6" ht="39" customHeight="1">
      <c r="A42" s="221" t="s">
        <v>1045</v>
      </c>
      <c r="B42" s="220" t="s">
        <v>1046</v>
      </c>
      <c r="C42" s="221" t="s">
        <v>1047</v>
      </c>
      <c r="D42" s="224" t="s">
        <v>1048</v>
      </c>
      <c r="E42" s="224" t="s">
        <v>1049</v>
      </c>
      <c r="F42" s="223" t="s">
        <v>1050</v>
      </c>
    </row>
    <row r="43" spans="1:6" ht="39" customHeight="1">
      <c r="A43" s="221" t="s">
        <v>1051</v>
      </c>
      <c r="B43" s="220" t="s">
        <v>1052</v>
      </c>
      <c r="C43" s="221" t="s">
        <v>1053</v>
      </c>
      <c r="D43" s="224">
        <v>23864415000</v>
      </c>
      <c r="E43" s="224">
        <v>15045345017</v>
      </c>
      <c r="F43" s="223">
        <v>1.5861660183289401</v>
      </c>
    </row>
    <row r="44" spans="1:6" ht="39" customHeight="1">
      <c r="A44" s="221" t="s">
        <v>1054</v>
      </c>
      <c r="B44" s="220" t="s">
        <v>1055</v>
      </c>
      <c r="C44" s="221" t="s">
        <v>1056</v>
      </c>
      <c r="D44" s="224" t="s">
        <v>1057</v>
      </c>
      <c r="E44" s="224" t="s">
        <v>1058</v>
      </c>
      <c r="F44" s="223" t="s">
        <v>1059</v>
      </c>
    </row>
    <row r="45" spans="1:6" ht="39" customHeight="1">
      <c r="A45" s="221" t="s">
        <v>1060</v>
      </c>
      <c r="B45" s="220" t="s">
        <v>1061</v>
      </c>
      <c r="C45" s="221" t="s">
        <v>1062</v>
      </c>
      <c r="D45" s="224">
        <v>0</v>
      </c>
      <c r="E45" s="224">
        <v>0</v>
      </c>
      <c r="F45" s="223"/>
    </row>
    <row r="46" spans="1:6" ht="39" customHeight="1">
      <c r="A46" s="221" t="s">
        <v>1063</v>
      </c>
      <c r="B46" s="220" t="s">
        <v>1064</v>
      </c>
      <c r="C46" s="221" t="s">
        <v>1065</v>
      </c>
      <c r="D46" s="224">
        <v>23864415000</v>
      </c>
      <c r="E46" s="224">
        <v>15045345017</v>
      </c>
      <c r="F46" s="223">
        <v>1.5861660183289401</v>
      </c>
    </row>
    <row r="47" spans="1:6" ht="39" customHeight="1">
      <c r="A47" s="221" t="s">
        <v>1066</v>
      </c>
      <c r="B47" s="220" t="s">
        <v>1067</v>
      </c>
      <c r="C47" s="221" t="s">
        <v>1068</v>
      </c>
      <c r="D47" s="224">
        <v>10937472606</v>
      </c>
      <c r="E47" s="224">
        <v>9672578083</v>
      </c>
      <c r="F47" s="223">
        <v>1.13077118759301</v>
      </c>
    </row>
    <row r="48" spans="1:6" ht="39" customHeight="1">
      <c r="A48" s="221" t="s">
        <v>1069</v>
      </c>
      <c r="B48" s="220" t="s">
        <v>1070</v>
      </c>
      <c r="C48" s="221" t="s">
        <v>1071</v>
      </c>
      <c r="D48" s="224" t="s">
        <v>1072</v>
      </c>
      <c r="E48" s="224" t="s">
        <v>1073</v>
      </c>
      <c r="F48" s="223" t="s">
        <v>1074</v>
      </c>
    </row>
    <row r="49" spans="1:6" ht="39" customHeight="1">
      <c r="A49" s="221" t="s">
        <v>1075</v>
      </c>
      <c r="B49" s="220" t="s">
        <v>1076</v>
      </c>
      <c r="C49" s="221" t="s">
        <v>1077</v>
      </c>
      <c r="D49" s="224">
        <v>1634554796</v>
      </c>
      <c r="E49" s="224">
        <v>672194521</v>
      </c>
      <c r="F49" s="223">
        <v>2.43166932329102</v>
      </c>
    </row>
    <row r="50" spans="1:6" ht="39" customHeight="1">
      <c r="A50" s="221" t="s">
        <v>1078</v>
      </c>
      <c r="B50" s="220" t="s">
        <v>1079</v>
      </c>
      <c r="C50" s="221" t="s">
        <v>1080</v>
      </c>
      <c r="D50" s="224">
        <v>9302917810</v>
      </c>
      <c r="E50" s="224">
        <v>9000383562</v>
      </c>
      <c r="F50" s="223">
        <v>1.03361348390499</v>
      </c>
    </row>
    <row r="51" spans="1:6" ht="39" customHeight="1">
      <c r="A51" s="221" t="s">
        <v>1081</v>
      </c>
      <c r="B51" s="220" t="s">
        <v>1082</v>
      </c>
      <c r="C51" s="221" t="s">
        <v>1083</v>
      </c>
      <c r="D51" s="224">
        <v>0</v>
      </c>
      <c r="E51" s="224">
        <v>0</v>
      </c>
      <c r="F51" s="223"/>
    </row>
    <row r="52" spans="1:6" ht="39" customHeight="1">
      <c r="A52" s="221" t="s">
        <v>1084</v>
      </c>
      <c r="B52" s="220" t="s">
        <v>1085</v>
      </c>
      <c r="C52" s="221" t="s">
        <v>1086</v>
      </c>
      <c r="D52" s="224">
        <v>0</v>
      </c>
      <c r="E52" s="224">
        <v>0</v>
      </c>
      <c r="F52" s="223"/>
    </row>
    <row r="53" spans="1:6" ht="39" customHeight="1">
      <c r="A53" s="221" t="s">
        <v>1087</v>
      </c>
      <c r="B53" s="220" t="s">
        <v>1088</v>
      </c>
      <c r="C53" s="221" t="s">
        <v>1089</v>
      </c>
      <c r="D53" s="224" t="s">
        <v>1090</v>
      </c>
      <c r="E53" s="224" t="s">
        <v>1091</v>
      </c>
      <c r="F53" s="223" t="s">
        <v>1092</v>
      </c>
    </row>
    <row r="54" spans="1:6" ht="39" customHeight="1">
      <c r="A54" s="221" t="s">
        <v>1093</v>
      </c>
      <c r="B54" s="220" t="s">
        <v>1094</v>
      </c>
      <c r="C54" s="221" t="s">
        <v>1095</v>
      </c>
      <c r="D54" s="224">
        <v>0</v>
      </c>
      <c r="E54" s="224">
        <v>0</v>
      </c>
      <c r="F54" s="223"/>
    </row>
    <row r="55" spans="1:6" ht="39" customHeight="1">
      <c r="A55" s="221" t="s">
        <v>1096</v>
      </c>
      <c r="B55" s="220" t="s">
        <v>1097</v>
      </c>
      <c r="C55" s="221" t="s">
        <v>1098</v>
      </c>
      <c r="D55" s="224" t="s">
        <v>1099</v>
      </c>
      <c r="E55" s="224" t="s">
        <v>1100</v>
      </c>
      <c r="F55" s="223" t="s">
        <v>1101</v>
      </c>
    </row>
    <row r="56" spans="1:6" ht="39" customHeight="1">
      <c r="A56" s="221" t="s">
        <v>1102</v>
      </c>
      <c r="B56" s="220" t="s">
        <v>1103</v>
      </c>
      <c r="C56" s="221" t="s">
        <v>1104</v>
      </c>
      <c r="D56" s="224">
        <v>0</v>
      </c>
      <c r="E56" s="224">
        <v>0</v>
      </c>
      <c r="F56" s="223"/>
    </row>
    <row r="57" spans="1:6" ht="39" customHeight="1">
      <c r="A57" s="221" t="s">
        <v>1105</v>
      </c>
      <c r="B57" s="220" t="s">
        <v>1106</v>
      </c>
      <c r="C57" s="221" t="s">
        <v>1107</v>
      </c>
      <c r="D57" s="224" t="s">
        <v>1108</v>
      </c>
      <c r="E57" s="224" t="s">
        <v>1109</v>
      </c>
      <c r="F57" s="223" t="s">
        <v>1110</v>
      </c>
    </row>
    <row r="58" spans="1:6" ht="39" customHeight="1">
      <c r="A58" s="221" t="s">
        <v>1111</v>
      </c>
      <c r="B58" s="220" t="s">
        <v>1112</v>
      </c>
      <c r="C58" s="221" t="s">
        <v>1113</v>
      </c>
      <c r="D58" s="224">
        <v>0</v>
      </c>
      <c r="E58" s="224">
        <v>0</v>
      </c>
      <c r="F58" s="223"/>
    </row>
    <row r="59" spans="1:6" ht="39" customHeight="1">
      <c r="A59" s="221" t="s">
        <v>1114</v>
      </c>
      <c r="B59" s="220" t="s">
        <v>1115</v>
      </c>
      <c r="C59" s="221" t="s">
        <v>1116</v>
      </c>
      <c r="D59" s="224">
        <v>0</v>
      </c>
      <c r="E59" s="224">
        <v>0</v>
      </c>
      <c r="F59" s="223"/>
    </row>
    <row r="60" spans="1:6" ht="39" customHeight="1">
      <c r="A60" s="221" t="s">
        <v>1117</v>
      </c>
      <c r="B60" s="220" t="s">
        <v>1118</v>
      </c>
      <c r="C60" s="221" t="s">
        <v>1119</v>
      </c>
      <c r="D60" s="224">
        <v>0</v>
      </c>
      <c r="E60" s="224">
        <v>0</v>
      </c>
      <c r="F60" s="223"/>
    </row>
    <row r="61" spans="1:6" ht="39" customHeight="1">
      <c r="A61" s="221" t="s">
        <v>1120</v>
      </c>
      <c r="B61" s="220" t="s">
        <v>1121</v>
      </c>
      <c r="C61" s="221" t="s">
        <v>1122</v>
      </c>
      <c r="D61" s="224">
        <v>0</v>
      </c>
      <c r="E61" s="224">
        <v>0</v>
      </c>
      <c r="F61" s="223"/>
    </row>
    <row r="62" spans="1:6" ht="39" customHeight="1">
      <c r="A62" s="221" t="s">
        <v>1123</v>
      </c>
      <c r="B62" s="220" t="s">
        <v>1124</v>
      </c>
      <c r="C62" s="221" t="s">
        <v>1125</v>
      </c>
      <c r="D62" s="224" t="s">
        <v>1126</v>
      </c>
      <c r="E62" s="224" t="s">
        <v>1127</v>
      </c>
      <c r="F62" s="223" t="s">
        <v>1128</v>
      </c>
    </row>
    <row r="63" spans="1:6" ht="39" customHeight="1">
      <c r="A63" s="226" t="s">
        <v>1129</v>
      </c>
      <c r="B63" s="225" t="s">
        <v>1130</v>
      </c>
      <c r="C63" s="226" t="s">
        <v>1131</v>
      </c>
      <c r="D63" s="228">
        <v>1368002836398</v>
      </c>
      <c r="E63" s="228">
        <v>1196819728842</v>
      </c>
      <c r="F63" s="227">
        <v>1.1430316558381199</v>
      </c>
    </row>
    <row r="64" spans="1:6" ht="39" customHeight="1">
      <c r="A64" s="226" t="s">
        <v>1132</v>
      </c>
      <c r="B64" s="225" t="s">
        <v>1133</v>
      </c>
      <c r="C64" s="226" t="s">
        <v>1134</v>
      </c>
      <c r="D64" s="228"/>
      <c r="E64" s="228"/>
      <c r="F64" s="227"/>
    </row>
    <row r="65" spans="1:6" ht="39" customHeight="1">
      <c r="A65" s="221" t="s">
        <v>1135</v>
      </c>
      <c r="B65" s="220" t="s">
        <v>1136</v>
      </c>
      <c r="C65" s="221" t="s">
        <v>1137</v>
      </c>
      <c r="D65" s="224">
        <v>0</v>
      </c>
      <c r="E65" s="224">
        <v>0</v>
      </c>
      <c r="F65" s="223"/>
    </row>
    <row r="66" spans="1:6" ht="39" customHeight="1">
      <c r="A66" s="221" t="s">
        <v>1138</v>
      </c>
      <c r="B66" s="220" t="s">
        <v>1139</v>
      </c>
      <c r="C66" s="221" t="s">
        <v>1140</v>
      </c>
      <c r="D66" s="224" t="s">
        <v>1141</v>
      </c>
      <c r="E66" s="224" t="s">
        <v>1142</v>
      </c>
      <c r="F66" s="223" t="s">
        <v>1143</v>
      </c>
    </row>
    <row r="67" spans="1:6" ht="39" customHeight="1">
      <c r="A67" s="221" t="s">
        <v>1144</v>
      </c>
      <c r="B67" s="220" t="s">
        <v>1145</v>
      </c>
      <c r="C67" s="221" t="s">
        <v>1146</v>
      </c>
      <c r="D67" s="224">
        <v>0</v>
      </c>
      <c r="E67" s="224">
        <v>0</v>
      </c>
      <c r="F67" s="223"/>
    </row>
    <row r="68" spans="1:6" ht="39" customHeight="1">
      <c r="A68" s="221" t="s">
        <v>1147</v>
      </c>
      <c r="B68" s="220" t="s">
        <v>1148</v>
      </c>
      <c r="C68" s="221" t="s">
        <v>1149</v>
      </c>
      <c r="D68" s="224" t="s">
        <v>1150</v>
      </c>
      <c r="E68" s="224" t="s">
        <v>1151</v>
      </c>
      <c r="F68" s="223" t="s">
        <v>1152</v>
      </c>
    </row>
    <row r="69" spans="1:6" ht="39" customHeight="1">
      <c r="A69" s="221" t="s">
        <v>1153</v>
      </c>
      <c r="B69" s="220" t="s">
        <v>1154</v>
      </c>
      <c r="C69" s="221" t="s">
        <v>1155</v>
      </c>
      <c r="D69" s="224">
        <v>25660486546</v>
      </c>
      <c r="E69" s="224">
        <v>17727968070</v>
      </c>
      <c r="F69" s="223">
        <v>1.4474578499170301</v>
      </c>
    </row>
    <row r="70" spans="1:6" ht="39" customHeight="1">
      <c r="A70" s="221" t="s">
        <v>1156</v>
      </c>
      <c r="B70" s="220" t="s">
        <v>1157</v>
      </c>
      <c r="C70" s="221" t="s">
        <v>1158</v>
      </c>
      <c r="D70" s="224" t="s">
        <v>1159</v>
      </c>
      <c r="E70" s="224" t="s">
        <v>1160</v>
      </c>
      <c r="F70" s="223" t="s">
        <v>1161</v>
      </c>
    </row>
    <row r="71" spans="1:6" ht="39" customHeight="1">
      <c r="A71" s="221" t="s">
        <v>1162</v>
      </c>
      <c r="B71" s="220" t="s">
        <v>1163</v>
      </c>
      <c r="C71" s="221" t="s">
        <v>1164</v>
      </c>
      <c r="D71" s="224">
        <v>22349177213</v>
      </c>
      <c r="E71" s="224">
        <v>15719805142</v>
      </c>
      <c r="F71" s="223">
        <v>1.42172100806057</v>
      </c>
    </row>
    <row r="72" spans="1:6" ht="39" customHeight="1">
      <c r="A72" s="221" t="s">
        <v>1165</v>
      </c>
      <c r="B72" s="220" t="s">
        <v>1166</v>
      </c>
      <c r="C72" s="221" t="s">
        <v>1167</v>
      </c>
      <c r="D72" s="224">
        <v>21527465725</v>
      </c>
      <c r="E72" s="224">
        <v>15719104214</v>
      </c>
      <c r="F72" s="223">
        <v>1.36950970182047</v>
      </c>
    </row>
    <row r="73" spans="1:6" ht="48" customHeight="1">
      <c r="A73" s="221" t="s">
        <v>1168</v>
      </c>
      <c r="B73" s="220" t="s">
        <v>1169</v>
      </c>
      <c r="C73" s="221" t="s">
        <v>1170</v>
      </c>
      <c r="D73" s="224">
        <v>0</v>
      </c>
      <c r="E73" s="224">
        <v>0</v>
      </c>
      <c r="F73" s="223"/>
    </row>
    <row r="74" spans="1:6" ht="39" customHeight="1">
      <c r="A74" s="221" t="s">
        <v>1171</v>
      </c>
      <c r="B74" s="220" t="s">
        <v>1172</v>
      </c>
      <c r="C74" s="221" t="s">
        <v>1173</v>
      </c>
      <c r="D74" s="224">
        <v>0</v>
      </c>
      <c r="E74" s="224">
        <v>0</v>
      </c>
      <c r="F74" s="223"/>
    </row>
    <row r="75" spans="1:6" ht="39" customHeight="1">
      <c r="A75" s="221" t="s">
        <v>1174</v>
      </c>
      <c r="B75" s="220" t="s">
        <v>1175</v>
      </c>
      <c r="C75" s="221" t="s">
        <v>1176</v>
      </c>
      <c r="D75" s="224">
        <v>821711488</v>
      </c>
      <c r="E75" s="224">
        <v>700928</v>
      </c>
      <c r="F75" s="223">
        <v>1172.3193937180399</v>
      </c>
    </row>
    <row r="76" spans="1:6" ht="39" customHeight="1">
      <c r="A76" s="221" t="s">
        <v>1177</v>
      </c>
      <c r="B76" s="220" t="s">
        <v>1178</v>
      </c>
      <c r="C76" s="221" t="s">
        <v>1179</v>
      </c>
      <c r="D76" s="224">
        <v>1157467393</v>
      </c>
      <c r="E76" s="224">
        <v>642183967</v>
      </c>
      <c r="F76" s="223">
        <v>1.80239223101003</v>
      </c>
    </row>
    <row r="77" spans="1:6" ht="61" customHeight="1">
      <c r="A77" s="221" t="s">
        <v>1180</v>
      </c>
      <c r="B77" s="220" t="s">
        <v>1181</v>
      </c>
      <c r="C77" s="221" t="s">
        <v>1182</v>
      </c>
      <c r="D77" s="224">
        <v>0</v>
      </c>
      <c r="E77" s="224">
        <v>0</v>
      </c>
      <c r="F77" s="223"/>
    </row>
    <row r="78" spans="1:6" ht="39" customHeight="1">
      <c r="A78" s="221" t="s">
        <v>1183</v>
      </c>
      <c r="B78" s="220" t="s">
        <v>1184</v>
      </c>
      <c r="C78" s="221" t="s">
        <v>1185</v>
      </c>
      <c r="D78" s="224">
        <v>0</v>
      </c>
      <c r="E78" s="224">
        <v>0</v>
      </c>
      <c r="F78" s="223"/>
    </row>
    <row r="79" spans="1:6" ht="39" customHeight="1">
      <c r="A79" s="221" t="s">
        <v>1186</v>
      </c>
      <c r="B79" s="220" t="s">
        <v>1187</v>
      </c>
      <c r="C79" s="221" t="s">
        <v>1188</v>
      </c>
      <c r="D79" s="224">
        <v>12000000</v>
      </c>
      <c r="E79" s="224">
        <v>12000000</v>
      </c>
      <c r="F79" s="223">
        <v>1</v>
      </c>
    </row>
    <row r="80" spans="1:6" ht="39" customHeight="1">
      <c r="A80" s="221" t="s">
        <v>1189</v>
      </c>
      <c r="B80" s="220" t="s">
        <v>1190</v>
      </c>
      <c r="C80" s="221" t="s">
        <v>1191</v>
      </c>
      <c r="D80" s="224">
        <v>1743919278</v>
      </c>
      <c r="E80" s="224">
        <v>1074647304</v>
      </c>
      <c r="F80" s="223">
        <v>1.6227829088751899</v>
      </c>
    </row>
    <row r="81" spans="1:6" ht="39" customHeight="1">
      <c r="A81" s="221" t="s">
        <v>1192</v>
      </c>
      <c r="B81" s="220" t="s">
        <v>1193</v>
      </c>
      <c r="C81" s="221" t="s">
        <v>1194</v>
      </c>
      <c r="D81" s="224">
        <v>63943705</v>
      </c>
      <c r="E81" s="224">
        <v>45866235</v>
      </c>
      <c r="F81" s="223">
        <v>1.3941345959614999</v>
      </c>
    </row>
    <row r="82" spans="1:6" ht="39" customHeight="1">
      <c r="A82" s="221" t="s">
        <v>1195</v>
      </c>
      <c r="B82" s="220" t="s">
        <v>1196</v>
      </c>
      <c r="C82" s="221" t="s">
        <v>1197</v>
      </c>
      <c r="D82" s="224">
        <v>47957779</v>
      </c>
      <c r="E82" s="224">
        <v>29552800</v>
      </c>
      <c r="F82" s="223">
        <v>1.6227829173546999</v>
      </c>
    </row>
    <row r="83" spans="1:6" ht="39" customHeight="1">
      <c r="A83" s="221" t="s">
        <v>1198</v>
      </c>
      <c r="B83" s="220" t="s">
        <v>1199</v>
      </c>
      <c r="C83" s="221" t="s">
        <v>1200</v>
      </c>
      <c r="D83" s="224">
        <v>0</v>
      </c>
      <c r="E83" s="224">
        <v>0</v>
      </c>
      <c r="F83" s="223"/>
    </row>
    <row r="84" spans="1:6" ht="39" customHeight="1">
      <c r="A84" s="221" t="s">
        <v>1201</v>
      </c>
      <c r="B84" s="220" t="s">
        <v>1202</v>
      </c>
      <c r="C84" s="221" t="s">
        <v>1203</v>
      </c>
      <c r="D84" s="224">
        <v>0</v>
      </c>
      <c r="E84" s="224">
        <v>0</v>
      </c>
      <c r="F84" s="223"/>
    </row>
    <row r="85" spans="1:6" ht="46" customHeight="1">
      <c r="A85" s="221" t="s">
        <v>1204</v>
      </c>
      <c r="B85" s="220" t="s">
        <v>1205</v>
      </c>
      <c r="C85" s="221" t="s">
        <v>1206</v>
      </c>
      <c r="D85" s="224">
        <v>0</v>
      </c>
      <c r="E85" s="224">
        <v>0</v>
      </c>
      <c r="F85" s="223"/>
    </row>
    <row r="86" spans="1:6" ht="39" customHeight="1">
      <c r="A86" s="221" t="s">
        <v>1207</v>
      </c>
      <c r="B86" s="220" t="s">
        <v>1208</v>
      </c>
      <c r="C86" s="221" t="s">
        <v>1209</v>
      </c>
      <c r="D86" s="224">
        <v>74313304</v>
      </c>
      <c r="E86" s="224">
        <v>45826971</v>
      </c>
      <c r="F86" s="223">
        <v>1.62160628072058</v>
      </c>
    </row>
    <row r="87" spans="1:6" ht="39" customHeight="1">
      <c r="A87" s="221" t="s">
        <v>1210</v>
      </c>
      <c r="B87" s="220" t="s">
        <v>1211</v>
      </c>
      <c r="C87" s="221" t="s">
        <v>1212</v>
      </c>
      <c r="D87" s="224">
        <v>72663304</v>
      </c>
      <c r="E87" s="224">
        <v>44776971</v>
      </c>
      <c r="F87" s="223">
        <v>1.62278292562487</v>
      </c>
    </row>
    <row r="88" spans="1:6" ht="39" customHeight="1">
      <c r="A88" s="221" t="s">
        <v>1213</v>
      </c>
      <c r="B88" s="220" t="s">
        <v>1214</v>
      </c>
      <c r="C88" s="221" t="s">
        <v>1215</v>
      </c>
      <c r="D88" s="224">
        <v>1200000</v>
      </c>
      <c r="E88" s="224">
        <v>600000</v>
      </c>
      <c r="F88" s="223">
        <v>2</v>
      </c>
    </row>
    <row r="89" spans="1:6" ht="60" customHeight="1">
      <c r="A89" s="221" t="s">
        <v>1216</v>
      </c>
      <c r="B89" s="220" t="s">
        <v>1217</v>
      </c>
      <c r="C89" s="221" t="s">
        <v>1218</v>
      </c>
      <c r="D89" s="224">
        <v>450000</v>
      </c>
      <c r="E89" s="224">
        <v>450000</v>
      </c>
      <c r="F89" s="223">
        <v>1</v>
      </c>
    </row>
    <row r="90" spans="1:6" ht="39" customHeight="1">
      <c r="A90" s="221" t="s">
        <v>1219</v>
      </c>
      <c r="B90" s="220" t="s">
        <v>1220</v>
      </c>
      <c r="C90" s="221" t="s">
        <v>1221</v>
      </c>
      <c r="D90" s="224">
        <v>78400000</v>
      </c>
      <c r="E90" s="224">
        <v>68320000</v>
      </c>
      <c r="F90" s="223">
        <v>1.14754098360656</v>
      </c>
    </row>
    <row r="91" spans="1:6" ht="39" customHeight="1">
      <c r="A91" s="221" t="s">
        <v>1222</v>
      </c>
      <c r="B91" s="220" t="s">
        <v>1223</v>
      </c>
      <c r="C91" s="221" t="s">
        <v>1224</v>
      </c>
      <c r="D91" s="224">
        <v>84857874</v>
      </c>
      <c r="E91" s="224">
        <v>41315651</v>
      </c>
      <c r="F91" s="223">
        <v>2.0538917322154702</v>
      </c>
    </row>
    <row r="92" spans="1:6" ht="39" customHeight="1">
      <c r="A92" s="221" t="s">
        <v>1225</v>
      </c>
      <c r="B92" s="220" t="s">
        <v>1226</v>
      </c>
      <c r="C92" s="221" t="s">
        <v>1227</v>
      </c>
      <c r="D92" s="224">
        <v>0</v>
      </c>
      <c r="E92" s="224">
        <v>0</v>
      </c>
      <c r="F92" s="223"/>
    </row>
    <row r="93" spans="1:6" ht="39" customHeight="1">
      <c r="A93" s="221" t="s">
        <v>1228</v>
      </c>
      <c r="B93" s="220" t="s">
        <v>1229</v>
      </c>
      <c r="C93" s="221" t="s">
        <v>1230</v>
      </c>
      <c r="D93" s="224">
        <v>13200000</v>
      </c>
      <c r="E93" s="224">
        <v>13200000</v>
      </c>
      <c r="F93" s="223">
        <v>1</v>
      </c>
    </row>
    <row r="94" spans="1:6" ht="48" customHeight="1">
      <c r="A94" s="221" t="s">
        <v>1231</v>
      </c>
      <c r="B94" s="220" t="s">
        <v>1232</v>
      </c>
      <c r="C94" s="221" t="s">
        <v>1233</v>
      </c>
      <c r="D94" s="224">
        <v>0</v>
      </c>
      <c r="E94" s="224">
        <v>0</v>
      </c>
      <c r="F94" s="223"/>
    </row>
    <row r="95" spans="1:6" ht="39" customHeight="1">
      <c r="A95" s="221" t="s">
        <v>1234</v>
      </c>
      <c r="B95" s="220" t="s">
        <v>1235</v>
      </c>
      <c r="C95" s="221" t="s">
        <v>1236</v>
      </c>
      <c r="D95" s="224">
        <v>0</v>
      </c>
      <c r="E95" s="224">
        <v>0</v>
      </c>
      <c r="F95" s="223"/>
    </row>
    <row r="96" spans="1:6" ht="39" customHeight="1">
      <c r="A96" s="221" t="s">
        <v>1237</v>
      </c>
      <c r="B96" s="220" t="s">
        <v>1238</v>
      </c>
      <c r="C96" s="221" t="s">
        <v>1239</v>
      </c>
      <c r="D96" s="224">
        <v>35250000</v>
      </c>
      <c r="E96" s="224">
        <v>35250000</v>
      </c>
      <c r="F96" s="223">
        <v>1</v>
      </c>
    </row>
    <row r="97" spans="1:6" ht="39" customHeight="1">
      <c r="A97" s="221" t="s">
        <v>1240</v>
      </c>
      <c r="B97" s="220" t="s">
        <v>1241</v>
      </c>
      <c r="C97" s="221" t="s">
        <v>1242</v>
      </c>
      <c r="D97" s="224">
        <v>35250000</v>
      </c>
      <c r="E97" s="224">
        <v>35250000</v>
      </c>
      <c r="F97" s="223">
        <v>1</v>
      </c>
    </row>
    <row r="98" spans="1:6" ht="48" customHeight="1">
      <c r="A98" s="221" t="s">
        <v>1243</v>
      </c>
      <c r="B98" s="220" t="s">
        <v>1244</v>
      </c>
      <c r="C98" s="221" t="s">
        <v>1245</v>
      </c>
      <c r="D98" s="224">
        <v>0</v>
      </c>
      <c r="E98" s="224">
        <v>0</v>
      </c>
      <c r="F98" s="223"/>
    </row>
    <row r="99" spans="1:6" ht="45" customHeight="1">
      <c r="A99" s="221" t="s">
        <v>1246</v>
      </c>
      <c r="B99" s="220" t="s">
        <v>1247</v>
      </c>
      <c r="C99" s="221" t="s">
        <v>1248</v>
      </c>
      <c r="D99" s="224">
        <v>0</v>
      </c>
      <c r="E99" s="224">
        <v>0</v>
      </c>
      <c r="F99" s="223"/>
    </row>
    <row r="100" spans="1:6" ht="39" customHeight="1">
      <c r="A100" s="221" t="s">
        <v>1249</v>
      </c>
      <c r="B100" s="220" t="s">
        <v>1250</v>
      </c>
      <c r="C100" s="221" t="s">
        <v>1251</v>
      </c>
      <c r="D100" s="224">
        <v>0</v>
      </c>
      <c r="E100" s="224">
        <v>0</v>
      </c>
      <c r="F100" s="223"/>
    </row>
    <row r="101" spans="1:6" ht="39" customHeight="1">
      <c r="A101" s="221" t="s">
        <v>1252</v>
      </c>
      <c r="B101" s="220" t="s">
        <v>1253</v>
      </c>
      <c r="C101" s="221" t="s">
        <v>1254</v>
      </c>
      <c r="D101" s="224">
        <v>0</v>
      </c>
      <c r="E101" s="224">
        <v>0</v>
      </c>
      <c r="F101" s="223"/>
    </row>
    <row r="102" spans="1:6" ht="39" customHeight="1">
      <c r="A102" s="221" t="s">
        <v>1255</v>
      </c>
      <c r="B102" s="220" t="s">
        <v>1256</v>
      </c>
      <c r="C102" s="221" t="s">
        <v>1257</v>
      </c>
      <c r="D102" s="224">
        <v>0</v>
      </c>
      <c r="E102" s="224">
        <v>0</v>
      </c>
      <c r="F102" s="223"/>
    </row>
    <row r="103" spans="1:6" ht="39" customHeight="1">
      <c r="A103" s="221" t="s">
        <v>1258</v>
      </c>
      <c r="B103" s="220" t="s">
        <v>1259</v>
      </c>
      <c r="C103" s="221" t="s">
        <v>1260</v>
      </c>
      <c r="D103" s="224">
        <v>0</v>
      </c>
      <c r="E103" s="224">
        <v>0</v>
      </c>
      <c r="F103" s="223"/>
    </row>
    <row r="104" spans="1:6" ht="39" customHeight="1">
      <c r="A104" s="221" t="s">
        <v>1261</v>
      </c>
      <c r="B104" s="220" t="s">
        <v>1262</v>
      </c>
      <c r="C104" s="221" t="s">
        <v>1263</v>
      </c>
      <c r="D104" s="224">
        <v>0</v>
      </c>
      <c r="E104" s="224">
        <v>0</v>
      </c>
      <c r="F104" s="223"/>
    </row>
    <row r="105" spans="1:6" ht="39" customHeight="1">
      <c r="A105" s="226" t="s">
        <v>1264</v>
      </c>
      <c r="B105" s="225" t="s">
        <v>1265</v>
      </c>
      <c r="C105" s="226" t="s">
        <v>1266</v>
      </c>
      <c r="D105" s="228">
        <v>25660486546</v>
      </c>
      <c r="E105" s="228">
        <v>17727968070</v>
      </c>
      <c r="F105" s="227">
        <v>1.4474578499170301</v>
      </c>
    </row>
    <row r="106" spans="1:6" ht="39" customHeight="1">
      <c r="A106" s="221" t="s">
        <v>1267</v>
      </c>
      <c r="B106" s="220" t="s">
        <v>1268</v>
      </c>
      <c r="C106" s="221" t="s">
        <v>1269</v>
      </c>
      <c r="D106" s="224">
        <v>1342342349852</v>
      </c>
      <c r="E106" s="224">
        <v>1179091760772</v>
      </c>
      <c r="F106" s="223">
        <v>1.1384545245003801</v>
      </c>
    </row>
    <row r="107" spans="1:6" ht="39" customHeight="1">
      <c r="A107" s="221" t="s">
        <v>1270</v>
      </c>
      <c r="B107" s="220" t="s">
        <v>1271</v>
      </c>
      <c r="C107" s="221" t="s">
        <v>1272</v>
      </c>
      <c r="D107" s="229">
        <v>113149440.94</v>
      </c>
      <c r="E107" s="229">
        <v>104923542.79000001</v>
      </c>
      <c r="F107" s="223">
        <v>1.0783989744462199</v>
      </c>
    </row>
    <row r="108" spans="1:6" ht="39" customHeight="1">
      <c r="A108" s="221" t="s">
        <v>1273</v>
      </c>
      <c r="B108" s="220" t="s">
        <v>1274</v>
      </c>
      <c r="C108" s="221" t="s">
        <v>1275</v>
      </c>
      <c r="D108" s="229">
        <v>11863.44</v>
      </c>
      <c r="E108" s="229">
        <v>11237.62</v>
      </c>
      <c r="F108" s="223">
        <v>1.0556897278961199</v>
      </c>
    </row>
    <row r="109" spans="1:6" s="5" customFormat="1" ht="16.899999999999999" customHeight="1"/>
    <row r="110" spans="1:6" s="5" customFormat="1" ht="16.899999999999999" customHeight="1">
      <c r="A110" s="15" t="s">
        <v>10</v>
      </c>
      <c r="B110" s="6"/>
      <c r="C110" s="6"/>
      <c r="E110" s="15" t="s">
        <v>11</v>
      </c>
      <c r="F110" s="6"/>
    </row>
    <row r="111" spans="1:6" s="7" customFormat="1" ht="16.899999999999999" customHeight="1">
      <c r="A111" s="16" t="s">
        <v>12</v>
      </c>
      <c r="B111" s="8"/>
      <c r="C111" s="8"/>
      <c r="E111" s="16" t="s">
        <v>13</v>
      </c>
      <c r="F111" s="8"/>
    </row>
    <row r="112" spans="1:6" s="5" customFormat="1" ht="16.899999999999999" customHeight="1">
      <c r="A112" s="6"/>
      <c r="B112" s="6"/>
      <c r="C112" s="6"/>
      <c r="D112" s="6"/>
      <c r="E112" s="6"/>
      <c r="F112" s="6"/>
    </row>
    <row r="113" spans="1:6" s="5" customFormat="1" ht="16.899999999999999" customHeight="1">
      <c r="A113" s="6"/>
      <c r="B113" s="6"/>
      <c r="C113" s="6"/>
      <c r="D113" s="6"/>
      <c r="E113" s="6"/>
      <c r="F113" s="6"/>
    </row>
    <row r="114" spans="1:6" s="5" customFormat="1" ht="16.899999999999999" customHeight="1">
      <c r="A114" s="6"/>
      <c r="B114" s="6"/>
      <c r="C114" s="6"/>
      <c r="D114" s="6"/>
      <c r="E114" s="6"/>
      <c r="F114" s="6"/>
    </row>
    <row r="115" spans="1:6" s="5" customFormat="1" ht="16.899999999999999" customHeight="1">
      <c r="A115" s="6"/>
      <c r="B115" s="6"/>
      <c r="C115" s="6"/>
      <c r="D115" s="6"/>
      <c r="E115" s="6"/>
      <c r="F115" s="6"/>
    </row>
    <row r="116" spans="1:6" s="5" customFormat="1" ht="16.899999999999999" customHeight="1">
      <c r="A116" s="6"/>
      <c r="B116" s="6"/>
      <c r="C116" s="6"/>
      <c r="D116" s="6"/>
      <c r="E116" s="6"/>
      <c r="F116" s="6"/>
    </row>
    <row r="117" spans="1:6" s="5" customFormat="1" ht="16.899999999999999" customHeight="1">
      <c r="A117" s="6"/>
      <c r="B117" s="6"/>
      <c r="C117" s="6"/>
      <c r="D117" s="6"/>
      <c r="E117" s="6"/>
      <c r="F117" s="6"/>
    </row>
    <row r="118" spans="1:6" s="5" customFormat="1" ht="16.899999999999999" customHeight="1">
      <c r="A118" s="87"/>
      <c r="B118" s="87"/>
      <c r="C118" s="6"/>
      <c r="D118" s="6"/>
      <c r="E118" s="87"/>
      <c r="F118" s="87"/>
    </row>
    <row r="119" spans="1:6" s="5" customFormat="1" ht="16.899999999999999" customHeight="1">
      <c r="A119" s="14" t="s">
        <v>14</v>
      </c>
      <c r="B119" s="86"/>
      <c r="C119" s="6"/>
      <c r="E119" s="14" t="s">
        <v>1393</v>
      </c>
      <c r="F119" s="86"/>
    </row>
    <row r="120" spans="1:6" s="5" customFormat="1" ht="16.899999999999999" customHeight="1">
      <c r="A120" s="85" t="s">
        <v>1399</v>
      </c>
      <c r="B120" s="6"/>
      <c r="C120" s="6"/>
      <c r="E120" s="85" t="s">
        <v>1400</v>
      </c>
      <c r="F120" s="6"/>
    </row>
    <row r="121" spans="1:6" s="5" customFormat="1" ht="16.899999999999999" customHeight="1">
      <c r="A121" s="6" t="s">
        <v>1401</v>
      </c>
      <c r="B121" s="6"/>
      <c r="C121" s="6"/>
      <c r="E121" s="6" t="s">
        <v>1402</v>
      </c>
      <c r="F121" s="6"/>
    </row>
    <row r="122" spans="1:6" ht="16.899999999999999" customHeight="1"/>
  </sheetData>
  <mergeCells count="20">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53" fitToHeight="0" orientation="portrait" r:id="rId1"/>
  <headerFooter>
    <oddHeader>&amp;L&amp;"Arial"&amp;9&amp;KA80000CONFIDENTIAL&amp;1#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7"/>
  <sheetViews>
    <sheetView view="pageBreakPreview" zoomScaleNormal="100" zoomScaleSheetLayoutView="100" workbookViewId="0">
      <selection sqref="A1:F1"/>
    </sheetView>
  </sheetViews>
  <sheetFormatPr defaultColWidth="8.7265625" defaultRowHeight="12.5"/>
  <cols>
    <col min="1" max="1" width="8.7265625" style="12"/>
    <col min="2" max="2" width="46.26953125" style="12" customWidth="1"/>
    <col min="3" max="3" width="10.7265625" style="12" bestFit="1" customWidth="1"/>
    <col min="4" max="6" width="36.81640625" style="12" customWidth="1"/>
    <col min="7" max="16384" width="8.7265625" style="19"/>
  </cols>
  <sheetData>
    <row r="1" spans="1:6" ht="54.75" customHeight="1">
      <c r="A1" s="265" t="s">
        <v>570</v>
      </c>
      <c r="B1" s="265"/>
      <c r="C1" s="265"/>
      <c r="D1" s="265"/>
      <c r="E1" s="265"/>
      <c r="F1" s="265"/>
    </row>
    <row r="2" spans="1:6" ht="54.75" customHeight="1">
      <c r="A2" s="266" t="s">
        <v>571</v>
      </c>
      <c r="B2" s="266"/>
      <c r="C2" s="266"/>
      <c r="D2" s="266"/>
      <c r="E2" s="266"/>
      <c r="F2" s="266"/>
    </row>
    <row r="3" spans="1:6" ht="22.5" customHeight="1">
      <c r="A3" s="267" t="s">
        <v>521</v>
      </c>
      <c r="B3" s="267"/>
      <c r="C3" s="267"/>
      <c r="D3" s="267"/>
      <c r="E3" s="267"/>
      <c r="F3" s="267"/>
    </row>
    <row r="4" spans="1:6" ht="21" customHeight="1">
      <c r="A4" s="267"/>
      <c r="B4" s="267"/>
      <c r="C4" s="267"/>
      <c r="D4" s="267"/>
      <c r="E4" s="267"/>
      <c r="F4" s="267"/>
    </row>
    <row r="5" spans="1:6" ht="16.149999999999999" customHeight="1">
      <c r="A5" s="268" t="s">
        <v>1392</v>
      </c>
      <c r="B5" s="268"/>
      <c r="C5" s="268"/>
      <c r="D5" s="268"/>
      <c r="E5" s="268"/>
      <c r="F5" s="268"/>
    </row>
    <row r="7" spans="1:6" ht="16.899999999999999" customHeight="1">
      <c r="A7" s="141" t="s">
        <v>2</v>
      </c>
      <c r="C7" s="269" t="s">
        <v>1393</v>
      </c>
      <c r="D7" s="269"/>
      <c r="E7" s="269"/>
      <c r="F7" s="269"/>
    </row>
    <row r="8" spans="1:6" ht="16.899999999999999" customHeight="1">
      <c r="A8" s="12" t="s">
        <v>15</v>
      </c>
      <c r="C8" s="264" t="s">
        <v>1394</v>
      </c>
      <c r="D8" s="264"/>
      <c r="E8" s="264"/>
      <c r="F8" s="264"/>
    </row>
    <row r="9" spans="1:6" ht="16.899999999999999" customHeight="1">
      <c r="A9" s="141" t="s">
        <v>3</v>
      </c>
      <c r="C9" s="269" t="s">
        <v>1395</v>
      </c>
      <c r="D9" s="269"/>
      <c r="E9" s="269"/>
      <c r="F9" s="269"/>
    </row>
    <row r="10" spans="1:6" ht="16.899999999999999" customHeight="1">
      <c r="A10" s="12" t="s">
        <v>4</v>
      </c>
      <c r="C10" s="264" t="s">
        <v>1396</v>
      </c>
      <c r="D10" s="264"/>
      <c r="E10" s="264"/>
      <c r="F10" s="264"/>
    </row>
    <row r="11" spans="1:6" ht="16.899999999999999" customHeight="1">
      <c r="A11" s="141" t="s">
        <v>5</v>
      </c>
      <c r="C11" s="269" t="s">
        <v>1397</v>
      </c>
      <c r="D11" s="269"/>
      <c r="E11" s="269"/>
      <c r="F11" s="269"/>
    </row>
    <row r="12" spans="1:6" ht="16.899999999999999" customHeight="1">
      <c r="A12" s="12" t="s">
        <v>6</v>
      </c>
      <c r="C12" s="264" t="s">
        <v>1398</v>
      </c>
      <c r="D12" s="264"/>
      <c r="E12" s="264"/>
      <c r="F12" s="264"/>
    </row>
    <row r="13" spans="1:6" ht="16.899999999999999" customHeight="1">
      <c r="A13" s="141" t="s">
        <v>7</v>
      </c>
      <c r="C13" s="269" t="s">
        <v>1420</v>
      </c>
      <c r="D13" s="269"/>
      <c r="E13" s="269"/>
      <c r="F13" s="269"/>
    </row>
    <row r="14" spans="1:6" ht="16.899999999999999" customHeight="1">
      <c r="A14" s="12" t="s">
        <v>8</v>
      </c>
      <c r="C14" s="263" t="s">
        <v>1421</v>
      </c>
      <c r="D14" s="264"/>
      <c r="E14" s="264"/>
      <c r="F14" s="264"/>
    </row>
    <row r="15" spans="1:6" ht="16.899999999999999" customHeight="1"/>
    <row r="16" spans="1:6" ht="16.899999999999999" customHeight="1">
      <c r="A16" s="110" t="s">
        <v>568</v>
      </c>
      <c r="B16" s="111" t="s">
        <v>569</v>
      </c>
    </row>
    <row r="17" spans="1:6" ht="16.899999999999999" customHeight="1">
      <c r="A17" s="17" t="s">
        <v>22</v>
      </c>
      <c r="B17" s="18" t="s">
        <v>27</v>
      </c>
    </row>
    <row r="18" spans="1:6" ht="37.5">
      <c r="A18" s="194" t="s">
        <v>17</v>
      </c>
      <c r="B18" s="194" t="s">
        <v>18</v>
      </c>
      <c r="C18" s="194" t="s">
        <v>19</v>
      </c>
      <c r="D18" s="195" t="s">
        <v>1405</v>
      </c>
      <c r="E18" s="195" t="s">
        <v>1406</v>
      </c>
      <c r="F18" s="195" t="s">
        <v>592</v>
      </c>
    </row>
    <row r="19" spans="1:6" s="21" customFormat="1" ht="25">
      <c r="A19" s="196" t="s">
        <v>16</v>
      </c>
      <c r="B19" s="197" t="s">
        <v>35</v>
      </c>
      <c r="C19" s="198" t="s">
        <v>50</v>
      </c>
      <c r="D19" s="199">
        <v>102479225787</v>
      </c>
      <c r="E19" s="199">
        <v>114906791519</v>
      </c>
      <c r="F19" s="199">
        <v>102479225787</v>
      </c>
    </row>
    <row r="20" spans="1:6" ht="25">
      <c r="A20" s="90">
        <v>1</v>
      </c>
      <c r="B20" s="91" t="s">
        <v>525</v>
      </c>
      <c r="C20" s="92" t="s">
        <v>57</v>
      </c>
      <c r="D20" s="200">
        <v>0</v>
      </c>
      <c r="E20" s="200">
        <v>0</v>
      </c>
      <c r="F20" s="200">
        <v>0</v>
      </c>
    </row>
    <row r="21" spans="1:6">
      <c r="A21" s="114" t="s">
        <v>526</v>
      </c>
      <c r="B21" s="114" t="s">
        <v>526</v>
      </c>
      <c r="C21" s="114" t="s">
        <v>526</v>
      </c>
      <c r="D21" s="201" t="s">
        <v>526</v>
      </c>
      <c r="E21" s="201" t="s">
        <v>527</v>
      </c>
      <c r="F21" s="201" t="s">
        <v>527</v>
      </c>
    </row>
    <row r="22" spans="1:6" ht="25">
      <c r="A22" s="90">
        <v>2</v>
      </c>
      <c r="B22" s="91" t="s">
        <v>292</v>
      </c>
      <c r="C22" s="92" t="s">
        <v>51</v>
      </c>
      <c r="D22" s="200">
        <v>51695021156</v>
      </c>
      <c r="E22" s="200">
        <v>68602597613</v>
      </c>
      <c r="F22" s="200">
        <v>51695021156</v>
      </c>
    </row>
    <row r="23" spans="1:6">
      <c r="A23" s="114" t="s">
        <v>526</v>
      </c>
      <c r="B23" s="114" t="s">
        <v>526</v>
      </c>
      <c r="C23" s="114" t="s">
        <v>526</v>
      </c>
      <c r="D23" s="201" t="s">
        <v>526</v>
      </c>
      <c r="E23" s="201" t="s">
        <v>527</v>
      </c>
      <c r="F23" s="201" t="s">
        <v>527</v>
      </c>
    </row>
    <row r="24" spans="1:6" ht="25">
      <c r="A24" s="93"/>
      <c r="B24" s="94" t="s">
        <v>293</v>
      </c>
      <c r="C24" s="95" t="s">
        <v>52</v>
      </c>
      <c r="D24" s="200">
        <v>0</v>
      </c>
      <c r="E24" s="200">
        <v>0</v>
      </c>
      <c r="F24" s="200">
        <v>0</v>
      </c>
    </row>
    <row r="25" spans="1:6" ht="25">
      <c r="A25" s="93"/>
      <c r="B25" s="94" t="s">
        <v>294</v>
      </c>
      <c r="C25" s="95" t="s">
        <v>53</v>
      </c>
      <c r="D25" s="200">
        <v>51695021156</v>
      </c>
      <c r="E25" s="200">
        <v>68602597613</v>
      </c>
      <c r="F25" s="200">
        <v>51695021156</v>
      </c>
    </row>
    <row r="26" spans="1:6" ht="25">
      <c r="A26" s="90">
        <v>3</v>
      </c>
      <c r="B26" s="91" t="s">
        <v>295</v>
      </c>
      <c r="C26" s="92" t="s">
        <v>54</v>
      </c>
      <c r="D26" s="200">
        <v>50784204631</v>
      </c>
      <c r="E26" s="200">
        <v>46304193906</v>
      </c>
      <c r="F26" s="200">
        <v>50784204631</v>
      </c>
    </row>
    <row r="27" spans="1:6">
      <c r="A27" s="114" t="s">
        <v>526</v>
      </c>
      <c r="B27" s="114" t="s">
        <v>526</v>
      </c>
      <c r="C27" s="114" t="s">
        <v>526</v>
      </c>
      <c r="D27" s="201" t="s">
        <v>526</v>
      </c>
      <c r="E27" s="201" t="s">
        <v>526</v>
      </c>
      <c r="F27" s="201" t="s">
        <v>526</v>
      </c>
    </row>
    <row r="28" spans="1:6" ht="25">
      <c r="A28" s="93"/>
      <c r="B28" s="94" t="s">
        <v>288</v>
      </c>
      <c r="C28" s="95" t="s">
        <v>55</v>
      </c>
      <c r="D28" s="200">
        <v>23028565358</v>
      </c>
      <c r="E28" s="200">
        <v>21920698017</v>
      </c>
      <c r="F28" s="200">
        <v>23028565358</v>
      </c>
    </row>
    <row r="29" spans="1:6" ht="25">
      <c r="A29" s="93"/>
      <c r="B29" s="94" t="s">
        <v>606</v>
      </c>
      <c r="C29" s="95" t="s">
        <v>56</v>
      </c>
      <c r="D29" s="200">
        <v>27755639273</v>
      </c>
      <c r="E29" s="200">
        <v>24383495889</v>
      </c>
      <c r="F29" s="200">
        <v>27755639273</v>
      </c>
    </row>
    <row r="30" spans="1:6" ht="25">
      <c r="A30" s="93"/>
      <c r="B30" s="94" t="s">
        <v>336</v>
      </c>
      <c r="C30" s="95" t="s">
        <v>285</v>
      </c>
      <c r="D30" s="200">
        <v>0</v>
      </c>
      <c r="E30" s="200">
        <v>0</v>
      </c>
      <c r="F30" s="200">
        <v>0</v>
      </c>
    </row>
    <row r="31" spans="1:6" s="21" customFormat="1" ht="25">
      <c r="A31" s="90">
        <v>4</v>
      </c>
      <c r="B31" s="91" t="s">
        <v>296</v>
      </c>
      <c r="C31" s="92" t="s">
        <v>57</v>
      </c>
      <c r="D31" s="200">
        <v>0</v>
      </c>
      <c r="E31" s="200">
        <v>0</v>
      </c>
      <c r="F31" s="200">
        <v>0</v>
      </c>
    </row>
    <row r="32" spans="1:6">
      <c r="A32" s="114" t="s">
        <v>526</v>
      </c>
      <c r="B32" s="114" t="s">
        <v>526</v>
      </c>
      <c r="C32" s="114" t="s">
        <v>526</v>
      </c>
      <c r="D32" s="201" t="s">
        <v>526</v>
      </c>
      <c r="E32" s="201" t="s">
        <v>526</v>
      </c>
      <c r="F32" s="201" t="s">
        <v>526</v>
      </c>
    </row>
    <row r="33" spans="1:6" ht="25">
      <c r="A33" s="96"/>
      <c r="B33" s="97" t="s">
        <v>297</v>
      </c>
      <c r="C33" s="98" t="s">
        <v>58</v>
      </c>
      <c r="D33" s="200">
        <v>0</v>
      </c>
      <c r="E33" s="200">
        <v>0</v>
      </c>
      <c r="F33" s="200">
        <v>0</v>
      </c>
    </row>
    <row r="34" spans="1:6" ht="25">
      <c r="A34" s="96"/>
      <c r="B34" s="97" t="s">
        <v>298</v>
      </c>
      <c r="C34" s="98" t="s">
        <v>59</v>
      </c>
      <c r="D34" s="200">
        <v>0</v>
      </c>
      <c r="E34" s="200">
        <v>0</v>
      </c>
      <c r="F34" s="200">
        <v>0</v>
      </c>
    </row>
    <row r="35" spans="1:6" ht="75">
      <c r="A35" s="96"/>
      <c r="B35" s="97" t="s">
        <v>36</v>
      </c>
      <c r="C35" s="98" t="s">
        <v>60</v>
      </c>
      <c r="D35" s="200">
        <v>0</v>
      </c>
      <c r="E35" s="200">
        <v>0</v>
      </c>
      <c r="F35" s="200">
        <v>0</v>
      </c>
    </row>
    <row r="36" spans="1:6" ht="25">
      <c r="A36" s="196" t="s">
        <v>22</v>
      </c>
      <c r="B36" s="197" t="s">
        <v>299</v>
      </c>
      <c r="C36" s="198" t="s">
        <v>61</v>
      </c>
      <c r="D36" s="203">
        <v>21370565534</v>
      </c>
      <c r="E36" s="203">
        <v>24222822493</v>
      </c>
      <c r="F36" s="203">
        <v>21370565534</v>
      </c>
    </row>
    <row r="37" spans="1:6" ht="25">
      <c r="A37" s="90">
        <v>1</v>
      </c>
      <c r="B37" s="91" t="s">
        <v>528</v>
      </c>
      <c r="C37" s="92" t="s">
        <v>62</v>
      </c>
      <c r="D37" s="200">
        <v>18318396907</v>
      </c>
      <c r="E37" s="200">
        <v>20283808055</v>
      </c>
      <c r="F37" s="200">
        <v>18318396907</v>
      </c>
    </row>
    <row r="38" spans="1:6">
      <c r="A38" s="114" t="s">
        <v>526</v>
      </c>
      <c r="B38" s="114" t="s">
        <v>526</v>
      </c>
      <c r="C38" s="114" t="s">
        <v>526</v>
      </c>
      <c r="D38" s="201" t="s">
        <v>526</v>
      </c>
      <c r="E38" s="201" t="s">
        <v>526</v>
      </c>
      <c r="F38" s="201" t="s">
        <v>526</v>
      </c>
    </row>
    <row r="39" spans="1:6" ht="50">
      <c r="A39" s="90">
        <v>2</v>
      </c>
      <c r="B39" s="91" t="s">
        <v>611</v>
      </c>
      <c r="C39" s="92" t="s">
        <v>63</v>
      </c>
      <c r="D39" s="200">
        <v>1296118318</v>
      </c>
      <c r="E39" s="200">
        <v>1444001087</v>
      </c>
      <c r="F39" s="200">
        <v>1296118318</v>
      </c>
    </row>
    <row r="40" spans="1:6">
      <c r="A40" s="114" t="s">
        <v>526</v>
      </c>
      <c r="B40" s="114" t="s">
        <v>526</v>
      </c>
      <c r="C40" s="114" t="s">
        <v>526</v>
      </c>
      <c r="D40" s="201" t="s">
        <v>526</v>
      </c>
      <c r="E40" s="201" t="s">
        <v>526</v>
      </c>
      <c r="F40" s="201" t="s">
        <v>526</v>
      </c>
    </row>
    <row r="41" spans="1:6" ht="25">
      <c r="A41" s="99"/>
      <c r="B41" s="94" t="s">
        <v>529</v>
      </c>
      <c r="C41" s="95" t="s">
        <v>64</v>
      </c>
      <c r="D41" s="200">
        <v>769428996</v>
      </c>
      <c r="E41" s="200">
        <v>845535193</v>
      </c>
      <c r="F41" s="200">
        <v>769428996</v>
      </c>
    </row>
    <row r="42" spans="1:6" ht="25">
      <c r="A42" s="99"/>
      <c r="B42" s="94" t="s">
        <v>530</v>
      </c>
      <c r="C42" s="95" t="s">
        <v>65</v>
      </c>
      <c r="D42" s="200">
        <v>14425000</v>
      </c>
      <c r="E42" s="200">
        <v>27050000</v>
      </c>
      <c r="F42" s="200">
        <v>14425000</v>
      </c>
    </row>
    <row r="43" spans="1:6" ht="50">
      <c r="A43" s="99"/>
      <c r="B43" s="94" t="s">
        <v>612</v>
      </c>
      <c r="C43" s="95" t="s">
        <v>66</v>
      </c>
      <c r="D43" s="200">
        <v>8508411</v>
      </c>
      <c r="E43" s="200">
        <v>13362675</v>
      </c>
      <c r="F43" s="200">
        <v>8508411</v>
      </c>
    </row>
    <row r="44" spans="1:6" ht="25">
      <c r="A44" s="99"/>
      <c r="B44" s="94" t="s">
        <v>531</v>
      </c>
      <c r="C44" s="95" t="s">
        <v>67</v>
      </c>
      <c r="D44" s="200">
        <v>503755911</v>
      </c>
      <c r="E44" s="200">
        <v>558053219</v>
      </c>
      <c r="F44" s="200">
        <v>503755911</v>
      </c>
    </row>
    <row r="45" spans="1:6" ht="62.5">
      <c r="A45" s="90">
        <v>3</v>
      </c>
      <c r="B45" s="100" t="s">
        <v>532</v>
      </c>
      <c r="C45" s="92" t="s">
        <v>68</v>
      </c>
      <c r="D45" s="200">
        <v>845292695</v>
      </c>
      <c r="E45" s="200">
        <v>980020965</v>
      </c>
      <c r="F45" s="200">
        <v>845292695</v>
      </c>
    </row>
    <row r="46" spans="1:6">
      <c r="A46" s="114" t="s">
        <v>526</v>
      </c>
      <c r="B46" s="114" t="s">
        <v>526</v>
      </c>
      <c r="C46" s="114" t="s">
        <v>526</v>
      </c>
      <c r="D46" s="201" t="s">
        <v>526</v>
      </c>
      <c r="E46" s="201" t="s">
        <v>526</v>
      </c>
      <c r="F46" s="201" t="s">
        <v>526</v>
      </c>
    </row>
    <row r="47" spans="1:6" ht="25">
      <c r="A47" s="99"/>
      <c r="B47" s="101" t="s">
        <v>337</v>
      </c>
      <c r="C47" s="95" t="s">
        <v>69</v>
      </c>
      <c r="D47" s="200">
        <v>686892695</v>
      </c>
      <c r="E47" s="200">
        <v>821620965</v>
      </c>
      <c r="F47" s="200">
        <v>686892695</v>
      </c>
    </row>
    <row r="48" spans="1:6" ht="25">
      <c r="A48" s="99"/>
      <c r="B48" s="101" t="s">
        <v>37</v>
      </c>
      <c r="C48" s="95" t="s">
        <v>70</v>
      </c>
      <c r="D48" s="200">
        <v>158400000</v>
      </c>
      <c r="E48" s="200">
        <v>158400000</v>
      </c>
      <c r="F48" s="200">
        <v>158400000</v>
      </c>
    </row>
    <row r="49" spans="1:6" ht="25">
      <c r="A49" s="99">
        <v>4</v>
      </c>
      <c r="B49" s="101" t="s">
        <v>533</v>
      </c>
      <c r="C49" s="95"/>
      <c r="D49" s="200">
        <v>0</v>
      </c>
      <c r="E49" s="200">
        <v>0</v>
      </c>
      <c r="F49" s="200">
        <v>0</v>
      </c>
    </row>
    <row r="50" spans="1:6">
      <c r="A50" s="114" t="s">
        <v>526</v>
      </c>
      <c r="B50" s="114" t="s">
        <v>526</v>
      </c>
      <c r="C50" s="114" t="s">
        <v>526</v>
      </c>
      <c r="D50" s="201" t="s">
        <v>526</v>
      </c>
      <c r="E50" s="201" t="s">
        <v>526</v>
      </c>
      <c r="F50" s="201" t="s">
        <v>526</v>
      </c>
    </row>
    <row r="51" spans="1:6" ht="25">
      <c r="A51" s="99">
        <v>5</v>
      </c>
      <c r="B51" s="101" t="s">
        <v>534</v>
      </c>
      <c r="C51" s="95"/>
      <c r="D51" s="200">
        <v>0</v>
      </c>
      <c r="E51" s="200">
        <v>0</v>
      </c>
      <c r="F51" s="200">
        <v>0</v>
      </c>
    </row>
    <row r="52" spans="1:6">
      <c r="A52" s="114" t="s">
        <v>526</v>
      </c>
      <c r="B52" s="114" t="s">
        <v>526</v>
      </c>
      <c r="C52" s="114" t="s">
        <v>526</v>
      </c>
      <c r="D52" s="201" t="s">
        <v>526</v>
      </c>
      <c r="E52" s="201" t="s">
        <v>526</v>
      </c>
      <c r="F52" s="201" t="s">
        <v>526</v>
      </c>
    </row>
    <row r="53" spans="1:6" ht="25">
      <c r="A53" s="90">
        <v>6</v>
      </c>
      <c r="B53" s="91" t="s">
        <v>38</v>
      </c>
      <c r="C53" s="92" t="s">
        <v>71</v>
      </c>
      <c r="D53" s="200">
        <v>153993964</v>
      </c>
      <c r="E53" s="200">
        <v>134217528</v>
      </c>
      <c r="F53" s="200">
        <v>153993964</v>
      </c>
    </row>
    <row r="54" spans="1:6">
      <c r="A54" s="114" t="s">
        <v>526</v>
      </c>
      <c r="B54" s="114" t="s">
        <v>526</v>
      </c>
      <c r="C54" s="114" t="s">
        <v>526</v>
      </c>
      <c r="D54" s="201" t="s">
        <v>526</v>
      </c>
      <c r="E54" s="201" t="s">
        <v>526</v>
      </c>
      <c r="F54" s="201" t="s">
        <v>526</v>
      </c>
    </row>
    <row r="55" spans="1:6" ht="62.5">
      <c r="A55" s="90">
        <v>7</v>
      </c>
      <c r="B55" s="91" t="s">
        <v>338</v>
      </c>
      <c r="C55" s="92" t="s">
        <v>72</v>
      </c>
      <c r="D55" s="200">
        <v>268435920</v>
      </c>
      <c r="E55" s="200">
        <v>238700000</v>
      </c>
      <c r="F55" s="200">
        <v>268435920</v>
      </c>
    </row>
    <row r="56" spans="1:6">
      <c r="A56" s="114" t="s">
        <v>526</v>
      </c>
      <c r="B56" s="114" t="s">
        <v>526</v>
      </c>
      <c r="C56" s="114" t="s">
        <v>526</v>
      </c>
      <c r="D56" s="201" t="s">
        <v>526</v>
      </c>
      <c r="E56" s="201" t="s">
        <v>526</v>
      </c>
      <c r="F56" s="201" t="s">
        <v>526</v>
      </c>
    </row>
    <row r="57" spans="1:6" ht="25">
      <c r="A57" s="99"/>
      <c r="B57" s="102" t="s">
        <v>339</v>
      </c>
      <c r="C57" s="95" t="s">
        <v>73</v>
      </c>
      <c r="D57" s="200">
        <v>78000000</v>
      </c>
      <c r="E57" s="200">
        <v>78000000</v>
      </c>
      <c r="F57" s="200">
        <v>78000000</v>
      </c>
    </row>
    <row r="58" spans="1:6" ht="25">
      <c r="A58" s="99"/>
      <c r="B58" s="102" t="s">
        <v>300</v>
      </c>
      <c r="C58" s="95" t="s">
        <v>74</v>
      </c>
      <c r="D58" s="200">
        <v>141000000</v>
      </c>
      <c r="E58" s="200">
        <v>117500000</v>
      </c>
      <c r="F58" s="200">
        <v>141000000</v>
      </c>
    </row>
    <row r="59" spans="1:6" ht="25">
      <c r="A59" s="99"/>
      <c r="B59" s="102" t="s">
        <v>40</v>
      </c>
      <c r="C59" s="95" t="s">
        <v>75</v>
      </c>
      <c r="D59" s="200">
        <v>49435920</v>
      </c>
      <c r="E59" s="200">
        <v>43200000</v>
      </c>
      <c r="F59" s="200">
        <v>49435920</v>
      </c>
    </row>
    <row r="60" spans="1:6" ht="137.5">
      <c r="A60" s="90">
        <v>8</v>
      </c>
      <c r="B60" s="100" t="s">
        <v>340</v>
      </c>
      <c r="C60" s="92" t="s">
        <v>76</v>
      </c>
      <c r="D60" s="200">
        <v>129672759</v>
      </c>
      <c r="E60" s="200">
        <v>145908114</v>
      </c>
      <c r="F60" s="200">
        <v>129672759</v>
      </c>
    </row>
    <row r="61" spans="1:6">
      <c r="A61" s="114" t="s">
        <v>526</v>
      </c>
      <c r="B61" s="114" t="s">
        <v>526</v>
      </c>
      <c r="C61" s="114" t="s">
        <v>526</v>
      </c>
      <c r="D61" s="201" t="s">
        <v>526</v>
      </c>
      <c r="E61" s="201" t="s">
        <v>526</v>
      </c>
      <c r="F61" s="201" t="s">
        <v>526</v>
      </c>
    </row>
    <row r="62" spans="1:6" ht="25">
      <c r="A62" s="99"/>
      <c r="B62" s="101" t="s">
        <v>301</v>
      </c>
      <c r="C62" s="95" t="s">
        <v>77</v>
      </c>
      <c r="D62" s="200">
        <v>129672759</v>
      </c>
      <c r="E62" s="200">
        <v>145908114</v>
      </c>
      <c r="F62" s="200">
        <v>129672759</v>
      </c>
    </row>
    <row r="63" spans="1:6" ht="25">
      <c r="A63" s="99"/>
      <c r="B63" s="101" t="s">
        <v>219</v>
      </c>
      <c r="C63" s="95" t="s">
        <v>78</v>
      </c>
      <c r="D63" s="200">
        <v>0</v>
      </c>
      <c r="E63" s="200">
        <v>0</v>
      </c>
      <c r="F63" s="200">
        <v>0</v>
      </c>
    </row>
    <row r="64" spans="1:6" s="21" customFormat="1" ht="37.5">
      <c r="A64" s="99"/>
      <c r="B64" s="101" t="s">
        <v>341</v>
      </c>
      <c r="C64" s="95" t="s">
        <v>79</v>
      </c>
      <c r="D64" s="200">
        <v>0</v>
      </c>
      <c r="E64" s="200">
        <v>0</v>
      </c>
      <c r="F64" s="200">
        <v>0</v>
      </c>
    </row>
    <row r="65" spans="1:6" s="21" customFormat="1" ht="25">
      <c r="A65" s="99"/>
      <c r="B65" s="102" t="s">
        <v>302</v>
      </c>
      <c r="C65" s="95" t="s">
        <v>80</v>
      </c>
      <c r="D65" s="200">
        <v>0</v>
      </c>
      <c r="E65" s="200">
        <v>0</v>
      </c>
      <c r="F65" s="200">
        <v>0</v>
      </c>
    </row>
    <row r="66" spans="1:6" ht="25">
      <c r="A66" s="99"/>
      <c r="B66" s="102" t="s">
        <v>535</v>
      </c>
      <c r="C66" s="95" t="s">
        <v>81</v>
      </c>
      <c r="D66" s="200">
        <v>0</v>
      </c>
      <c r="E66" s="200">
        <v>0</v>
      </c>
      <c r="F66" s="200">
        <v>0</v>
      </c>
    </row>
    <row r="67" spans="1:6" ht="50">
      <c r="A67" s="90">
        <v>9</v>
      </c>
      <c r="B67" s="91" t="s">
        <v>342</v>
      </c>
      <c r="C67" s="92" t="s">
        <v>82</v>
      </c>
      <c r="D67" s="200">
        <v>276670671</v>
      </c>
      <c r="E67" s="200">
        <v>905846094</v>
      </c>
      <c r="F67" s="200">
        <v>276670671</v>
      </c>
    </row>
    <row r="68" spans="1:6" s="21" customFormat="1">
      <c r="A68" s="114" t="s">
        <v>526</v>
      </c>
      <c r="B68" s="114" t="s">
        <v>526</v>
      </c>
      <c r="C68" s="114" t="s">
        <v>526</v>
      </c>
      <c r="D68" s="201" t="s">
        <v>526</v>
      </c>
      <c r="E68" s="201" t="s">
        <v>526</v>
      </c>
      <c r="F68" s="201" t="s">
        <v>526</v>
      </c>
    </row>
    <row r="69" spans="1:6" s="21" customFormat="1" ht="25">
      <c r="A69" s="99"/>
      <c r="B69" s="94" t="s">
        <v>1407</v>
      </c>
      <c r="C69" s="95" t="s">
        <v>83</v>
      </c>
      <c r="D69" s="200">
        <v>275560845</v>
      </c>
      <c r="E69" s="200">
        <v>892382790</v>
      </c>
      <c r="F69" s="200">
        <v>275560845</v>
      </c>
    </row>
    <row r="70" spans="1:6" s="21" customFormat="1" ht="25">
      <c r="A70" s="99"/>
      <c r="B70" s="94" t="s">
        <v>42</v>
      </c>
      <c r="C70" s="95" t="s">
        <v>84</v>
      </c>
      <c r="D70" s="200">
        <v>1109826</v>
      </c>
      <c r="E70" s="200">
        <v>6863304</v>
      </c>
      <c r="F70" s="200">
        <v>1109826</v>
      </c>
    </row>
    <row r="71" spans="1:6" ht="25">
      <c r="A71" s="99"/>
      <c r="B71" s="94" t="s">
        <v>43</v>
      </c>
      <c r="C71" s="95" t="s">
        <v>85</v>
      </c>
      <c r="D71" s="200">
        <v>0</v>
      </c>
      <c r="E71" s="200">
        <v>6600000</v>
      </c>
      <c r="F71" s="200">
        <v>0</v>
      </c>
    </row>
    <row r="72" spans="1:6" ht="25">
      <c r="A72" s="90">
        <v>10</v>
      </c>
      <c r="B72" s="91" t="s">
        <v>536</v>
      </c>
      <c r="C72" s="92" t="s">
        <v>86</v>
      </c>
      <c r="D72" s="200">
        <v>81984300</v>
      </c>
      <c r="E72" s="200">
        <v>90320650</v>
      </c>
      <c r="F72" s="200">
        <v>81984300</v>
      </c>
    </row>
    <row r="73" spans="1:6">
      <c r="A73" s="114" t="s">
        <v>526</v>
      </c>
      <c r="B73" s="114" t="s">
        <v>526</v>
      </c>
      <c r="C73" s="114" t="s">
        <v>526</v>
      </c>
      <c r="D73" s="201" t="s">
        <v>526</v>
      </c>
      <c r="E73" s="201" t="s">
        <v>526</v>
      </c>
      <c r="F73" s="201" t="s">
        <v>526</v>
      </c>
    </row>
    <row r="74" spans="1:6" ht="25">
      <c r="A74" s="90"/>
      <c r="B74" s="94" t="s">
        <v>44</v>
      </c>
      <c r="C74" s="95" t="s">
        <v>87</v>
      </c>
      <c r="D74" s="200">
        <v>0</v>
      </c>
      <c r="E74" s="200">
        <v>0</v>
      </c>
      <c r="F74" s="200">
        <v>0</v>
      </c>
    </row>
    <row r="75" spans="1:6" ht="25">
      <c r="A75" s="90"/>
      <c r="B75" s="94" t="s">
        <v>343</v>
      </c>
      <c r="C75" s="95" t="s">
        <v>88</v>
      </c>
      <c r="D75" s="200">
        <v>0</v>
      </c>
      <c r="E75" s="200">
        <v>0</v>
      </c>
      <c r="F75" s="200">
        <v>0</v>
      </c>
    </row>
    <row r="76" spans="1:6" ht="25">
      <c r="A76" s="90"/>
      <c r="B76" s="94" t="s">
        <v>45</v>
      </c>
      <c r="C76" s="95" t="s">
        <v>89</v>
      </c>
      <c r="D76" s="200">
        <v>7500000</v>
      </c>
      <c r="E76" s="200">
        <v>7500000</v>
      </c>
      <c r="F76" s="200">
        <v>7500000</v>
      </c>
    </row>
    <row r="77" spans="1:6" ht="25">
      <c r="A77" s="90"/>
      <c r="B77" s="94" t="s">
        <v>46</v>
      </c>
      <c r="C77" s="95" t="s">
        <v>90</v>
      </c>
      <c r="D77" s="200">
        <v>69787300</v>
      </c>
      <c r="E77" s="200">
        <v>80989150</v>
      </c>
      <c r="F77" s="200">
        <v>69787300</v>
      </c>
    </row>
    <row r="78" spans="1:6" ht="25">
      <c r="A78" s="90"/>
      <c r="B78" s="94" t="s">
        <v>344</v>
      </c>
      <c r="C78" s="95" t="s">
        <v>91</v>
      </c>
      <c r="D78" s="200">
        <v>0</v>
      </c>
      <c r="E78" s="200">
        <v>0</v>
      </c>
      <c r="F78" s="200">
        <v>0</v>
      </c>
    </row>
    <row r="79" spans="1:6" ht="25">
      <c r="A79" s="90"/>
      <c r="B79" s="94" t="s">
        <v>43</v>
      </c>
      <c r="C79" s="95" t="s">
        <v>92</v>
      </c>
      <c r="D79" s="200">
        <v>3597000</v>
      </c>
      <c r="E79" s="200">
        <v>731500</v>
      </c>
      <c r="F79" s="200">
        <v>3597000</v>
      </c>
    </row>
    <row r="80" spans="1:6" ht="25">
      <c r="A80" s="90"/>
      <c r="B80" s="94" t="s">
        <v>609</v>
      </c>
      <c r="C80" s="95" t="s">
        <v>93</v>
      </c>
      <c r="D80" s="200">
        <v>1100000</v>
      </c>
      <c r="E80" s="200">
        <v>1100000</v>
      </c>
      <c r="F80" s="200">
        <v>1100000</v>
      </c>
    </row>
    <row r="81" spans="1:6" ht="37.5">
      <c r="A81" s="202" t="s">
        <v>28</v>
      </c>
      <c r="B81" s="197" t="s">
        <v>345</v>
      </c>
      <c r="C81" s="198" t="s">
        <v>94</v>
      </c>
      <c r="D81" s="203">
        <v>81108660253</v>
      </c>
      <c r="E81" s="203">
        <v>90683969026</v>
      </c>
      <c r="F81" s="203">
        <v>81108660253</v>
      </c>
    </row>
    <row r="82" spans="1:6" ht="25">
      <c r="A82" s="202" t="s">
        <v>29</v>
      </c>
      <c r="B82" s="197" t="s">
        <v>304</v>
      </c>
      <c r="C82" s="198" t="s">
        <v>95</v>
      </c>
      <c r="D82" s="203">
        <v>1391450208</v>
      </c>
      <c r="E82" s="203">
        <v>-4133300575</v>
      </c>
      <c r="F82" s="203">
        <v>1391450208</v>
      </c>
    </row>
    <row r="83" spans="1:6" ht="50">
      <c r="A83" s="90">
        <v>1</v>
      </c>
      <c r="B83" s="91" t="s">
        <v>537</v>
      </c>
      <c r="C83" s="92" t="s">
        <v>96</v>
      </c>
      <c r="D83" s="200">
        <v>2351949087</v>
      </c>
      <c r="E83" s="200">
        <v>-2820821003</v>
      </c>
      <c r="F83" s="200">
        <v>2351949087</v>
      </c>
    </row>
    <row r="84" spans="1:6" ht="25">
      <c r="A84" s="90">
        <v>2</v>
      </c>
      <c r="B84" s="91" t="s">
        <v>47</v>
      </c>
      <c r="C84" s="92" t="s">
        <v>97</v>
      </c>
      <c r="D84" s="200">
        <v>-960498879</v>
      </c>
      <c r="E84" s="200">
        <v>-1312479572</v>
      </c>
      <c r="F84" s="200">
        <v>-960498879</v>
      </c>
    </row>
    <row r="85" spans="1:6" ht="62.5">
      <c r="A85" s="202" t="s">
        <v>30</v>
      </c>
      <c r="B85" s="197" t="s">
        <v>346</v>
      </c>
      <c r="C85" s="198" t="s">
        <v>98</v>
      </c>
      <c r="D85" s="203">
        <v>82500110461</v>
      </c>
      <c r="E85" s="203">
        <v>86550668451</v>
      </c>
      <c r="F85" s="203">
        <v>82500110461</v>
      </c>
    </row>
    <row r="86" spans="1:6" ht="25">
      <c r="A86" s="202" t="s">
        <v>31</v>
      </c>
      <c r="B86" s="197" t="s">
        <v>48</v>
      </c>
      <c r="C86" s="198" t="s">
        <v>99</v>
      </c>
      <c r="D86" s="203">
        <v>1179091760772</v>
      </c>
      <c r="E86" s="203">
        <v>1579769018172</v>
      </c>
      <c r="F86" s="203">
        <v>1179091760772</v>
      </c>
    </row>
    <row r="87" spans="1:6" ht="62.25" customHeight="1">
      <c r="A87" s="202" t="s">
        <v>32</v>
      </c>
      <c r="B87" s="197" t="s">
        <v>593</v>
      </c>
      <c r="C87" s="198" t="s">
        <v>100</v>
      </c>
      <c r="D87" s="203">
        <v>163250589080</v>
      </c>
      <c r="E87" s="203">
        <v>-400677257400</v>
      </c>
      <c r="F87" s="203">
        <v>163250589080</v>
      </c>
    </row>
    <row r="88" spans="1:6" s="21" customFormat="1" ht="50">
      <c r="A88" s="90">
        <v>1</v>
      </c>
      <c r="B88" s="91" t="s">
        <v>538</v>
      </c>
      <c r="C88" s="92" t="s">
        <v>101</v>
      </c>
      <c r="D88" s="200">
        <v>82500110461</v>
      </c>
      <c r="E88" s="200">
        <v>86550668451</v>
      </c>
      <c r="F88" s="200">
        <v>82500110461</v>
      </c>
    </row>
    <row r="89" spans="1:6" ht="50">
      <c r="A89" s="90">
        <v>2</v>
      </c>
      <c r="B89" s="91" t="s">
        <v>539</v>
      </c>
      <c r="C89" s="92" t="s">
        <v>102</v>
      </c>
      <c r="D89" s="200">
        <v>0</v>
      </c>
      <c r="E89" s="200">
        <v>0</v>
      </c>
      <c r="F89" s="200">
        <v>0</v>
      </c>
    </row>
    <row r="90" spans="1:6" ht="50">
      <c r="A90" s="90">
        <v>3</v>
      </c>
      <c r="B90" s="91" t="s">
        <v>540</v>
      </c>
      <c r="C90" s="92" t="s">
        <v>103</v>
      </c>
      <c r="D90" s="200">
        <v>80750478619</v>
      </c>
      <c r="E90" s="200">
        <v>-487227925851</v>
      </c>
      <c r="F90" s="200">
        <v>80750478619</v>
      </c>
    </row>
    <row r="91" spans="1:6" ht="50">
      <c r="A91" s="90"/>
      <c r="B91" s="91" t="s">
        <v>347</v>
      </c>
      <c r="C91" s="92" t="s">
        <v>541</v>
      </c>
      <c r="D91" s="200">
        <v>8647931461940</v>
      </c>
      <c r="E91" s="200">
        <v>7836835428322</v>
      </c>
      <c r="F91" s="200">
        <v>8647931461940</v>
      </c>
    </row>
    <row r="92" spans="1:6" ht="37.5">
      <c r="A92" s="90"/>
      <c r="B92" s="91" t="s">
        <v>348</v>
      </c>
      <c r="C92" s="92" t="s">
        <v>542</v>
      </c>
      <c r="D92" s="200">
        <v>-8567180983321</v>
      </c>
      <c r="E92" s="200">
        <v>-8324063354173</v>
      </c>
      <c r="F92" s="200">
        <v>-8567180983321</v>
      </c>
    </row>
    <row r="93" spans="1:6" s="24" customFormat="1" ht="25">
      <c r="A93" s="196" t="s">
        <v>33</v>
      </c>
      <c r="B93" s="197" t="s">
        <v>49</v>
      </c>
      <c r="C93" s="198" t="s">
        <v>104</v>
      </c>
      <c r="D93" s="203">
        <v>1342342349852</v>
      </c>
      <c r="E93" s="203">
        <v>1179091760772</v>
      </c>
      <c r="F93" s="203">
        <v>1342342349852</v>
      </c>
    </row>
    <row r="94" spans="1:6" ht="50">
      <c r="A94" s="196" t="s">
        <v>34</v>
      </c>
      <c r="B94" s="197" t="s">
        <v>305</v>
      </c>
      <c r="C94" s="198" t="s">
        <v>105</v>
      </c>
      <c r="D94" s="203">
        <v>82500110461</v>
      </c>
      <c r="E94" s="203">
        <v>86550668451</v>
      </c>
      <c r="F94" s="203">
        <v>82500110461</v>
      </c>
    </row>
    <row r="95" spans="1:6" ht="50">
      <c r="A95" s="103"/>
      <c r="B95" s="91" t="s">
        <v>306</v>
      </c>
      <c r="C95" s="92" t="s">
        <v>106</v>
      </c>
      <c r="D95" s="223">
        <v>5.4047942805285298E-2</v>
      </c>
      <c r="E95" s="223">
        <v>5.1184829130442699E-2</v>
      </c>
      <c r="F95" s="223">
        <v>5.4047942805285298E-2</v>
      </c>
    </row>
    <row r="96" spans="1:6" ht="16.899999999999999" customHeight="1"/>
    <row r="97" spans="1:6" ht="16.899999999999999" customHeight="1">
      <c r="A97" s="15" t="s">
        <v>10</v>
      </c>
      <c r="D97" s="15" t="s">
        <v>11</v>
      </c>
    </row>
    <row r="98" spans="1:6" ht="16.899999999999999" customHeight="1">
      <c r="A98" s="16" t="s">
        <v>12</v>
      </c>
      <c r="D98" s="16" t="s">
        <v>13</v>
      </c>
    </row>
    <row r="99" spans="1:6" ht="16.899999999999999" customHeight="1">
      <c r="A99" s="16"/>
      <c r="D99" s="16"/>
    </row>
    <row r="100" spans="1:6" ht="16.899999999999999" customHeight="1">
      <c r="A100" s="16"/>
      <c r="D100" s="16"/>
    </row>
    <row r="101" spans="1:6" ht="16.899999999999999" customHeight="1">
      <c r="A101" s="16"/>
      <c r="D101" s="16"/>
    </row>
    <row r="102" spans="1:6" ht="16.899999999999999" customHeight="1">
      <c r="A102" s="16"/>
      <c r="D102" s="16"/>
    </row>
    <row r="103" spans="1:6" ht="16.899999999999999" customHeight="1"/>
    <row r="104" spans="1:6" ht="16.899999999999999" customHeight="1"/>
    <row r="105" spans="1:6" ht="16.899999999999999" customHeight="1">
      <c r="A105" s="25" t="s">
        <v>14</v>
      </c>
      <c r="B105" s="26"/>
      <c r="D105" s="25" t="s">
        <v>1393</v>
      </c>
      <c r="E105" s="26"/>
      <c r="F105" s="26"/>
    </row>
    <row r="106" spans="1:6" ht="16.899999999999999" customHeight="1">
      <c r="A106" s="22" t="s">
        <v>1399</v>
      </c>
      <c r="D106" s="22" t="s">
        <v>1400</v>
      </c>
    </row>
    <row r="107" spans="1:6" ht="16.899999999999999" customHeight="1">
      <c r="A107" s="12" t="s">
        <v>1401</v>
      </c>
      <c r="D107" s="12" t="s">
        <v>1402</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55" fitToHeight="0" orientation="portrait" r:id="rId1"/>
  <headerFooter>
    <oddHeader>&amp;L&amp;"Arial"&amp;9&amp;KA80000CONFIDENTIAL&amp;1#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83"/>
  <sheetViews>
    <sheetView view="pageBreakPreview" zoomScale="95" zoomScaleNormal="100" zoomScaleSheetLayoutView="95" workbookViewId="0">
      <selection sqref="A1:G1"/>
    </sheetView>
  </sheetViews>
  <sheetFormatPr defaultColWidth="8.7265625" defaultRowHeight="12.5"/>
  <cols>
    <col min="1" max="1" width="9" style="12" customWidth="1"/>
    <col min="2" max="2" width="39.81640625" style="12" customWidth="1"/>
    <col min="3" max="3" width="9.26953125" style="12" customWidth="1"/>
    <col min="4" max="4" width="28" style="12" customWidth="1"/>
    <col min="5" max="5" width="33.81640625" style="12" customWidth="1"/>
    <col min="6" max="6" width="32.1796875" style="12" customWidth="1"/>
    <col min="7" max="7" width="28.54296875" style="12" customWidth="1"/>
    <col min="8" max="16384" width="8.7265625" style="166"/>
  </cols>
  <sheetData>
    <row r="1" spans="1:7" ht="44.25" customHeight="1">
      <c r="A1" s="265" t="s">
        <v>570</v>
      </c>
      <c r="B1" s="265"/>
      <c r="C1" s="265"/>
      <c r="D1" s="265"/>
      <c r="E1" s="265"/>
      <c r="F1" s="265"/>
      <c r="G1" s="265"/>
    </row>
    <row r="2" spans="1:7" ht="59.25" customHeight="1">
      <c r="A2" s="266" t="s">
        <v>571</v>
      </c>
      <c r="B2" s="266"/>
      <c r="C2" s="266"/>
      <c r="D2" s="266"/>
      <c r="E2" s="266"/>
      <c r="F2" s="266"/>
      <c r="G2" s="266"/>
    </row>
    <row r="3" spans="1:7" ht="15" customHeight="1">
      <c r="A3" s="267" t="s">
        <v>521</v>
      </c>
      <c r="B3" s="267"/>
      <c r="C3" s="267"/>
      <c r="D3" s="267"/>
      <c r="E3" s="267"/>
      <c r="F3" s="267"/>
      <c r="G3" s="267"/>
    </row>
    <row r="4" spans="1:7" ht="27.4" customHeight="1">
      <c r="A4" s="267"/>
      <c r="B4" s="267"/>
      <c r="C4" s="267"/>
      <c r="D4" s="267"/>
      <c r="E4" s="267"/>
      <c r="F4" s="267"/>
      <c r="G4" s="267"/>
    </row>
    <row r="5" spans="1:7" ht="16.899999999999999" customHeight="1">
      <c r="A5" s="268" t="s">
        <v>1391</v>
      </c>
      <c r="B5" s="268"/>
      <c r="C5" s="268"/>
      <c r="D5" s="268"/>
      <c r="E5" s="268"/>
      <c r="F5" s="268"/>
      <c r="G5" s="268"/>
    </row>
    <row r="6" spans="1:7" ht="16.899999999999999" customHeight="1"/>
    <row r="7" spans="1:7" ht="16.899999999999999" customHeight="1">
      <c r="A7" s="141" t="s">
        <v>2</v>
      </c>
      <c r="C7" s="269" t="s">
        <v>1393</v>
      </c>
      <c r="D7" s="269"/>
      <c r="E7" s="269"/>
      <c r="F7" s="269"/>
      <c r="G7" s="269"/>
    </row>
    <row r="8" spans="1:7" ht="16.899999999999999" customHeight="1">
      <c r="A8" s="12" t="s">
        <v>15</v>
      </c>
      <c r="C8" s="264" t="s">
        <v>1394</v>
      </c>
      <c r="D8" s="264"/>
      <c r="E8" s="264"/>
      <c r="F8" s="264"/>
      <c r="G8" s="264"/>
    </row>
    <row r="9" spans="1:7" ht="16.899999999999999" customHeight="1">
      <c r="A9" s="141" t="s">
        <v>3</v>
      </c>
      <c r="C9" s="269" t="s">
        <v>1395</v>
      </c>
      <c r="D9" s="269"/>
      <c r="E9" s="269"/>
      <c r="F9" s="269"/>
      <c r="G9" s="269"/>
    </row>
    <row r="10" spans="1:7" ht="16.899999999999999" customHeight="1">
      <c r="A10" s="12" t="s">
        <v>4</v>
      </c>
      <c r="C10" s="264" t="s">
        <v>1396</v>
      </c>
      <c r="D10" s="264"/>
      <c r="E10" s="264"/>
      <c r="F10" s="264"/>
      <c r="G10" s="264"/>
    </row>
    <row r="11" spans="1:7" ht="16.899999999999999" customHeight="1">
      <c r="A11" s="141" t="s">
        <v>5</v>
      </c>
      <c r="C11" s="269" t="s">
        <v>1397</v>
      </c>
      <c r="D11" s="269"/>
      <c r="E11" s="269"/>
      <c r="F11" s="269"/>
      <c r="G11" s="269"/>
    </row>
    <row r="12" spans="1:7" ht="16.899999999999999" customHeight="1">
      <c r="A12" s="12" t="s">
        <v>6</v>
      </c>
      <c r="C12" s="264" t="s">
        <v>1398</v>
      </c>
      <c r="D12" s="264"/>
      <c r="E12" s="264"/>
      <c r="F12" s="264"/>
      <c r="G12" s="264"/>
    </row>
    <row r="13" spans="1:7" ht="16.899999999999999" customHeight="1">
      <c r="A13" s="141" t="s">
        <v>7</v>
      </c>
      <c r="C13" s="269" t="s">
        <v>1420</v>
      </c>
      <c r="D13" s="269"/>
      <c r="E13" s="269"/>
      <c r="F13" s="269"/>
      <c r="G13" s="269"/>
    </row>
    <row r="14" spans="1:7" ht="16.899999999999999" customHeight="1">
      <c r="A14" s="12" t="s">
        <v>8</v>
      </c>
      <c r="C14" s="263" t="s">
        <v>1421</v>
      </c>
      <c r="D14" s="264"/>
      <c r="E14" s="264"/>
      <c r="F14" s="264"/>
      <c r="G14" s="264"/>
    </row>
    <row r="15" spans="1:7" ht="18" hidden="1" customHeight="1"/>
    <row r="16" spans="1:7" ht="16.899999999999999" customHeight="1">
      <c r="A16" s="110" t="s">
        <v>568</v>
      </c>
      <c r="B16" s="111" t="s">
        <v>569</v>
      </c>
    </row>
    <row r="17" spans="1:7" ht="16.899999999999999" customHeight="1">
      <c r="A17" s="17" t="s">
        <v>28</v>
      </c>
      <c r="B17" s="18" t="s">
        <v>523</v>
      </c>
    </row>
    <row r="18" spans="1:7" ht="75.400000000000006" customHeight="1">
      <c r="A18" s="28" t="s">
        <v>250</v>
      </c>
      <c r="B18" s="28" t="s">
        <v>108</v>
      </c>
      <c r="C18" s="28" t="s">
        <v>19</v>
      </c>
      <c r="D18" s="28" t="s">
        <v>109</v>
      </c>
      <c r="E18" s="28" t="s">
        <v>110</v>
      </c>
      <c r="F18" s="28" t="s">
        <v>111</v>
      </c>
      <c r="G18" s="28" t="s">
        <v>112</v>
      </c>
    </row>
    <row r="19" spans="1:7" ht="39" customHeight="1">
      <c r="A19" s="226" t="s">
        <v>617</v>
      </c>
      <c r="B19" s="225" t="s">
        <v>618</v>
      </c>
      <c r="C19" s="226"/>
      <c r="D19" s="228"/>
      <c r="E19" s="228"/>
      <c r="F19" s="228"/>
      <c r="G19" s="227"/>
    </row>
    <row r="20" spans="1:7" ht="39" customHeight="1">
      <c r="A20" s="221"/>
      <c r="B20" s="220"/>
      <c r="C20" s="222"/>
      <c r="D20" s="224"/>
      <c r="E20" s="230"/>
      <c r="F20" s="224"/>
      <c r="G20" s="223"/>
    </row>
    <row r="21" spans="1:7" ht="39" customHeight="1">
      <c r="A21" s="226"/>
      <c r="B21" s="225" t="s">
        <v>619</v>
      </c>
      <c r="C21" s="226" t="s">
        <v>620</v>
      </c>
      <c r="D21" s="228"/>
      <c r="E21" s="228"/>
      <c r="F21" s="228"/>
      <c r="G21" s="227"/>
    </row>
    <row r="22" spans="1:7" ht="39" customHeight="1">
      <c r="A22" s="226" t="s">
        <v>621</v>
      </c>
      <c r="B22" s="225" t="s">
        <v>622</v>
      </c>
      <c r="C22" s="226" t="s">
        <v>623</v>
      </c>
      <c r="D22" s="228"/>
      <c r="E22" s="228"/>
      <c r="F22" s="228"/>
      <c r="G22" s="227"/>
    </row>
    <row r="23" spans="1:7" ht="39" customHeight="1">
      <c r="A23" s="221"/>
      <c r="B23" s="220"/>
      <c r="C23" s="222"/>
      <c r="D23" s="224"/>
      <c r="E23" s="230"/>
      <c r="F23" s="224"/>
      <c r="G23" s="223"/>
    </row>
    <row r="24" spans="1:7" ht="39" customHeight="1">
      <c r="A24" s="226"/>
      <c r="B24" s="225" t="s">
        <v>624</v>
      </c>
      <c r="C24" s="226" t="s">
        <v>625</v>
      </c>
      <c r="D24" s="228"/>
      <c r="E24" s="228"/>
      <c r="F24" s="228"/>
      <c r="G24" s="227"/>
    </row>
    <row r="25" spans="1:7" ht="39" customHeight="1">
      <c r="A25" s="226" t="s">
        <v>626</v>
      </c>
      <c r="B25" s="225" t="s">
        <v>627</v>
      </c>
      <c r="C25" s="226" t="s">
        <v>628</v>
      </c>
      <c r="D25" s="228"/>
      <c r="E25" s="228"/>
      <c r="F25" s="228"/>
      <c r="G25" s="227"/>
    </row>
    <row r="26" spans="1:7" ht="39" customHeight="1">
      <c r="A26" s="221"/>
      <c r="B26" s="220"/>
      <c r="C26" s="222"/>
      <c r="D26" s="224"/>
      <c r="E26" s="230"/>
      <c r="F26" s="224"/>
      <c r="G26" s="223"/>
    </row>
    <row r="27" spans="1:7" ht="39" customHeight="1">
      <c r="A27" s="226"/>
      <c r="B27" s="225" t="s">
        <v>629</v>
      </c>
      <c r="C27" s="226" t="s">
        <v>630</v>
      </c>
      <c r="D27" s="228"/>
      <c r="E27" s="228"/>
      <c r="F27" s="228">
        <v>0</v>
      </c>
      <c r="G27" s="227">
        <v>0</v>
      </c>
    </row>
    <row r="28" spans="1:7" ht="39" customHeight="1">
      <c r="A28" s="226" t="s">
        <v>631</v>
      </c>
      <c r="B28" s="225" t="s">
        <v>632</v>
      </c>
      <c r="C28" s="226" t="s">
        <v>633</v>
      </c>
      <c r="D28" s="228"/>
      <c r="E28" s="228"/>
      <c r="F28" s="228"/>
      <c r="G28" s="227"/>
    </row>
    <row r="29" spans="1:7" ht="39" customHeight="1">
      <c r="A29" s="221"/>
      <c r="B29" s="220"/>
      <c r="C29" s="222"/>
      <c r="D29" s="224"/>
      <c r="E29" s="230"/>
      <c r="F29" s="224"/>
      <c r="G29" s="223"/>
    </row>
    <row r="30" spans="1:7" ht="39" customHeight="1">
      <c r="A30" s="221" t="s">
        <v>634</v>
      </c>
      <c r="B30" s="220" t="s">
        <v>635</v>
      </c>
      <c r="C30" s="222" t="s">
        <v>636</v>
      </c>
      <c r="D30" s="224"/>
      <c r="E30" s="230"/>
      <c r="F30" s="224">
        <v>696755208775</v>
      </c>
      <c r="G30" s="223">
        <v>0.50932292699741899</v>
      </c>
    </row>
    <row r="31" spans="1:7" ht="34" customHeight="1">
      <c r="A31" s="221" t="s">
        <v>637</v>
      </c>
      <c r="B31" s="220" t="s">
        <v>638</v>
      </c>
      <c r="C31" s="222" t="s">
        <v>639</v>
      </c>
      <c r="D31" s="224">
        <v>418000</v>
      </c>
      <c r="E31" s="230">
        <v>101395.23299999999</v>
      </c>
      <c r="F31" s="224">
        <v>42383207394</v>
      </c>
      <c r="G31" s="223">
        <v>3.0981812512608901E-2</v>
      </c>
    </row>
    <row r="32" spans="1:7" ht="34" customHeight="1">
      <c r="A32" s="221" t="s">
        <v>640</v>
      </c>
      <c r="B32" s="220" t="s">
        <v>641</v>
      </c>
      <c r="C32" s="222" t="s">
        <v>642</v>
      </c>
      <c r="D32" s="224">
        <v>250</v>
      </c>
      <c r="E32" s="230">
        <v>100408485</v>
      </c>
      <c r="F32" s="224">
        <v>25102121250</v>
      </c>
      <c r="G32" s="223">
        <v>1.8349465792114002E-2</v>
      </c>
    </row>
    <row r="33" spans="1:7" ht="34" customHeight="1">
      <c r="A33" s="221" t="s">
        <v>643</v>
      </c>
      <c r="B33" s="220" t="s">
        <v>644</v>
      </c>
      <c r="C33" s="222" t="s">
        <v>645</v>
      </c>
      <c r="D33" s="224">
        <v>550000</v>
      </c>
      <c r="E33" s="230">
        <v>100482.523</v>
      </c>
      <c r="F33" s="224">
        <v>55265387650</v>
      </c>
      <c r="G33" s="223">
        <v>4.0398591420698897E-2</v>
      </c>
    </row>
    <row r="34" spans="1:7" ht="34" customHeight="1">
      <c r="A34" s="221" t="s">
        <v>646</v>
      </c>
      <c r="B34" s="220" t="s">
        <v>647</v>
      </c>
      <c r="C34" s="222" t="s">
        <v>648</v>
      </c>
      <c r="D34" s="224">
        <v>600000</v>
      </c>
      <c r="E34" s="230">
        <v>100036.95</v>
      </c>
      <c r="F34" s="224">
        <v>60022170000</v>
      </c>
      <c r="G34" s="223">
        <v>4.3875764291571598E-2</v>
      </c>
    </row>
    <row r="35" spans="1:7" ht="34" customHeight="1">
      <c r="A35" s="221" t="s">
        <v>649</v>
      </c>
      <c r="B35" s="220" t="s">
        <v>650</v>
      </c>
      <c r="C35" s="222" t="s">
        <v>651</v>
      </c>
      <c r="D35" s="224">
        <v>1200000</v>
      </c>
      <c r="E35" s="230">
        <v>100046.875</v>
      </c>
      <c r="F35" s="224">
        <v>120056250000</v>
      </c>
      <c r="G35" s="223">
        <v>8.7760234705442794E-2</v>
      </c>
    </row>
    <row r="36" spans="1:7" ht="34" customHeight="1">
      <c r="A36" s="221" t="s">
        <v>652</v>
      </c>
      <c r="B36" s="220" t="s">
        <v>653</v>
      </c>
      <c r="C36" s="222" t="s">
        <v>654</v>
      </c>
      <c r="D36" s="224">
        <v>800000</v>
      </c>
      <c r="E36" s="230">
        <v>99981.842999999993</v>
      </c>
      <c r="F36" s="224">
        <v>79985474400</v>
      </c>
      <c r="G36" s="223">
        <v>5.84687928064569E-2</v>
      </c>
    </row>
    <row r="37" spans="1:7" ht="34" customHeight="1">
      <c r="A37" s="221" t="s">
        <v>655</v>
      </c>
      <c r="B37" s="220" t="s">
        <v>656</v>
      </c>
      <c r="C37" s="222" t="s">
        <v>657</v>
      </c>
      <c r="D37" s="224">
        <v>250000</v>
      </c>
      <c r="E37" s="230">
        <v>99457.986000000004</v>
      </c>
      <c r="F37" s="224">
        <v>24864496500</v>
      </c>
      <c r="G37" s="223">
        <v>1.8175763849634301E-2</v>
      </c>
    </row>
    <row r="38" spans="1:7" ht="34" customHeight="1">
      <c r="A38" s="221" t="s">
        <v>658</v>
      </c>
      <c r="B38" s="220" t="s">
        <v>659</v>
      </c>
      <c r="C38" s="222" t="s">
        <v>660</v>
      </c>
      <c r="D38" s="224">
        <v>200000</v>
      </c>
      <c r="E38" s="230">
        <v>99984.372000000003</v>
      </c>
      <c r="F38" s="224">
        <v>19996874400</v>
      </c>
      <c r="G38" s="223">
        <v>1.46175679376897E-2</v>
      </c>
    </row>
    <row r="39" spans="1:7" ht="34" customHeight="1">
      <c r="A39" s="221" t="s">
        <v>661</v>
      </c>
      <c r="B39" s="220" t="s">
        <v>662</v>
      </c>
      <c r="C39" s="222" t="s">
        <v>663</v>
      </c>
      <c r="D39" s="224">
        <v>1160626</v>
      </c>
      <c r="E39" s="230">
        <v>99957.357999</v>
      </c>
      <c r="F39" s="224">
        <v>116013108586</v>
      </c>
      <c r="G39" s="223">
        <v>8.4804728103829496E-2</v>
      </c>
    </row>
    <row r="40" spans="1:7" ht="34" customHeight="1">
      <c r="A40" s="221" t="s">
        <v>664</v>
      </c>
      <c r="B40" s="220" t="s">
        <v>665</v>
      </c>
      <c r="C40" s="222" t="s">
        <v>666</v>
      </c>
      <c r="D40" s="224">
        <v>1526847</v>
      </c>
      <c r="E40" s="230">
        <v>100249.807999</v>
      </c>
      <c r="F40" s="224">
        <v>153066118595</v>
      </c>
      <c r="G40" s="223">
        <v>0.111890205577372</v>
      </c>
    </row>
    <row r="41" spans="1:7" ht="39" customHeight="1">
      <c r="A41" s="221" t="s">
        <v>667</v>
      </c>
      <c r="B41" s="220" t="s">
        <v>668</v>
      </c>
      <c r="C41" s="222" t="s">
        <v>669</v>
      </c>
      <c r="D41" s="224"/>
      <c r="E41" s="230"/>
      <c r="F41" s="224">
        <v>18058590000</v>
      </c>
      <c r="G41" s="223">
        <v>1.32006963140142E-2</v>
      </c>
    </row>
    <row r="42" spans="1:7" ht="34" customHeight="1">
      <c r="A42" s="221" t="s">
        <v>670</v>
      </c>
      <c r="B42" s="220" t="s">
        <v>671</v>
      </c>
      <c r="C42" s="222" t="s">
        <v>672</v>
      </c>
      <c r="D42" s="224">
        <v>18</v>
      </c>
      <c r="E42" s="230">
        <v>1003255000</v>
      </c>
      <c r="F42" s="224">
        <v>18058590000</v>
      </c>
      <c r="G42" s="223">
        <v>1.32006963140142E-2</v>
      </c>
    </row>
    <row r="43" spans="1:7" ht="39" customHeight="1">
      <c r="A43" s="226"/>
      <c r="B43" s="225" t="s">
        <v>673</v>
      </c>
      <c r="C43" s="226" t="s">
        <v>674</v>
      </c>
      <c r="D43" s="228"/>
      <c r="E43" s="228"/>
      <c r="F43" s="228">
        <v>714813798775</v>
      </c>
      <c r="G43" s="227">
        <v>0.52252362331143298</v>
      </c>
    </row>
    <row r="44" spans="1:7" ht="39" customHeight="1">
      <c r="A44" s="226" t="s">
        <v>675</v>
      </c>
      <c r="B44" s="225" t="s">
        <v>676</v>
      </c>
      <c r="C44" s="226" t="s">
        <v>677</v>
      </c>
      <c r="D44" s="228"/>
      <c r="E44" s="228"/>
      <c r="F44" s="228"/>
      <c r="G44" s="227"/>
    </row>
    <row r="45" spans="1:7" ht="39" customHeight="1">
      <c r="A45" s="221"/>
      <c r="B45" s="220"/>
      <c r="C45" s="222"/>
      <c r="D45" s="224"/>
      <c r="E45" s="230"/>
      <c r="F45" s="224"/>
      <c r="G45" s="223"/>
    </row>
    <row r="46" spans="1:7" ht="39" customHeight="1">
      <c r="A46" s="221" t="s">
        <v>678</v>
      </c>
      <c r="B46" s="220" t="s">
        <v>679</v>
      </c>
      <c r="C46" s="222" t="s">
        <v>680</v>
      </c>
      <c r="D46" s="224"/>
      <c r="E46" s="230"/>
      <c r="F46" s="224">
        <v>0</v>
      </c>
      <c r="G46" s="223">
        <v>0</v>
      </c>
    </row>
    <row r="47" spans="1:7" ht="39" customHeight="1">
      <c r="A47" s="221" t="s">
        <v>681</v>
      </c>
      <c r="B47" s="220" t="s">
        <v>682</v>
      </c>
      <c r="C47" s="222" t="s">
        <v>683</v>
      </c>
      <c r="D47" s="224"/>
      <c r="E47" s="230"/>
      <c r="F47" s="224">
        <v>0</v>
      </c>
      <c r="G47" s="223">
        <v>0</v>
      </c>
    </row>
    <row r="48" spans="1:7" ht="34" customHeight="1">
      <c r="A48" s="226"/>
      <c r="B48" s="225" t="s">
        <v>684</v>
      </c>
      <c r="C48" s="226" t="s">
        <v>685</v>
      </c>
      <c r="D48" s="228"/>
      <c r="E48" s="228"/>
      <c r="F48" s="228">
        <v>0</v>
      </c>
      <c r="G48" s="227">
        <v>0</v>
      </c>
    </row>
    <row r="49" spans="1:7" ht="39" customHeight="1">
      <c r="A49" s="226"/>
      <c r="B49" s="225" t="s">
        <v>686</v>
      </c>
      <c r="C49" s="226" t="s">
        <v>687</v>
      </c>
      <c r="D49" s="228"/>
      <c r="E49" s="228"/>
      <c r="F49" s="228">
        <v>714813798775</v>
      </c>
      <c r="G49" s="227">
        <v>0.52252362331143298</v>
      </c>
    </row>
    <row r="50" spans="1:7" ht="39" customHeight="1">
      <c r="A50" s="226" t="s">
        <v>688</v>
      </c>
      <c r="B50" s="225" t="s">
        <v>689</v>
      </c>
      <c r="C50" s="226" t="s">
        <v>690</v>
      </c>
      <c r="D50" s="228"/>
      <c r="E50" s="228"/>
      <c r="F50" s="228"/>
      <c r="G50" s="227"/>
    </row>
    <row r="51" spans="1:7" ht="39" customHeight="1">
      <c r="A51" s="221"/>
      <c r="B51" s="220"/>
      <c r="C51" s="222"/>
      <c r="D51" s="224"/>
      <c r="E51" s="230"/>
      <c r="F51" s="224"/>
      <c r="G51" s="223"/>
    </row>
    <row r="52" spans="1:7" ht="39" customHeight="1">
      <c r="A52" s="221" t="s">
        <v>691</v>
      </c>
      <c r="B52" s="220" t="s">
        <v>692</v>
      </c>
      <c r="C52" s="222" t="s">
        <v>693</v>
      </c>
      <c r="D52" s="224"/>
      <c r="E52" s="230"/>
      <c r="F52" s="224">
        <v>0</v>
      </c>
      <c r="G52" s="223">
        <v>0</v>
      </c>
    </row>
    <row r="53" spans="1:7" ht="39" customHeight="1">
      <c r="A53" s="221" t="s">
        <v>694</v>
      </c>
      <c r="B53" s="220" t="s">
        <v>695</v>
      </c>
      <c r="C53" s="222" t="s">
        <v>696</v>
      </c>
      <c r="D53" s="224"/>
      <c r="E53" s="230"/>
      <c r="F53" s="224">
        <v>23864415000</v>
      </c>
      <c r="G53" s="223">
        <v>1.7444711637320798E-2</v>
      </c>
    </row>
    <row r="54" spans="1:7" ht="47.15" customHeight="1">
      <c r="A54" s="221" t="s">
        <v>697</v>
      </c>
      <c r="B54" s="220" t="s">
        <v>698</v>
      </c>
      <c r="C54" s="222" t="s">
        <v>699</v>
      </c>
      <c r="D54" s="224"/>
      <c r="E54" s="230"/>
      <c r="F54" s="224">
        <v>10937472606</v>
      </c>
      <c r="G54" s="223">
        <v>7.9952119359626098E-3</v>
      </c>
    </row>
    <row r="55" spans="1:7" ht="45" customHeight="1">
      <c r="A55" s="221" t="s">
        <v>700</v>
      </c>
      <c r="B55" s="220" t="s">
        <v>701</v>
      </c>
      <c r="C55" s="222" t="s">
        <v>702</v>
      </c>
      <c r="D55" s="224"/>
      <c r="E55" s="230"/>
      <c r="F55" s="224">
        <v>0</v>
      </c>
      <c r="G55" s="223">
        <v>0</v>
      </c>
    </row>
    <row r="56" spans="1:7" ht="57" customHeight="1">
      <c r="A56" s="221" t="s">
        <v>703</v>
      </c>
      <c r="B56" s="220" t="s">
        <v>704</v>
      </c>
      <c r="C56" s="222" t="s">
        <v>705</v>
      </c>
      <c r="D56" s="224"/>
      <c r="E56" s="230"/>
      <c r="F56" s="224">
        <v>0</v>
      </c>
      <c r="G56" s="223">
        <v>0</v>
      </c>
    </row>
    <row r="57" spans="1:7" ht="39" customHeight="1">
      <c r="A57" s="221" t="s">
        <v>706</v>
      </c>
      <c r="B57" s="220" t="s">
        <v>707</v>
      </c>
      <c r="C57" s="222" t="s">
        <v>708</v>
      </c>
      <c r="D57" s="224"/>
      <c r="E57" s="230"/>
      <c r="F57" s="224">
        <v>0</v>
      </c>
      <c r="G57" s="223">
        <v>0</v>
      </c>
    </row>
    <row r="58" spans="1:7" ht="39" customHeight="1">
      <c r="A58" s="221" t="s">
        <v>709</v>
      </c>
      <c r="B58" s="220" t="s">
        <v>710</v>
      </c>
      <c r="C58" s="222" t="s">
        <v>711</v>
      </c>
      <c r="D58" s="224"/>
      <c r="E58" s="230"/>
      <c r="F58" s="224">
        <v>0</v>
      </c>
      <c r="G58" s="223">
        <v>0</v>
      </c>
    </row>
    <row r="59" spans="1:7" ht="39" customHeight="1">
      <c r="A59" s="226"/>
      <c r="B59" s="225" t="s">
        <v>712</v>
      </c>
      <c r="C59" s="226" t="s">
        <v>713</v>
      </c>
      <c r="D59" s="228"/>
      <c r="E59" s="228"/>
      <c r="F59" s="228">
        <v>34801887606</v>
      </c>
      <c r="G59" s="227">
        <v>2.54399235732834E-2</v>
      </c>
    </row>
    <row r="60" spans="1:7" ht="39" customHeight="1">
      <c r="A60" s="226" t="s">
        <v>714</v>
      </c>
      <c r="B60" s="225" t="s">
        <v>715</v>
      </c>
      <c r="C60" s="226" t="s">
        <v>716</v>
      </c>
      <c r="D60" s="228"/>
      <c r="E60" s="228"/>
      <c r="F60" s="228"/>
      <c r="G60" s="227"/>
    </row>
    <row r="61" spans="1:7" ht="39" customHeight="1">
      <c r="A61" s="221" t="s">
        <v>717</v>
      </c>
      <c r="B61" s="220" t="s">
        <v>718</v>
      </c>
      <c r="C61" s="222" t="s">
        <v>719</v>
      </c>
      <c r="D61" s="224"/>
      <c r="E61" s="230"/>
      <c r="F61" s="224">
        <v>78546789408</v>
      </c>
      <c r="G61" s="223">
        <v>5.7417124671186003E-2</v>
      </c>
    </row>
    <row r="62" spans="1:7" ht="39" customHeight="1">
      <c r="A62" s="221"/>
      <c r="B62" s="220"/>
      <c r="C62" s="222"/>
      <c r="D62" s="224"/>
      <c r="E62" s="230"/>
      <c r="F62" s="224"/>
      <c r="G62" s="223"/>
    </row>
    <row r="63" spans="1:7" ht="39" customHeight="1">
      <c r="A63" s="221" t="s">
        <v>720</v>
      </c>
      <c r="B63" s="220" t="s">
        <v>721</v>
      </c>
      <c r="C63" s="222" t="s">
        <v>722</v>
      </c>
      <c r="D63" s="224"/>
      <c r="E63" s="230"/>
      <c r="F63" s="224">
        <v>23546789408</v>
      </c>
      <c r="G63" s="223">
        <v>1.7212529668432199E-2</v>
      </c>
    </row>
    <row r="64" spans="1:7" ht="39" customHeight="1">
      <c r="A64" s="221" t="s">
        <v>723</v>
      </c>
      <c r="B64" s="220" t="s">
        <v>724</v>
      </c>
      <c r="C64" s="222" t="s">
        <v>725</v>
      </c>
      <c r="D64" s="224"/>
      <c r="E64" s="230"/>
      <c r="F64" s="224">
        <v>55000000000</v>
      </c>
      <c r="G64" s="223">
        <v>4.02045950027538E-2</v>
      </c>
    </row>
    <row r="65" spans="1:7" ht="39" customHeight="1">
      <c r="A65" s="221" t="s">
        <v>726</v>
      </c>
      <c r="B65" s="220" t="s">
        <v>727</v>
      </c>
      <c r="C65" s="222" t="s">
        <v>728</v>
      </c>
      <c r="D65" s="224"/>
      <c r="E65" s="230"/>
      <c r="F65" s="224">
        <v>69900000000</v>
      </c>
      <c r="G65" s="223">
        <v>5.1096385285318E-2</v>
      </c>
    </row>
    <row r="66" spans="1:7" ht="39" customHeight="1">
      <c r="A66" s="221"/>
      <c r="B66" s="220"/>
      <c r="C66" s="222"/>
      <c r="D66" s="224"/>
      <c r="E66" s="230"/>
      <c r="F66" s="224"/>
      <c r="G66" s="223"/>
    </row>
    <row r="67" spans="1:7" ht="39" customHeight="1">
      <c r="A67" s="221" t="s">
        <v>729</v>
      </c>
      <c r="B67" s="220" t="s">
        <v>730</v>
      </c>
      <c r="C67" s="222" t="s">
        <v>731</v>
      </c>
      <c r="D67" s="224"/>
      <c r="E67" s="230"/>
      <c r="F67" s="224">
        <v>469940360609</v>
      </c>
      <c r="G67" s="223">
        <v>0.34352294315878001</v>
      </c>
    </row>
    <row r="68" spans="1:7" ht="39" customHeight="1">
      <c r="A68" s="226"/>
      <c r="B68" s="225" t="s">
        <v>732</v>
      </c>
      <c r="C68" s="226" t="s">
        <v>733</v>
      </c>
      <c r="D68" s="228"/>
      <c r="E68" s="228"/>
      <c r="F68" s="228">
        <v>618387150017</v>
      </c>
      <c r="G68" s="227">
        <v>0.45203645311528401</v>
      </c>
    </row>
    <row r="69" spans="1:7" ht="39" customHeight="1">
      <c r="A69" s="226" t="s">
        <v>734</v>
      </c>
      <c r="B69" s="225" t="s">
        <v>735</v>
      </c>
      <c r="C69" s="226" t="s">
        <v>736</v>
      </c>
      <c r="D69" s="228"/>
      <c r="E69" s="228"/>
      <c r="F69" s="228">
        <v>1368002836398</v>
      </c>
      <c r="G69" s="227">
        <v>1</v>
      </c>
    </row>
    <row r="70" spans="1:7" ht="16.899999999999999" customHeight="1">
      <c r="A70" s="71"/>
      <c r="E70" s="15"/>
    </row>
    <row r="71" spans="1:7" ht="16.899999999999999" customHeight="1">
      <c r="A71" s="15" t="s">
        <v>10</v>
      </c>
      <c r="E71" s="15" t="s">
        <v>11</v>
      </c>
    </row>
    <row r="72" spans="1:7" ht="16.899999999999999" customHeight="1">
      <c r="A72" s="16" t="s">
        <v>12</v>
      </c>
      <c r="E72" s="16" t="s">
        <v>13</v>
      </c>
    </row>
    <row r="73" spans="1:7" ht="16.899999999999999" customHeight="1"/>
    <row r="74" spans="1:7" ht="16.899999999999999" customHeight="1">
      <c r="A74" s="22"/>
      <c r="E74" s="22"/>
    </row>
    <row r="75" spans="1:7" ht="16.899999999999999" customHeight="1"/>
    <row r="76" spans="1:7" ht="16.899999999999999" customHeight="1"/>
    <row r="77" spans="1:7" ht="16.899999999999999" customHeight="1"/>
    <row r="78" spans="1:7" ht="16.899999999999999" customHeight="1"/>
    <row r="79" spans="1:7" ht="16.899999999999999" customHeight="1"/>
    <row r="80" spans="1:7" ht="16.899999999999999" customHeight="1"/>
    <row r="81" spans="1:7" ht="16.899999999999999" customHeight="1">
      <c r="A81" s="29" t="s">
        <v>14</v>
      </c>
      <c r="B81" s="26"/>
      <c r="C81" s="26"/>
      <c r="E81" s="29" t="s">
        <v>1393</v>
      </c>
      <c r="F81" s="26"/>
      <c r="G81" s="26"/>
    </row>
    <row r="82" spans="1:7" ht="16.899999999999999" customHeight="1">
      <c r="A82" s="30" t="s">
        <v>1399</v>
      </c>
      <c r="E82" s="30" t="s">
        <v>1400</v>
      </c>
    </row>
    <row r="83" spans="1:7" ht="16.899999999999999" customHeight="1">
      <c r="A83" s="31" t="s">
        <v>1401</v>
      </c>
      <c r="E83" s="31" t="s">
        <v>1402</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54" fitToHeight="0" orientation="portrait" r:id="rId1"/>
  <headerFooter>
    <oddHeader>&amp;L&amp;"Arial"&amp;9&amp;KA80000CONFIDENTIAL&amp;1#</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5"/>
  <sheetViews>
    <sheetView view="pageBreakPreview" zoomScaleNormal="100" zoomScaleSheetLayoutView="100" workbookViewId="0">
      <selection sqref="A1:E1"/>
    </sheetView>
  </sheetViews>
  <sheetFormatPr defaultColWidth="8.7265625" defaultRowHeight="53.25" customHeight="1"/>
  <cols>
    <col min="1" max="1" width="8.7265625" style="12"/>
    <col min="2" max="2" width="59.81640625" style="12" customWidth="1"/>
    <col min="3" max="3" width="10.7265625" style="12" bestFit="1" customWidth="1"/>
    <col min="4" max="4" width="41.7265625" style="12" customWidth="1"/>
    <col min="5" max="5" width="39.54296875" style="12" customWidth="1"/>
    <col min="6" max="6" width="8.453125" style="166" customWidth="1"/>
    <col min="7" max="16384" width="8.7265625" style="166"/>
  </cols>
  <sheetData>
    <row r="1" spans="1:6" ht="53.25" customHeight="1">
      <c r="A1" s="265" t="s">
        <v>570</v>
      </c>
      <c r="B1" s="265"/>
      <c r="C1" s="265"/>
      <c r="D1" s="265"/>
      <c r="E1" s="265"/>
      <c r="F1" s="167"/>
    </row>
    <row r="2" spans="1:6" ht="66" customHeight="1">
      <c r="A2" s="266" t="s">
        <v>571</v>
      </c>
      <c r="B2" s="266"/>
      <c r="C2" s="266"/>
      <c r="D2" s="266"/>
      <c r="E2" s="266"/>
      <c r="F2" s="168"/>
    </row>
    <row r="3" spans="1:6" ht="40.5" customHeight="1">
      <c r="A3" s="267" t="s">
        <v>521</v>
      </c>
      <c r="B3" s="267"/>
      <c r="C3" s="267"/>
      <c r="D3" s="267"/>
      <c r="E3" s="267"/>
      <c r="F3" s="167"/>
    </row>
    <row r="4" spans="1:6" ht="12.5" hidden="1">
      <c r="A4" s="267"/>
      <c r="B4" s="267"/>
      <c r="C4" s="267"/>
      <c r="D4" s="267"/>
      <c r="E4" s="267"/>
      <c r="F4" s="167"/>
    </row>
    <row r="5" spans="1:6" ht="12.5">
      <c r="A5" s="268" t="s">
        <v>1392</v>
      </c>
      <c r="B5" s="268"/>
      <c r="C5" s="268"/>
      <c r="D5" s="268"/>
      <c r="E5" s="268"/>
      <c r="F5" s="169"/>
    </row>
    <row r="6" spans="1:6" ht="12.5"/>
    <row r="7" spans="1:6" ht="12.5">
      <c r="A7" s="141" t="s">
        <v>2</v>
      </c>
      <c r="C7" s="269" t="s">
        <v>1393</v>
      </c>
      <c r="D7" s="269"/>
      <c r="E7" s="269"/>
    </row>
    <row r="8" spans="1:6" ht="12.5">
      <c r="A8" s="12" t="s">
        <v>15</v>
      </c>
      <c r="C8" s="264" t="s">
        <v>1394</v>
      </c>
      <c r="D8" s="264"/>
      <c r="E8" s="264"/>
    </row>
    <row r="9" spans="1:6" ht="12.5">
      <c r="A9" s="141" t="s">
        <v>3</v>
      </c>
      <c r="C9" s="269" t="s">
        <v>1395</v>
      </c>
      <c r="D9" s="269"/>
      <c r="E9" s="269"/>
    </row>
    <row r="10" spans="1:6" ht="12.5">
      <c r="A10" s="12" t="s">
        <v>4</v>
      </c>
      <c r="C10" s="264" t="s">
        <v>1396</v>
      </c>
      <c r="D10" s="264"/>
      <c r="E10" s="264"/>
    </row>
    <row r="11" spans="1:6" ht="12.5">
      <c r="A11" s="141" t="s">
        <v>5</v>
      </c>
      <c r="C11" s="269" t="s">
        <v>1397</v>
      </c>
      <c r="D11" s="269"/>
      <c r="E11" s="269"/>
    </row>
    <row r="12" spans="1:6" ht="12.5">
      <c r="A12" s="12" t="s">
        <v>6</v>
      </c>
      <c r="C12" s="264" t="s">
        <v>1398</v>
      </c>
      <c r="D12" s="264"/>
      <c r="E12" s="264"/>
    </row>
    <row r="13" spans="1:6" ht="12.5">
      <c r="A13" s="141" t="s">
        <v>7</v>
      </c>
      <c r="C13" s="269" t="s">
        <v>1420</v>
      </c>
      <c r="D13" s="269"/>
      <c r="E13" s="269"/>
    </row>
    <row r="14" spans="1:6" ht="12.5">
      <c r="A14" s="12" t="s">
        <v>8</v>
      </c>
      <c r="C14" s="263" t="s">
        <v>1421</v>
      </c>
      <c r="D14" s="264"/>
      <c r="E14" s="264"/>
    </row>
    <row r="15" spans="1:6" ht="12.5"/>
    <row r="16" spans="1:6" ht="12.5">
      <c r="A16" s="110" t="s">
        <v>568</v>
      </c>
      <c r="B16" s="111" t="s">
        <v>569</v>
      </c>
    </row>
    <row r="17" spans="1:5" ht="12.5">
      <c r="A17" s="17" t="s">
        <v>30</v>
      </c>
      <c r="B17" s="18" t="s">
        <v>349</v>
      </c>
    </row>
    <row r="18" spans="1:5" ht="37.5">
      <c r="A18" s="192" t="s">
        <v>17</v>
      </c>
      <c r="B18" s="192" t="s">
        <v>558</v>
      </c>
      <c r="C18" s="192" t="s">
        <v>19</v>
      </c>
      <c r="D18" s="193" t="s">
        <v>1405</v>
      </c>
      <c r="E18" s="193" t="s">
        <v>1406</v>
      </c>
    </row>
    <row r="19" spans="1:5" s="170" customFormat="1" ht="25">
      <c r="A19" s="47" t="s">
        <v>16</v>
      </c>
      <c r="B19" s="104" t="s">
        <v>113</v>
      </c>
      <c r="C19" s="105" t="s">
        <v>114</v>
      </c>
      <c r="D19" s="223"/>
      <c r="E19" s="223"/>
    </row>
    <row r="20" spans="1:5" ht="50">
      <c r="A20" s="142">
        <v>1</v>
      </c>
      <c r="B20" s="106" t="s">
        <v>543</v>
      </c>
      <c r="C20" s="107" t="s">
        <v>115</v>
      </c>
      <c r="D20" s="223">
        <v>1.2000852638640799E-2</v>
      </c>
      <c r="E20" s="223">
        <v>1.1995554372842899E-2</v>
      </c>
    </row>
    <row r="21" spans="1:5" ht="50">
      <c r="A21" s="142">
        <v>2</v>
      </c>
      <c r="B21" s="106" t="s">
        <v>544</v>
      </c>
      <c r="C21" s="107" t="s">
        <v>116</v>
      </c>
      <c r="D21" s="223">
        <v>8.4354634460705505E-4</v>
      </c>
      <c r="E21" s="223">
        <v>8.4605912324206599E-4</v>
      </c>
    </row>
    <row r="22" spans="1:5" ht="62.5">
      <c r="A22" s="142">
        <v>3</v>
      </c>
      <c r="B22" s="106" t="s">
        <v>545</v>
      </c>
      <c r="C22" s="107" t="s">
        <v>117</v>
      </c>
      <c r="D22" s="223">
        <v>5.5934704918961199E-4</v>
      </c>
      <c r="E22" s="223">
        <v>5.8747289633197199E-4</v>
      </c>
    </row>
    <row r="23" spans="1:5" ht="37.5">
      <c r="A23" s="142">
        <v>4</v>
      </c>
      <c r="B23" s="106" t="s">
        <v>350</v>
      </c>
      <c r="C23" s="107" t="s">
        <v>118</v>
      </c>
      <c r="D23" s="223">
        <v>1.00885403814892E-4</v>
      </c>
      <c r="E23" s="223">
        <v>7.9374329048420296E-5</v>
      </c>
    </row>
    <row r="24" spans="1:5" ht="50">
      <c r="A24" s="142">
        <v>5</v>
      </c>
      <c r="B24" s="106" t="s">
        <v>546</v>
      </c>
      <c r="C24" s="107" t="s">
        <v>547</v>
      </c>
      <c r="D24" s="109"/>
      <c r="E24" s="109"/>
    </row>
    <row r="25" spans="1:5" ht="75">
      <c r="A25" s="142">
        <v>6</v>
      </c>
      <c r="B25" s="106" t="s">
        <v>548</v>
      </c>
      <c r="C25" s="107"/>
      <c r="D25" s="109"/>
      <c r="E25" s="109"/>
    </row>
    <row r="26" spans="1:5" ht="62.5">
      <c r="A26" s="142">
        <v>7</v>
      </c>
      <c r="B26" s="106" t="s">
        <v>351</v>
      </c>
      <c r="C26" s="107" t="s">
        <v>119</v>
      </c>
      <c r="D26" s="223">
        <v>1.75859270611555E-4</v>
      </c>
      <c r="E26" s="223">
        <v>1.41163770680219E-4</v>
      </c>
    </row>
    <row r="27" spans="1:5" ht="25">
      <c r="A27" s="142">
        <v>8</v>
      </c>
      <c r="B27" s="106" t="s">
        <v>549</v>
      </c>
      <c r="C27" s="107" t="s">
        <v>120</v>
      </c>
      <c r="D27" s="223">
        <v>1.3819152686287301E-2</v>
      </c>
      <c r="E27" s="223">
        <v>1.37893268091518E-2</v>
      </c>
    </row>
    <row r="28" spans="1:5" ht="12.5">
      <c r="A28" s="142">
        <v>9</v>
      </c>
      <c r="B28" s="106" t="s">
        <v>604</v>
      </c>
      <c r="C28" s="107" t="s">
        <v>121</v>
      </c>
      <c r="D28" s="223">
        <v>1.5762804625235001</v>
      </c>
      <c r="E28" s="223">
        <v>1.7042870233085201</v>
      </c>
    </row>
    <row r="29" spans="1:5" ht="50">
      <c r="A29" s="142">
        <v>10</v>
      </c>
      <c r="B29" s="106" t="s">
        <v>550</v>
      </c>
      <c r="C29" s="107" t="s">
        <v>509</v>
      </c>
      <c r="D29" s="109"/>
      <c r="E29" s="109"/>
    </row>
    <row r="30" spans="1:5" s="170" customFormat="1" ht="25">
      <c r="A30" s="47" t="s">
        <v>22</v>
      </c>
      <c r="B30" s="104" t="s">
        <v>122</v>
      </c>
      <c r="C30" s="105" t="s">
        <v>123</v>
      </c>
      <c r="D30" s="108"/>
      <c r="E30" s="108"/>
    </row>
    <row r="31" spans="1:5" ht="37.5">
      <c r="A31" s="272">
        <v>1</v>
      </c>
      <c r="B31" s="106" t="s">
        <v>124</v>
      </c>
      <c r="C31" s="107" t="s">
        <v>125</v>
      </c>
      <c r="D31" s="143">
        <v>1049235427900</v>
      </c>
      <c r="E31" s="143">
        <v>1480538377200</v>
      </c>
    </row>
    <row r="32" spans="1:5" ht="25">
      <c r="A32" s="273"/>
      <c r="B32" s="106" t="s">
        <v>126</v>
      </c>
      <c r="C32" s="107" t="s">
        <v>127</v>
      </c>
      <c r="D32" s="143">
        <v>1049235427900</v>
      </c>
      <c r="E32" s="143">
        <v>1480538377200</v>
      </c>
    </row>
    <row r="33" spans="1:5" ht="25">
      <c r="A33" s="274"/>
      <c r="B33" s="106" t="s">
        <v>551</v>
      </c>
      <c r="C33" s="107" t="s">
        <v>128</v>
      </c>
      <c r="D33" s="109">
        <v>104923542.79000001</v>
      </c>
      <c r="E33" s="109">
        <v>148053837.72</v>
      </c>
    </row>
    <row r="34" spans="1:5" ht="37.5">
      <c r="A34" s="271">
        <v>2</v>
      </c>
      <c r="B34" s="106" t="s">
        <v>129</v>
      </c>
      <c r="C34" s="107" t="s">
        <v>130</v>
      </c>
      <c r="D34" s="143">
        <v>82258981500.0009</v>
      </c>
      <c r="E34" s="143">
        <v>-431302949299.99902</v>
      </c>
    </row>
    <row r="35" spans="1:5" ht="25">
      <c r="A35" s="271"/>
      <c r="B35" s="106" t="s">
        <v>131</v>
      </c>
      <c r="C35" s="107" t="s">
        <v>552</v>
      </c>
      <c r="D35" s="109">
        <v>8225898.1500001</v>
      </c>
      <c r="E35" s="109">
        <v>-43130294.929999903</v>
      </c>
    </row>
    <row r="36" spans="1:5" ht="25">
      <c r="A36" s="271"/>
      <c r="B36" s="106" t="s">
        <v>132</v>
      </c>
      <c r="C36" s="107" t="s">
        <v>553</v>
      </c>
      <c r="D36" s="143">
        <v>82258981500.0009</v>
      </c>
      <c r="E36" s="143">
        <v>-431302949299.99902</v>
      </c>
    </row>
    <row r="37" spans="1:5" ht="25">
      <c r="A37" s="271"/>
      <c r="B37" s="106" t="s">
        <v>554</v>
      </c>
      <c r="C37" s="107" t="s">
        <v>133</v>
      </c>
      <c r="D37" s="109">
        <v>748195822.69000006</v>
      </c>
      <c r="E37" s="109">
        <v>717583664.62</v>
      </c>
    </row>
    <row r="38" spans="1:5" ht="25">
      <c r="A38" s="271"/>
      <c r="B38" s="106" t="s">
        <v>307</v>
      </c>
      <c r="C38" s="107" t="s">
        <v>134</v>
      </c>
      <c r="D38" s="143">
        <v>7481958226900</v>
      </c>
      <c r="E38" s="143">
        <v>7175836646200</v>
      </c>
    </row>
    <row r="39" spans="1:5" ht="25">
      <c r="A39" s="271"/>
      <c r="B39" s="106" t="s">
        <v>594</v>
      </c>
      <c r="C39" s="107" t="s">
        <v>135</v>
      </c>
      <c r="D39" s="109">
        <v>-739969924.53999996</v>
      </c>
      <c r="E39" s="109">
        <v>-760713959.54999995</v>
      </c>
    </row>
    <row r="40" spans="1:5" ht="37.5">
      <c r="A40" s="271"/>
      <c r="B40" s="106" t="s">
        <v>308</v>
      </c>
      <c r="C40" s="107" t="s">
        <v>136</v>
      </c>
      <c r="D40" s="143">
        <v>-7399699245400</v>
      </c>
      <c r="E40" s="143">
        <v>-7607139595500</v>
      </c>
    </row>
    <row r="41" spans="1:5" ht="25">
      <c r="A41" s="271">
        <v>3</v>
      </c>
      <c r="B41" s="106" t="s">
        <v>309</v>
      </c>
      <c r="C41" s="107" t="s">
        <v>137</v>
      </c>
      <c r="D41" s="143">
        <v>1131494409400</v>
      </c>
      <c r="E41" s="143">
        <v>1049235427900</v>
      </c>
    </row>
    <row r="42" spans="1:5" ht="37.5">
      <c r="A42" s="271"/>
      <c r="B42" s="106" t="s">
        <v>555</v>
      </c>
      <c r="C42" s="107" t="s">
        <v>138</v>
      </c>
      <c r="D42" s="143">
        <v>1131494409400</v>
      </c>
      <c r="E42" s="143">
        <v>1049235427900</v>
      </c>
    </row>
    <row r="43" spans="1:5" ht="25">
      <c r="A43" s="271"/>
      <c r="B43" s="106" t="s">
        <v>556</v>
      </c>
      <c r="C43" s="107" t="s">
        <v>139</v>
      </c>
      <c r="D43" s="109">
        <v>113149440.94</v>
      </c>
      <c r="E43" s="109">
        <v>104923542.79000001</v>
      </c>
    </row>
    <row r="44" spans="1:5" ht="50">
      <c r="A44" s="142">
        <v>4</v>
      </c>
      <c r="B44" s="106" t="s">
        <v>140</v>
      </c>
      <c r="C44" s="107" t="s">
        <v>141</v>
      </c>
      <c r="D44" s="223">
        <v>1.01540404482356E-4</v>
      </c>
      <c r="E44" s="223"/>
    </row>
    <row r="45" spans="1:5" ht="25">
      <c r="A45" s="142">
        <v>5</v>
      </c>
      <c r="B45" s="106" t="s">
        <v>142</v>
      </c>
      <c r="C45" s="107" t="s">
        <v>143</v>
      </c>
      <c r="D45" s="223">
        <v>0.28370000000000001</v>
      </c>
      <c r="E45" s="223">
        <v>0.26989999999999997</v>
      </c>
    </row>
    <row r="46" spans="1:5" ht="25">
      <c r="A46" s="142">
        <v>6</v>
      </c>
      <c r="B46" s="106" t="s">
        <v>144</v>
      </c>
      <c r="C46" s="107" t="s">
        <v>145</v>
      </c>
      <c r="D46" s="223">
        <v>0.13070000000000001</v>
      </c>
      <c r="E46" s="223">
        <v>4.5999999999999999E-3</v>
      </c>
    </row>
    <row r="47" spans="1:5" ht="25">
      <c r="A47" s="142">
        <v>7</v>
      </c>
      <c r="B47" s="106" t="s">
        <v>146</v>
      </c>
      <c r="C47" s="107" t="s">
        <v>147</v>
      </c>
      <c r="D47" s="143">
        <v>21962</v>
      </c>
      <c r="E47" s="143">
        <v>20876</v>
      </c>
    </row>
    <row r="48" spans="1:5" ht="25">
      <c r="A48" s="142">
        <v>8</v>
      </c>
      <c r="B48" s="106" t="s">
        <v>310</v>
      </c>
      <c r="C48" s="107" t="s">
        <v>148</v>
      </c>
      <c r="D48" s="109">
        <v>11863.44</v>
      </c>
      <c r="E48" s="109">
        <v>11237.62</v>
      </c>
    </row>
    <row r="49" spans="1:5" ht="37.5">
      <c r="A49" s="142">
        <v>9</v>
      </c>
      <c r="B49" s="106" t="s">
        <v>557</v>
      </c>
      <c r="C49" s="107" t="s">
        <v>510</v>
      </c>
      <c r="D49" s="109"/>
      <c r="E49" s="109"/>
    </row>
    <row r="50" spans="1:5" ht="31.5" customHeight="1">
      <c r="A50" s="270" t="s">
        <v>595</v>
      </c>
      <c r="B50" s="264"/>
      <c r="C50" s="264"/>
      <c r="D50" s="264"/>
      <c r="E50" s="264"/>
    </row>
    <row r="51" spans="1:5" ht="95.25" customHeight="1">
      <c r="A51" s="270" t="s">
        <v>616</v>
      </c>
      <c r="B51" s="264"/>
      <c r="C51" s="264"/>
      <c r="D51" s="264"/>
      <c r="E51" s="264"/>
    </row>
    <row r="52" spans="1:5" ht="12.5">
      <c r="A52" s="22" t="s">
        <v>10</v>
      </c>
      <c r="D52" s="22" t="s">
        <v>11</v>
      </c>
    </row>
    <row r="53" spans="1:5" s="169" customFormat="1" ht="12.5">
      <c r="A53" s="23" t="s">
        <v>12</v>
      </c>
      <c r="B53" s="23"/>
      <c r="C53" s="23"/>
      <c r="D53" s="23" t="s">
        <v>13</v>
      </c>
      <c r="E53" s="23"/>
    </row>
    <row r="54" spans="1:5" ht="12.5"/>
    <row r="55" spans="1:5" ht="12.5"/>
    <row r="56" spans="1:5" ht="12.5"/>
    <row r="57" spans="1:5" ht="12.5"/>
    <row r="58" spans="1:5" ht="12.5"/>
    <row r="59" spans="1:5" ht="12.5"/>
    <row r="60" spans="1:5" ht="12.5"/>
    <row r="61" spans="1:5" ht="12.5"/>
    <row r="62" spans="1:5" ht="12.5">
      <c r="A62" s="38"/>
      <c r="B62" s="38"/>
      <c r="D62" s="38"/>
      <c r="E62" s="38"/>
    </row>
    <row r="63" spans="1:5" ht="12.5">
      <c r="A63" s="22" t="s">
        <v>14</v>
      </c>
      <c r="D63" s="22" t="s">
        <v>1393</v>
      </c>
    </row>
    <row r="64" spans="1:5" ht="12.5">
      <c r="A64" s="22" t="s">
        <v>1399</v>
      </c>
      <c r="D64" s="22" t="s">
        <v>1400</v>
      </c>
    </row>
    <row r="65" spans="1:4" ht="12.5">
      <c r="A65" s="12" t="s">
        <v>1401</v>
      </c>
      <c r="D65" s="12" t="s">
        <v>1402</v>
      </c>
    </row>
  </sheetData>
  <mergeCells count="17">
    <mergeCell ref="A51:E51"/>
    <mergeCell ref="A50:E50"/>
    <mergeCell ref="A34:A40"/>
    <mergeCell ref="A41:A43"/>
    <mergeCell ref="C14:E14"/>
    <mergeCell ref="A31:A33"/>
    <mergeCell ref="A1:E1"/>
    <mergeCell ref="A2:E2"/>
    <mergeCell ref="A3:E4"/>
    <mergeCell ref="A5:E5"/>
    <mergeCell ref="C7:E7"/>
    <mergeCell ref="C13:E13"/>
    <mergeCell ref="C8:E8"/>
    <mergeCell ref="C9:E9"/>
    <mergeCell ref="C10:E10"/>
    <mergeCell ref="C11:E11"/>
    <mergeCell ref="C12:E12"/>
  </mergeCells>
  <printOptions horizontalCentered="1"/>
  <pageMargins left="0.3" right="0.3" top="0.75" bottom="0.5" header="0.3" footer="0.3"/>
  <pageSetup paperSize="9" scale="60" fitToHeight="0" orientation="portrait" r:id="rId1"/>
  <headerFooter>
    <oddHeader>&amp;L&amp;"Arial"&amp;9&amp;KA80000CONFIDENTIAL&amp;1#</oddHeader>
  </headerFooter>
  <rowBreaks count="2" manualBreakCount="2">
    <brk id="28" max="16383" man="1"/>
    <brk id="57" max="16383" man="1"/>
  </rowBreaks>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G138"/>
  <sheetViews>
    <sheetView view="pageBreakPreview" topLeftCell="A11" zoomScale="68" zoomScaleNormal="100" zoomScaleSheetLayoutView="68" workbookViewId="0">
      <selection activeCell="C14" sqref="C14:F14"/>
    </sheetView>
  </sheetViews>
  <sheetFormatPr defaultColWidth="8.7265625" defaultRowHeight="12.5"/>
  <cols>
    <col min="1" max="1" width="7.1796875" style="12" customWidth="1"/>
    <col min="2" max="2" width="84" style="12" customWidth="1"/>
    <col min="3" max="3" width="10.54296875" style="12" customWidth="1"/>
    <col min="4" max="4" width="15.1796875" style="12" customWidth="1"/>
    <col min="5" max="5" width="28.7265625" style="12" customWidth="1"/>
    <col min="6" max="6" width="28" style="12" bestFit="1" customWidth="1"/>
    <col min="7" max="7" width="8.7265625" style="1"/>
    <col min="8" max="16384" width="8.7265625" style="27"/>
  </cols>
  <sheetData>
    <row r="1" spans="1:6" ht="65.25" customHeight="1">
      <c r="A1" s="265" t="s">
        <v>598</v>
      </c>
      <c r="B1" s="265"/>
      <c r="C1" s="265"/>
      <c r="D1" s="265"/>
      <c r="E1" s="265"/>
      <c r="F1" s="265"/>
    </row>
    <row r="2" spans="1:6" ht="64.5" customHeight="1">
      <c r="A2" s="266" t="s">
        <v>599</v>
      </c>
      <c r="B2" s="266"/>
      <c r="C2" s="266"/>
      <c r="D2" s="266"/>
      <c r="E2" s="266"/>
      <c r="F2" s="266"/>
    </row>
    <row r="3" spans="1:6" ht="31.15" customHeight="1">
      <c r="A3" s="267" t="s">
        <v>249</v>
      </c>
      <c r="B3" s="267"/>
      <c r="C3" s="267"/>
      <c r="D3" s="267"/>
      <c r="E3" s="267"/>
      <c r="F3" s="267"/>
    </row>
    <row r="4" spans="1:6" ht="6" customHeight="1"/>
    <row r="5" spans="1:6" ht="16.899999999999999" customHeight="1">
      <c r="A5" s="268" t="s">
        <v>1391</v>
      </c>
      <c r="B5" s="268"/>
      <c r="C5" s="268"/>
      <c r="D5" s="268"/>
      <c r="E5" s="268"/>
      <c r="F5" s="268"/>
    </row>
    <row r="6" spans="1:6" ht="16.899999999999999" customHeight="1"/>
    <row r="7" spans="1:6" ht="16.899999999999999" customHeight="1">
      <c r="A7" s="141" t="s">
        <v>2</v>
      </c>
      <c r="C7" s="239" t="s">
        <v>1393</v>
      </c>
      <c r="D7" s="239"/>
      <c r="E7" s="239"/>
      <c r="F7" s="239"/>
    </row>
    <row r="8" spans="1:6" ht="16.899999999999999" customHeight="1">
      <c r="A8" s="12" t="s">
        <v>15</v>
      </c>
      <c r="C8" s="270" t="s">
        <v>1394</v>
      </c>
      <c r="D8" s="270"/>
      <c r="E8" s="270"/>
      <c r="F8" s="270"/>
    </row>
    <row r="9" spans="1:6" ht="16.899999999999999" customHeight="1">
      <c r="A9" s="141" t="s">
        <v>3</v>
      </c>
      <c r="C9" s="239" t="s">
        <v>1395</v>
      </c>
      <c r="D9" s="239"/>
      <c r="E9" s="239"/>
      <c r="F9" s="239"/>
    </row>
    <row r="10" spans="1:6" ht="16.899999999999999" customHeight="1">
      <c r="A10" s="12" t="s">
        <v>4</v>
      </c>
      <c r="C10" s="270" t="s">
        <v>1396</v>
      </c>
      <c r="D10" s="270"/>
      <c r="E10" s="270"/>
      <c r="F10" s="270"/>
    </row>
    <row r="11" spans="1:6" ht="16.899999999999999" customHeight="1">
      <c r="A11" s="141" t="s">
        <v>5</v>
      </c>
      <c r="C11" s="239" t="s">
        <v>1397</v>
      </c>
      <c r="D11" s="239"/>
      <c r="E11" s="239"/>
      <c r="F11" s="239"/>
    </row>
    <row r="12" spans="1:6" ht="16.899999999999999" customHeight="1">
      <c r="A12" s="12" t="s">
        <v>6</v>
      </c>
      <c r="C12" s="270" t="s">
        <v>1398</v>
      </c>
      <c r="D12" s="270"/>
      <c r="E12" s="270"/>
      <c r="F12" s="270"/>
    </row>
    <row r="13" spans="1:6" ht="16.899999999999999" customHeight="1">
      <c r="A13" s="141" t="s">
        <v>7</v>
      </c>
      <c r="C13" s="239" t="s">
        <v>1420</v>
      </c>
      <c r="D13" s="239"/>
      <c r="E13" s="239"/>
      <c r="F13" s="239"/>
    </row>
    <row r="14" spans="1:6" ht="16.899999999999999" customHeight="1">
      <c r="A14" s="12" t="s">
        <v>8</v>
      </c>
      <c r="C14" s="277" t="s">
        <v>1421</v>
      </c>
      <c r="D14" s="270"/>
      <c r="E14" s="270"/>
      <c r="F14" s="270"/>
    </row>
    <row r="15" spans="1:6" ht="16.899999999999999" customHeight="1"/>
    <row r="16" spans="1:6" ht="46.9" customHeight="1">
      <c r="A16" s="28" t="s">
        <v>250</v>
      </c>
      <c r="B16" s="28" t="s">
        <v>167</v>
      </c>
      <c r="C16" s="28" t="s">
        <v>168</v>
      </c>
      <c r="D16" s="28" t="s">
        <v>169</v>
      </c>
      <c r="E16" s="28" t="s">
        <v>1403</v>
      </c>
      <c r="F16" s="28" t="s">
        <v>1404</v>
      </c>
    </row>
    <row r="17" spans="1:7" ht="25">
      <c r="A17" s="13" t="s">
        <v>16</v>
      </c>
      <c r="B17" s="207" t="s">
        <v>1276</v>
      </c>
      <c r="C17" s="208" t="s">
        <v>16</v>
      </c>
      <c r="D17" s="20"/>
      <c r="E17" s="20"/>
      <c r="F17" s="20"/>
    </row>
    <row r="18" spans="1:7" ht="25">
      <c r="A18" s="209" t="s">
        <v>385</v>
      </c>
      <c r="B18" s="210" t="s">
        <v>1277</v>
      </c>
      <c r="C18" s="211" t="s">
        <v>386</v>
      </c>
      <c r="D18" s="209"/>
      <c r="E18" s="212">
        <v>78546789408</v>
      </c>
      <c r="F18" s="212">
        <v>532821835814</v>
      </c>
    </row>
    <row r="19" spans="1:7" ht="25">
      <c r="A19" s="209" t="s">
        <v>387</v>
      </c>
      <c r="B19" s="210" t="s">
        <v>1278</v>
      </c>
      <c r="C19" s="211" t="s">
        <v>388</v>
      </c>
      <c r="D19" s="209"/>
      <c r="E19" s="212">
        <v>23546789408</v>
      </c>
      <c r="F19" s="212">
        <v>38021835814</v>
      </c>
    </row>
    <row r="20" spans="1:7" s="67" customFormat="1" ht="25">
      <c r="A20" s="209" t="s">
        <v>389</v>
      </c>
      <c r="B20" s="213" t="s">
        <v>1279</v>
      </c>
      <c r="C20" s="214" t="s">
        <v>390</v>
      </c>
      <c r="D20" s="209"/>
      <c r="E20" s="212">
        <v>21527465725</v>
      </c>
      <c r="F20" s="212">
        <v>15719104214</v>
      </c>
      <c r="G20" s="66"/>
    </row>
    <row r="21" spans="1:7" s="67" customFormat="1" ht="25">
      <c r="A21" s="209" t="s">
        <v>389</v>
      </c>
      <c r="B21" s="213" t="s">
        <v>1280</v>
      </c>
      <c r="C21" s="214" t="s">
        <v>391</v>
      </c>
      <c r="D21" s="209"/>
      <c r="E21" s="212">
        <v>821711488</v>
      </c>
      <c r="F21" s="212">
        <v>700928</v>
      </c>
      <c r="G21" s="66"/>
    </row>
    <row r="22" spans="1:7" s="67" customFormat="1" ht="25">
      <c r="A22" s="209" t="s">
        <v>389</v>
      </c>
      <c r="B22" s="213" t="s">
        <v>1281</v>
      </c>
      <c r="C22" s="214" t="s">
        <v>392</v>
      </c>
      <c r="D22" s="209"/>
      <c r="E22" s="212">
        <v>1197612195</v>
      </c>
      <c r="F22" s="212">
        <v>22302030672</v>
      </c>
      <c r="G22" s="66"/>
    </row>
    <row r="23" spans="1:7" ht="25">
      <c r="A23" s="209" t="s">
        <v>389</v>
      </c>
      <c r="B23" s="213" t="s">
        <v>1282</v>
      </c>
      <c r="C23" s="214" t="s">
        <v>393</v>
      </c>
      <c r="D23" s="209"/>
      <c r="E23" s="212">
        <v>0</v>
      </c>
      <c r="F23" s="212">
        <v>0</v>
      </c>
    </row>
    <row r="24" spans="1:7" ht="25">
      <c r="A24" s="209" t="s">
        <v>394</v>
      </c>
      <c r="B24" s="210" t="s">
        <v>1283</v>
      </c>
      <c r="C24" s="211" t="s">
        <v>395</v>
      </c>
      <c r="D24" s="209"/>
      <c r="E24" s="212">
        <v>55000000000</v>
      </c>
      <c r="F24" s="212">
        <v>494800000000</v>
      </c>
    </row>
    <row r="25" spans="1:7" ht="25">
      <c r="A25" s="209" t="s">
        <v>396</v>
      </c>
      <c r="B25" s="210" t="s">
        <v>1284</v>
      </c>
      <c r="C25" s="211" t="s">
        <v>397</v>
      </c>
      <c r="D25" s="209"/>
      <c r="E25" s="212">
        <v>1254654159384</v>
      </c>
      <c r="F25" s="212">
        <v>639279969928</v>
      </c>
    </row>
    <row r="26" spans="1:7" ht="25">
      <c r="A26" s="209" t="s">
        <v>398</v>
      </c>
      <c r="B26" s="210" t="s">
        <v>1285</v>
      </c>
      <c r="C26" s="211" t="s">
        <v>399</v>
      </c>
      <c r="D26" s="209"/>
      <c r="E26" s="212">
        <v>1254654159384</v>
      </c>
      <c r="F26" s="212">
        <v>639279969928</v>
      </c>
    </row>
    <row r="27" spans="1:7" ht="25">
      <c r="A27" s="209" t="s">
        <v>389</v>
      </c>
      <c r="B27" s="213" t="s">
        <v>1286</v>
      </c>
      <c r="C27" s="214" t="s">
        <v>400</v>
      </c>
      <c r="D27" s="209"/>
      <c r="E27" s="212">
        <v>0</v>
      </c>
      <c r="F27" s="212">
        <v>0</v>
      </c>
    </row>
    <row r="28" spans="1:7" ht="25">
      <c r="A28" s="209" t="s">
        <v>389</v>
      </c>
      <c r="B28" s="213" t="s">
        <v>1287</v>
      </c>
      <c r="C28" s="214" t="s">
        <v>401</v>
      </c>
      <c r="D28" s="209"/>
      <c r="E28" s="212">
        <v>0</v>
      </c>
      <c r="F28" s="212">
        <v>0</v>
      </c>
    </row>
    <row r="29" spans="1:7" ht="25">
      <c r="A29" s="209" t="s">
        <v>389</v>
      </c>
      <c r="B29" s="213" t="s">
        <v>1288</v>
      </c>
      <c r="C29" s="214" t="s">
        <v>402</v>
      </c>
      <c r="D29" s="209"/>
      <c r="E29" s="212">
        <v>696755208775</v>
      </c>
      <c r="F29" s="212">
        <v>304663481288</v>
      </c>
    </row>
    <row r="30" spans="1:7" ht="25">
      <c r="A30" s="209" t="s">
        <v>389</v>
      </c>
      <c r="B30" s="213" t="s">
        <v>1289</v>
      </c>
      <c r="C30" s="214" t="s">
        <v>403</v>
      </c>
      <c r="D30" s="209"/>
      <c r="E30" s="212">
        <v>18058590000</v>
      </c>
      <c r="F30" s="212">
        <v>88116488640</v>
      </c>
    </row>
    <row r="31" spans="1:7" ht="25">
      <c r="A31" s="209" t="s">
        <v>389</v>
      </c>
      <c r="B31" s="213" t="s">
        <v>1290</v>
      </c>
      <c r="C31" s="214" t="s">
        <v>404</v>
      </c>
      <c r="D31" s="209"/>
      <c r="E31" s="212">
        <v>469940360609</v>
      </c>
      <c r="F31" s="212">
        <v>240000000000</v>
      </c>
    </row>
    <row r="32" spans="1:7" ht="25">
      <c r="A32" s="209" t="s">
        <v>389</v>
      </c>
      <c r="B32" s="213" t="s">
        <v>1291</v>
      </c>
      <c r="C32" s="214" t="s">
        <v>405</v>
      </c>
      <c r="D32" s="209"/>
      <c r="E32" s="212">
        <v>69900000000</v>
      </c>
      <c r="F32" s="212">
        <v>6500000000</v>
      </c>
    </row>
    <row r="33" spans="1:6" ht="25">
      <c r="A33" s="209" t="s">
        <v>389</v>
      </c>
      <c r="B33" s="213" t="s">
        <v>1292</v>
      </c>
      <c r="C33" s="214" t="s">
        <v>406</v>
      </c>
      <c r="D33" s="209"/>
      <c r="E33" s="212">
        <v>0</v>
      </c>
      <c r="F33" s="212">
        <v>0</v>
      </c>
    </row>
    <row r="34" spans="1:6" ht="25">
      <c r="A34" s="209" t="s">
        <v>389</v>
      </c>
      <c r="B34" s="213" t="s">
        <v>1293</v>
      </c>
      <c r="C34" s="214" t="s">
        <v>407</v>
      </c>
      <c r="D34" s="209"/>
      <c r="E34" s="212">
        <v>0</v>
      </c>
      <c r="F34" s="212">
        <v>0</v>
      </c>
    </row>
    <row r="35" spans="1:6" ht="25">
      <c r="A35" s="209" t="s">
        <v>389</v>
      </c>
      <c r="B35" s="213" t="s">
        <v>1294</v>
      </c>
      <c r="C35" s="214" t="s">
        <v>408</v>
      </c>
      <c r="D35" s="209"/>
      <c r="E35" s="212">
        <v>0</v>
      </c>
      <c r="F35" s="212">
        <v>0</v>
      </c>
    </row>
    <row r="36" spans="1:6" ht="25">
      <c r="A36" s="209" t="s">
        <v>389</v>
      </c>
      <c r="B36" s="213" t="s">
        <v>1295</v>
      </c>
      <c r="C36" s="214" t="s">
        <v>409</v>
      </c>
      <c r="D36" s="209"/>
      <c r="E36" s="212">
        <v>0</v>
      </c>
      <c r="F36" s="212">
        <v>0</v>
      </c>
    </row>
    <row r="37" spans="1:6" ht="25">
      <c r="A37" s="209" t="s">
        <v>410</v>
      </c>
      <c r="B37" s="210" t="s">
        <v>1296</v>
      </c>
      <c r="C37" s="211" t="s">
        <v>411</v>
      </c>
      <c r="D37" s="209"/>
      <c r="E37" s="212">
        <v>0</v>
      </c>
      <c r="F37" s="212">
        <v>0</v>
      </c>
    </row>
    <row r="38" spans="1:6" ht="25">
      <c r="A38" s="209" t="s">
        <v>412</v>
      </c>
      <c r="B38" s="210" t="s">
        <v>1297</v>
      </c>
      <c r="C38" s="211" t="s">
        <v>413</v>
      </c>
      <c r="D38" s="209"/>
      <c r="E38" s="212">
        <v>34801887606</v>
      </c>
      <c r="F38" s="212">
        <v>24717923100</v>
      </c>
    </row>
    <row r="39" spans="1:6" ht="25">
      <c r="A39" s="209" t="s">
        <v>414</v>
      </c>
      <c r="B39" s="210" t="s">
        <v>1298</v>
      </c>
      <c r="C39" s="211" t="s">
        <v>415</v>
      </c>
      <c r="D39" s="209"/>
      <c r="E39" s="212">
        <v>0</v>
      </c>
      <c r="F39" s="212">
        <v>0</v>
      </c>
    </row>
    <row r="40" spans="1:6" ht="25">
      <c r="A40" s="209" t="s">
        <v>389</v>
      </c>
      <c r="B40" s="213" t="s">
        <v>1299</v>
      </c>
      <c r="C40" s="214" t="s">
        <v>416</v>
      </c>
      <c r="D40" s="209"/>
      <c r="E40" s="212">
        <v>0</v>
      </c>
      <c r="F40" s="212">
        <v>0</v>
      </c>
    </row>
    <row r="41" spans="1:6" ht="25">
      <c r="A41" s="209" t="s">
        <v>417</v>
      </c>
      <c r="B41" s="210" t="s">
        <v>1300</v>
      </c>
      <c r="C41" s="211" t="s">
        <v>418</v>
      </c>
      <c r="D41" s="209"/>
      <c r="E41" s="212">
        <v>34801887606</v>
      </c>
      <c r="F41" s="212">
        <v>24717923100</v>
      </c>
    </row>
    <row r="42" spans="1:6" ht="25">
      <c r="A42" s="209" t="s">
        <v>419</v>
      </c>
      <c r="B42" s="210" t="s">
        <v>1301</v>
      </c>
      <c r="C42" s="211" t="s">
        <v>420</v>
      </c>
      <c r="D42" s="209"/>
      <c r="E42" s="212">
        <v>0</v>
      </c>
      <c r="F42" s="212">
        <v>0</v>
      </c>
    </row>
    <row r="43" spans="1:6" ht="25">
      <c r="A43" s="209" t="s">
        <v>389</v>
      </c>
      <c r="B43" s="213" t="s">
        <v>1302</v>
      </c>
      <c r="C43" s="214" t="s">
        <v>421</v>
      </c>
      <c r="D43" s="209"/>
      <c r="E43" s="212">
        <v>0</v>
      </c>
      <c r="F43" s="212">
        <v>0</v>
      </c>
    </row>
    <row r="44" spans="1:6" ht="25">
      <c r="A44" s="209" t="s">
        <v>389</v>
      </c>
      <c r="B44" s="213" t="s">
        <v>1303</v>
      </c>
      <c r="C44" s="214" t="s">
        <v>422</v>
      </c>
      <c r="D44" s="209"/>
      <c r="E44" s="212">
        <v>0</v>
      </c>
      <c r="F44" s="212">
        <v>0</v>
      </c>
    </row>
    <row r="45" spans="1:6" ht="25">
      <c r="A45" s="209" t="s">
        <v>389</v>
      </c>
      <c r="B45" s="213" t="s">
        <v>1304</v>
      </c>
      <c r="C45" s="214" t="s">
        <v>423</v>
      </c>
      <c r="D45" s="209"/>
      <c r="E45" s="212">
        <v>0</v>
      </c>
      <c r="F45" s="212">
        <v>0</v>
      </c>
    </row>
    <row r="46" spans="1:6" ht="25">
      <c r="A46" s="209" t="s">
        <v>389</v>
      </c>
      <c r="B46" s="213" t="s">
        <v>1305</v>
      </c>
      <c r="C46" s="214" t="s">
        <v>424</v>
      </c>
      <c r="D46" s="209"/>
      <c r="E46" s="212">
        <v>0</v>
      </c>
      <c r="F46" s="212">
        <v>0</v>
      </c>
    </row>
    <row r="47" spans="1:6" ht="25">
      <c r="A47" s="209" t="s">
        <v>389</v>
      </c>
      <c r="B47" s="213" t="s">
        <v>1306</v>
      </c>
      <c r="C47" s="214" t="s">
        <v>425</v>
      </c>
      <c r="D47" s="209"/>
      <c r="E47" s="212">
        <v>0</v>
      </c>
      <c r="F47" s="212">
        <v>0</v>
      </c>
    </row>
    <row r="48" spans="1:6" ht="25">
      <c r="A48" s="209" t="s">
        <v>389</v>
      </c>
      <c r="B48" s="210" t="s">
        <v>1307</v>
      </c>
      <c r="C48" s="211" t="s">
        <v>426</v>
      </c>
      <c r="D48" s="209"/>
      <c r="E48" s="212">
        <v>0</v>
      </c>
      <c r="F48" s="212">
        <v>0</v>
      </c>
    </row>
    <row r="49" spans="1:7" ht="25">
      <c r="A49" s="209" t="s">
        <v>427</v>
      </c>
      <c r="B49" s="210" t="s">
        <v>1308</v>
      </c>
      <c r="C49" s="211" t="s">
        <v>428</v>
      </c>
      <c r="D49" s="209"/>
      <c r="E49" s="212">
        <v>34801887606</v>
      </c>
      <c r="F49" s="212">
        <v>24717923100</v>
      </c>
    </row>
    <row r="50" spans="1:7" ht="25">
      <c r="A50" s="209" t="s">
        <v>389</v>
      </c>
      <c r="B50" s="213" t="s">
        <v>1309</v>
      </c>
      <c r="C50" s="214" t="s">
        <v>429</v>
      </c>
      <c r="D50" s="209"/>
      <c r="E50" s="212">
        <v>0</v>
      </c>
      <c r="F50" s="212">
        <v>0</v>
      </c>
    </row>
    <row r="51" spans="1:7" ht="25">
      <c r="A51" s="209" t="s">
        <v>389</v>
      </c>
      <c r="B51" s="213" t="s">
        <v>1310</v>
      </c>
      <c r="C51" s="214" t="s">
        <v>430</v>
      </c>
      <c r="D51" s="209"/>
      <c r="E51" s="212">
        <v>23864415000</v>
      </c>
      <c r="F51" s="212">
        <v>15045345017</v>
      </c>
    </row>
    <row r="52" spans="1:7" ht="25">
      <c r="A52" s="209" t="s">
        <v>389</v>
      </c>
      <c r="B52" s="213" t="s">
        <v>1311</v>
      </c>
      <c r="C52" s="214" t="s">
        <v>431</v>
      </c>
      <c r="D52" s="209"/>
      <c r="E52" s="212">
        <v>7157535</v>
      </c>
      <c r="F52" s="212">
        <v>510798631</v>
      </c>
    </row>
    <row r="53" spans="1:7" ht="25">
      <c r="A53" s="209" t="s">
        <v>389</v>
      </c>
      <c r="B53" s="213" t="s">
        <v>1312</v>
      </c>
      <c r="C53" s="214" t="s">
        <v>432</v>
      </c>
      <c r="D53" s="209"/>
      <c r="E53" s="212">
        <v>1627397261</v>
      </c>
      <c r="F53" s="212">
        <v>161395890</v>
      </c>
    </row>
    <row r="54" spans="1:7" ht="25">
      <c r="A54" s="209" t="s">
        <v>389</v>
      </c>
      <c r="B54" s="213" t="s">
        <v>1313</v>
      </c>
      <c r="C54" s="214" t="s">
        <v>433</v>
      </c>
      <c r="D54" s="209"/>
      <c r="E54" s="212">
        <v>9302917810</v>
      </c>
      <c r="F54" s="212">
        <v>9000383562</v>
      </c>
    </row>
    <row r="55" spans="1:7" ht="25">
      <c r="A55" s="209" t="s">
        <v>389</v>
      </c>
      <c r="B55" s="213" t="s">
        <v>1314</v>
      </c>
      <c r="C55" s="214" t="s">
        <v>434</v>
      </c>
      <c r="D55" s="209"/>
      <c r="E55" s="212">
        <v>0</v>
      </c>
      <c r="F55" s="212">
        <v>0</v>
      </c>
    </row>
    <row r="56" spans="1:7" ht="25">
      <c r="A56" s="209" t="s">
        <v>435</v>
      </c>
      <c r="B56" s="210" t="s">
        <v>1315</v>
      </c>
      <c r="C56" s="211" t="s">
        <v>436</v>
      </c>
      <c r="D56" s="209"/>
      <c r="E56" s="212">
        <v>0</v>
      </c>
      <c r="F56" s="212">
        <v>0</v>
      </c>
    </row>
    <row r="57" spans="1:7" s="67" customFormat="1" ht="25">
      <c r="A57" s="209" t="s">
        <v>389</v>
      </c>
      <c r="B57" s="213" t="s">
        <v>1316</v>
      </c>
      <c r="C57" s="214" t="s">
        <v>437</v>
      </c>
      <c r="D57" s="209"/>
      <c r="E57" s="212">
        <v>0</v>
      </c>
      <c r="F57" s="212">
        <v>0</v>
      </c>
      <c r="G57" s="66"/>
    </row>
    <row r="58" spans="1:7" ht="25">
      <c r="A58" s="209" t="s">
        <v>389</v>
      </c>
      <c r="B58" s="213" t="s">
        <v>1317</v>
      </c>
      <c r="C58" s="214" t="s">
        <v>438</v>
      </c>
      <c r="D58" s="209"/>
      <c r="E58" s="212">
        <v>0</v>
      </c>
      <c r="F58" s="212">
        <v>0</v>
      </c>
    </row>
    <row r="59" spans="1:7" ht="25">
      <c r="A59" s="209" t="s">
        <v>389</v>
      </c>
      <c r="B59" s="213" t="s">
        <v>1318</v>
      </c>
      <c r="C59" s="214" t="s">
        <v>439</v>
      </c>
      <c r="D59" s="209"/>
      <c r="E59" s="212">
        <v>0</v>
      </c>
      <c r="F59" s="212">
        <v>0</v>
      </c>
    </row>
    <row r="60" spans="1:7" ht="25">
      <c r="A60" s="209" t="s">
        <v>440</v>
      </c>
      <c r="B60" s="210" t="s">
        <v>1319</v>
      </c>
      <c r="C60" s="211" t="s">
        <v>441</v>
      </c>
      <c r="D60" s="209"/>
      <c r="E60" s="212">
        <v>0</v>
      </c>
      <c r="F60" s="212">
        <v>0</v>
      </c>
    </row>
    <row r="61" spans="1:7" ht="25">
      <c r="A61" s="13" t="s">
        <v>389</v>
      </c>
      <c r="B61" s="207" t="s">
        <v>1320</v>
      </c>
      <c r="C61" s="208" t="s">
        <v>442</v>
      </c>
      <c r="D61" s="20"/>
      <c r="E61" s="20">
        <v>1368002836398</v>
      </c>
      <c r="F61" s="20">
        <v>1196819728842</v>
      </c>
    </row>
    <row r="62" spans="1:7" ht="25">
      <c r="A62" s="13" t="s">
        <v>22</v>
      </c>
      <c r="B62" s="207" t="s">
        <v>1321</v>
      </c>
      <c r="C62" s="208" t="s">
        <v>22</v>
      </c>
      <c r="D62" s="20"/>
      <c r="E62" s="20"/>
      <c r="F62" s="20"/>
    </row>
    <row r="63" spans="1:7" ht="25">
      <c r="A63" s="209" t="s">
        <v>385</v>
      </c>
      <c r="B63" s="210" t="s">
        <v>1322</v>
      </c>
      <c r="C63" s="211" t="s">
        <v>443</v>
      </c>
      <c r="D63" s="209"/>
      <c r="E63" s="212">
        <v>0</v>
      </c>
      <c r="F63" s="212">
        <v>0</v>
      </c>
    </row>
    <row r="64" spans="1:7" ht="25">
      <c r="A64" s="209" t="s">
        <v>389</v>
      </c>
      <c r="B64" s="213" t="s">
        <v>1323</v>
      </c>
      <c r="C64" s="214" t="s">
        <v>444</v>
      </c>
      <c r="D64" s="209"/>
      <c r="E64" s="212">
        <v>0</v>
      </c>
      <c r="F64" s="212">
        <v>0</v>
      </c>
    </row>
    <row r="65" spans="1:6" ht="25">
      <c r="A65" s="209" t="s">
        <v>389</v>
      </c>
      <c r="B65" s="213" t="s">
        <v>1324</v>
      </c>
      <c r="C65" s="214" t="s">
        <v>445</v>
      </c>
      <c r="D65" s="209"/>
      <c r="E65" s="212">
        <v>0</v>
      </c>
      <c r="F65" s="212">
        <v>0</v>
      </c>
    </row>
    <row r="66" spans="1:6" ht="25">
      <c r="A66" s="209" t="s">
        <v>396</v>
      </c>
      <c r="B66" s="210" t="s">
        <v>1325</v>
      </c>
      <c r="C66" s="211" t="s">
        <v>446</v>
      </c>
      <c r="D66" s="209"/>
      <c r="E66" s="212">
        <v>0</v>
      </c>
      <c r="F66" s="212">
        <v>0</v>
      </c>
    </row>
    <row r="67" spans="1:6" ht="25">
      <c r="A67" s="209" t="s">
        <v>412</v>
      </c>
      <c r="B67" s="210" t="s">
        <v>1326</v>
      </c>
      <c r="C67" s="211" t="s">
        <v>447</v>
      </c>
      <c r="D67" s="209"/>
      <c r="E67" s="212">
        <v>0</v>
      </c>
      <c r="F67" s="212">
        <v>0</v>
      </c>
    </row>
    <row r="68" spans="1:6" ht="25">
      <c r="A68" s="209" t="s">
        <v>389</v>
      </c>
      <c r="B68" s="213" t="s">
        <v>1327</v>
      </c>
      <c r="C68" s="214" t="s">
        <v>448</v>
      </c>
      <c r="D68" s="209"/>
      <c r="E68" s="212">
        <v>0</v>
      </c>
      <c r="F68" s="212">
        <v>0</v>
      </c>
    </row>
    <row r="69" spans="1:6" ht="25">
      <c r="A69" s="209" t="s">
        <v>389</v>
      </c>
      <c r="B69" s="213" t="s">
        <v>1328</v>
      </c>
      <c r="C69" s="214" t="s">
        <v>449</v>
      </c>
      <c r="D69" s="209"/>
      <c r="E69" s="212">
        <v>0</v>
      </c>
      <c r="F69" s="212">
        <v>0</v>
      </c>
    </row>
    <row r="70" spans="1:6" ht="25">
      <c r="A70" s="209" t="s">
        <v>450</v>
      </c>
      <c r="B70" s="210" t="s">
        <v>1329</v>
      </c>
      <c r="C70" s="211" t="s">
        <v>451</v>
      </c>
      <c r="D70" s="209"/>
      <c r="E70" s="212">
        <v>1157467393</v>
      </c>
      <c r="F70" s="212">
        <v>642183967</v>
      </c>
    </row>
    <row r="71" spans="1:6" ht="25">
      <c r="A71" s="209" t="s">
        <v>452</v>
      </c>
      <c r="B71" s="210" t="s">
        <v>1330</v>
      </c>
      <c r="C71" s="211" t="s">
        <v>453</v>
      </c>
      <c r="D71" s="209"/>
      <c r="E71" s="212">
        <v>0</v>
      </c>
      <c r="F71" s="212">
        <v>0</v>
      </c>
    </row>
    <row r="72" spans="1:6" ht="25">
      <c r="A72" s="209" t="s">
        <v>454</v>
      </c>
      <c r="B72" s="210" t="s">
        <v>1331</v>
      </c>
      <c r="C72" s="211" t="s">
        <v>455</v>
      </c>
      <c r="D72" s="209"/>
      <c r="E72" s="212">
        <v>175257874</v>
      </c>
      <c r="F72" s="212">
        <v>121635651</v>
      </c>
    </row>
    <row r="73" spans="1:6" ht="25">
      <c r="A73" s="209" t="s">
        <v>389</v>
      </c>
      <c r="B73" s="213" t="s">
        <v>1332</v>
      </c>
      <c r="C73" s="214" t="s">
        <v>456</v>
      </c>
      <c r="D73" s="209"/>
      <c r="E73" s="212">
        <v>0</v>
      </c>
      <c r="F73" s="212">
        <v>0</v>
      </c>
    </row>
    <row r="74" spans="1:6" ht="25">
      <c r="A74" s="209" t="s">
        <v>389</v>
      </c>
      <c r="B74" s="213" t="s">
        <v>1333</v>
      </c>
      <c r="C74" s="214" t="s">
        <v>457</v>
      </c>
      <c r="D74" s="209"/>
      <c r="E74" s="212">
        <v>0</v>
      </c>
      <c r="F74" s="212">
        <v>0</v>
      </c>
    </row>
    <row r="75" spans="1:6" ht="25">
      <c r="A75" s="209" t="s">
        <v>389</v>
      </c>
      <c r="B75" s="213" t="s">
        <v>1334</v>
      </c>
      <c r="C75" s="214" t="s">
        <v>458</v>
      </c>
      <c r="D75" s="209"/>
      <c r="E75" s="212">
        <v>0</v>
      </c>
      <c r="F75" s="212">
        <v>0</v>
      </c>
    </row>
    <row r="76" spans="1:6" ht="25">
      <c r="A76" s="209" t="s">
        <v>389</v>
      </c>
      <c r="B76" s="213" t="s">
        <v>1335</v>
      </c>
      <c r="C76" s="214" t="s">
        <v>459</v>
      </c>
      <c r="D76" s="209"/>
      <c r="E76" s="212">
        <v>78400000</v>
      </c>
      <c r="F76" s="212">
        <v>68320000</v>
      </c>
    </row>
    <row r="77" spans="1:6" ht="25">
      <c r="A77" s="209" t="s">
        <v>389</v>
      </c>
      <c r="B77" s="213" t="s">
        <v>1336</v>
      </c>
      <c r="C77" s="214" t="s">
        <v>460</v>
      </c>
      <c r="D77" s="209"/>
      <c r="E77" s="212">
        <v>84857874</v>
      </c>
      <c r="F77" s="212">
        <v>41315651</v>
      </c>
    </row>
    <row r="78" spans="1:6" ht="25">
      <c r="A78" s="209" t="s">
        <v>389</v>
      </c>
      <c r="B78" s="213" t="s">
        <v>1337</v>
      </c>
      <c r="C78" s="214" t="s">
        <v>461</v>
      </c>
      <c r="D78" s="209"/>
      <c r="E78" s="212">
        <v>0</v>
      </c>
      <c r="F78" s="212">
        <v>0</v>
      </c>
    </row>
    <row r="79" spans="1:6" ht="25">
      <c r="A79" s="209" t="s">
        <v>389</v>
      </c>
      <c r="B79" s="213" t="s">
        <v>1338</v>
      </c>
      <c r="C79" s="214" t="s">
        <v>462</v>
      </c>
      <c r="D79" s="209"/>
      <c r="E79" s="212">
        <v>12000000</v>
      </c>
      <c r="F79" s="212">
        <v>12000000</v>
      </c>
    </row>
    <row r="80" spans="1:6" ht="25">
      <c r="A80" s="209" t="s">
        <v>389</v>
      </c>
      <c r="B80" s="213" t="s">
        <v>1339</v>
      </c>
      <c r="C80" s="214" t="s">
        <v>463</v>
      </c>
      <c r="D80" s="209"/>
      <c r="E80" s="212">
        <v>0</v>
      </c>
      <c r="F80" s="212">
        <v>0</v>
      </c>
    </row>
    <row r="81" spans="1:6" ht="25">
      <c r="A81" s="209" t="s">
        <v>389</v>
      </c>
      <c r="B81" s="213" t="s">
        <v>1340</v>
      </c>
      <c r="C81" s="214" t="s">
        <v>464</v>
      </c>
      <c r="D81" s="209"/>
      <c r="E81" s="212">
        <v>0</v>
      </c>
      <c r="F81" s="212">
        <v>0</v>
      </c>
    </row>
    <row r="82" spans="1:6" ht="25">
      <c r="A82" s="209" t="s">
        <v>465</v>
      </c>
      <c r="B82" s="210" t="s">
        <v>1341</v>
      </c>
      <c r="C82" s="211" t="s">
        <v>466</v>
      </c>
      <c r="D82" s="209"/>
      <c r="E82" s="212">
        <v>21527465725</v>
      </c>
      <c r="F82" s="212">
        <v>15719104214</v>
      </c>
    </row>
    <row r="83" spans="1:6" ht="25">
      <c r="A83" s="209" t="s">
        <v>389</v>
      </c>
      <c r="B83" s="213" t="s">
        <v>1342</v>
      </c>
      <c r="C83" s="214" t="s">
        <v>467</v>
      </c>
      <c r="D83" s="209"/>
      <c r="E83" s="212">
        <v>21527465725</v>
      </c>
      <c r="F83" s="212">
        <v>15719104214</v>
      </c>
    </row>
    <row r="84" spans="1:6" ht="25">
      <c r="A84" s="209" t="s">
        <v>389</v>
      </c>
      <c r="B84" s="213" t="s">
        <v>1343</v>
      </c>
      <c r="C84" s="214" t="s">
        <v>468</v>
      </c>
      <c r="D84" s="209"/>
      <c r="E84" s="212">
        <v>0</v>
      </c>
      <c r="F84" s="212">
        <v>0</v>
      </c>
    </row>
    <row r="85" spans="1:6" ht="25">
      <c r="A85" s="209" t="s">
        <v>469</v>
      </c>
      <c r="B85" s="210" t="s">
        <v>1344</v>
      </c>
      <c r="C85" s="211" t="s">
        <v>470</v>
      </c>
      <c r="D85" s="209"/>
      <c r="E85" s="212">
        <v>821711488</v>
      </c>
      <c r="F85" s="212">
        <v>700928</v>
      </c>
    </row>
    <row r="86" spans="1:6" ht="25">
      <c r="A86" s="209" t="s">
        <v>471</v>
      </c>
      <c r="B86" s="210" t="s">
        <v>1345</v>
      </c>
      <c r="C86" s="211" t="s">
        <v>472</v>
      </c>
      <c r="D86" s="209"/>
      <c r="E86" s="212">
        <v>1943334066</v>
      </c>
      <c r="F86" s="212">
        <v>1209093310</v>
      </c>
    </row>
    <row r="87" spans="1:6" ht="25">
      <c r="A87" s="209" t="s">
        <v>389</v>
      </c>
      <c r="B87" s="213" t="s">
        <v>1346</v>
      </c>
      <c r="C87" s="214" t="s">
        <v>473</v>
      </c>
      <c r="D87" s="209"/>
      <c r="E87" s="212">
        <v>1743919278</v>
      </c>
      <c r="F87" s="212">
        <v>1074647304</v>
      </c>
    </row>
    <row r="88" spans="1:6" ht="25">
      <c r="A88" s="209" t="s">
        <v>389</v>
      </c>
      <c r="B88" s="213" t="s">
        <v>1347</v>
      </c>
      <c r="C88" s="214" t="s">
        <v>474</v>
      </c>
      <c r="D88" s="209"/>
      <c r="E88" s="212">
        <v>74313304</v>
      </c>
      <c r="F88" s="212">
        <v>45826971</v>
      </c>
    </row>
    <row r="89" spans="1:6" ht="25">
      <c r="A89" s="209" t="s">
        <v>389</v>
      </c>
      <c r="B89" s="213" t="s">
        <v>1348</v>
      </c>
      <c r="C89" s="214" t="s">
        <v>475</v>
      </c>
      <c r="D89" s="209"/>
      <c r="E89" s="212">
        <v>72663304</v>
      </c>
      <c r="F89" s="212">
        <v>44776971</v>
      </c>
    </row>
    <row r="90" spans="1:6" ht="25">
      <c r="A90" s="209" t="s">
        <v>389</v>
      </c>
      <c r="B90" s="213" t="s">
        <v>1349</v>
      </c>
      <c r="C90" s="214" t="s">
        <v>476</v>
      </c>
      <c r="D90" s="209"/>
      <c r="E90" s="212">
        <v>1200000</v>
      </c>
      <c r="F90" s="212">
        <v>600000</v>
      </c>
    </row>
    <row r="91" spans="1:6" ht="25">
      <c r="A91" s="209" t="s">
        <v>389</v>
      </c>
      <c r="B91" s="213" t="s">
        <v>1350</v>
      </c>
      <c r="C91" s="214" t="s">
        <v>477</v>
      </c>
      <c r="D91" s="209"/>
      <c r="E91" s="212">
        <v>450000</v>
      </c>
      <c r="F91" s="212">
        <v>450000</v>
      </c>
    </row>
    <row r="92" spans="1:6" ht="25">
      <c r="A92" s="209" t="s">
        <v>389</v>
      </c>
      <c r="B92" s="213" t="s">
        <v>1351</v>
      </c>
      <c r="C92" s="214" t="s">
        <v>478</v>
      </c>
      <c r="D92" s="209"/>
      <c r="E92" s="212">
        <v>63943705</v>
      </c>
      <c r="F92" s="212">
        <v>45866235</v>
      </c>
    </row>
    <row r="93" spans="1:6" ht="25">
      <c r="A93" s="209" t="s">
        <v>389</v>
      </c>
      <c r="B93" s="213" t="s">
        <v>1352</v>
      </c>
      <c r="C93" s="214" t="s">
        <v>479</v>
      </c>
      <c r="D93" s="209"/>
      <c r="E93" s="212">
        <v>47957779</v>
      </c>
      <c r="F93" s="212">
        <v>29552800</v>
      </c>
    </row>
    <row r="94" spans="1:6" ht="25">
      <c r="A94" s="209" t="s">
        <v>389</v>
      </c>
      <c r="B94" s="213" t="s">
        <v>1353</v>
      </c>
      <c r="C94" s="214" t="s">
        <v>480</v>
      </c>
      <c r="D94" s="209"/>
      <c r="E94" s="212">
        <v>13200000</v>
      </c>
      <c r="F94" s="212">
        <v>13200000</v>
      </c>
    </row>
    <row r="95" spans="1:6" ht="25">
      <c r="A95" s="209" t="s">
        <v>389</v>
      </c>
      <c r="B95" s="213" t="s">
        <v>1354</v>
      </c>
      <c r="C95" s="214" t="s">
        <v>481</v>
      </c>
      <c r="D95" s="209"/>
      <c r="E95" s="212">
        <v>0</v>
      </c>
      <c r="F95" s="212">
        <v>0</v>
      </c>
    </row>
    <row r="96" spans="1:6" ht="25">
      <c r="A96" s="209" t="s">
        <v>389</v>
      </c>
      <c r="B96" s="213" t="s">
        <v>1355</v>
      </c>
      <c r="C96" s="214" t="s">
        <v>482</v>
      </c>
      <c r="D96" s="209"/>
      <c r="E96" s="212">
        <v>0</v>
      </c>
      <c r="F96" s="212">
        <v>0</v>
      </c>
    </row>
    <row r="97" spans="1:6" ht="25">
      <c r="A97" s="209" t="s">
        <v>181</v>
      </c>
      <c r="B97" s="210" t="s">
        <v>1356</v>
      </c>
      <c r="C97" s="211" t="s">
        <v>483</v>
      </c>
      <c r="D97" s="209"/>
      <c r="E97" s="212">
        <v>35250000</v>
      </c>
      <c r="F97" s="212">
        <v>35250000</v>
      </c>
    </row>
    <row r="98" spans="1:6" ht="25">
      <c r="A98" s="209" t="s">
        <v>389</v>
      </c>
      <c r="B98" s="213" t="s">
        <v>1357</v>
      </c>
      <c r="C98" s="214" t="s">
        <v>484</v>
      </c>
      <c r="D98" s="209"/>
      <c r="E98" s="212">
        <v>35250000</v>
      </c>
      <c r="F98" s="212">
        <v>35250000</v>
      </c>
    </row>
    <row r="99" spans="1:6" ht="25">
      <c r="A99" s="209" t="s">
        <v>389</v>
      </c>
      <c r="B99" s="213" t="s">
        <v>1358</v>
      </c>
      <c r="C99" s="214" t="s">
        <v>485</v>
      </c>
      <c r="D99" s="209"/>
      <c r="E99" s="212">
        <v>0</v>
      </c>
      <c r="F99" s="212">
        <v>0</v>
      </c>
    </row>
    <row r="100" spans="1:6" ht="25">
      <c r="A100" s="209" t="s">
        <v>389</v>
      </c>
      <c r="B100" s="213" t="s">
        <v>1359</v>
      </c>
      <c r="C100" s="214" t="s">
        <v>486</v>
      </c>
      <c r="D100" s="209"/>
      <c r="E100" s="212">
        <v>0</v>
      </c>
      <c r="F100" s="212">
        <v>0</v>
      </c>
    </row>
    <row r="101" spans="1:6" ht="25">
      <c r="A101" s="209" t="s">
        <v>389</v>
      </c>
      <c r="B101" s="213" t="s">
        <v>1360</v>
      </c>
      <c r="C101" s="214" t="s">
        <v>487</v>
      </c>
      <c r="D101" s="209"/>
      <c r="E101" s="212">
        <v>0</v>
      </c>
      <c r="F101" s="212">
        <v>0</v>
      </c>
    </row>
    <row r="102" spans="1:6" ht="25">
      <c r="A102" s="209" t="s">
        <v>389</v>
      </c>
      <c r="B102" s="213" t="s">
        <v>1361</v>
      </c>
      <c r="C102" s="214" t="s">
        <v>488</v>
      </c>
      <c r="D102" s="209"/>
      <c r="E102" s="212">
        <v>0</v>
      </c>
      <c r="F102" s="212">
        <v>0</v>
      </c>
    </row>
    <row r="103" spans="1:6" ht="25">
      <c r="A103" s="13" t="s">
        <v>389</v>
      </c>
      <c r="B103" s="207" t="s">
        <v>1362</v>
      </c>
      <c r="C103" s="208" t="s">
        <v>489</v>
      </c>
      <c r="D103" s="20"/>
      <c r="E103" s="20">
        <v>25660486546</v>
      </c>
      <c r="F103" s="20">
        <v>17727968070</v>
      </c>
    </row>
    <row r="104" spans="1:6" ht="37.5">
      <c r="A104" s="13" t="s">
        <v>28</v>
      </c>
      <c r="B104" s="207" t="s">
        <v>1363</v>
      </c>
      <c r="C104" s="208" t="s">
        <v>490</v>
      </c>
      <c r="D104" s="20"/>
      <c r="E104" s="20">
        <v>1342342349852</v>
      </c>
      <c r="F104" s="20">
        <v>1179091760772</v>
      </c>
    </row>
    <row r="105" spans="1:6" ht="25">
      <c r="A105" s="209" t="s">
        <v>385</v>
      </c>
      <c r="B105" s="210" t="s">
        <v>1364</v>
      </c>
      <c r="C105" s="211" t="s">
        <v>491</v>
      </c>
      <c r="D105" s="209"/>
      <c r="E105" s="212">
        <v>1131494409400</v>
      </c>
      <c r="F105" s="212">
        <v>1049235427900</v>
      </c>
    </row>
    <row r="106" spans="1:6" ht="25">
      <c r="A106" s="209" t="s">
        <v>387</v>
      </c>
      <c r="B106" s="210" t="s">
        <v>1365</v>
      </c>
      <c r="C106" s="211" t="s">
        <v>492</v>
      </c>
      <c r="D106" s="209"/>
      <c r="E106" s="212">
        <v>18115801915900</v>
      </c>
      <c r="F106" s="212">
        <v>10633843689000</v>
      </c>
    </row>
    <row r="107" spans="1:6" ht="25">
      <c r="A107" s="209" t="s">
        <v>394</v>
      </c>
      <c r="B107" s="210" t="s">
        <v>1366</v>
      </c>
      <c r="C107" s="211" t="s">
        <v>493</v>
      </c>
      <c r="D107" s="209"/>
      <c r="E107" s="212">
        <v>-16984307506500</v>
      </c>
      <c r="F107" s="212">
        <v>-9584608261100</v>
      </c>
    </row>
    <row r="108" spans="1:6" ht="25">
      <c r="A108" s="209" t="s">
        <v>396</v>
      </c>
      <c r="B108" s="210" t="s">
        <v>1367</v>
      </c>
      <c r="C108" s="211" t="s">
        <v>494</v>
      </c>
      <c r="D108" s="209"/>
      <c r="E108" s="212">
        <v>-13398415760</v>
      </c>
      <c r="F108" s="212">
        <v>-11889912879</v>
      </c>
    </row>
    <row r="109" spans="1:6" ht="25">
      <c r="A109" s="209" t="s">
        <v>412</v>
      </c>
      <c r="B109" s="210" t="s">
        <v>1368</v>
      </c>
      <c r="C109" s="211" t="s">
        <v>495</v>
      </c>
      <c r="D109" s="209"/>
      <c r="E109" s="212">
        <v>224246356212</v>
      </c>
      <c r="F109" s="212">
        <v>141746245751</v>
      </c>
    </row>
    <row r="110" spans="1:6" ht="25">
      <c r="A110" s="209" t="s">
        <v>414</v>
      </c>
      <c r="B110" s="210" t="s">
        <v>1369</v>
      </c>
      <c r="C110" s="211" t="s">
        <v>496</v>
      </c>
      <c r="D110" s="209"/>
      <c r="E110" s="212">
        <v>141746245751</v>
      </c>
      <c r="F110" s="212">
        <v>55195577300</v>
      </c>
    </row>
    <row r="111" spans="1:6" ht="25">
      <c r="A111" s="209" t="s">
        <v>417</v>
      </c>
      <c r="B111" s="210" t="s">
        <v>1370</v>
      </c>
      <c r="C111" s="211" t="s">
        <v>497</v>
      </c>
      <c r="D111" s="209"/>
      <c r="E111" s="212">
        <v>82500110461</v>
      </c>
      <c r="F111" s="212">
        <v>86550668451</v>
      </c>
    </row>
    <row r="112" spans="1:6" ht="25">
      <c r="A112" s="13" t="s">
        <v>29</v>
      </c>
      <c r="B112" s="207" t="s">
        <v>1371</v>
      </c>
      <c r="C112" s="208" t="s">
        <v>498</v>
      </c>
      <c r="D112" s="20"/>
      <c r="E112" s="68">
        <v>11863.44</v>
      </c>
      <c r="F112" s="68">
        <v>11237.62</v>
      </c>
    </row>
    <row r="113" spans="1:7" ht="25">
      <c r="A113" s="13" t="s">
        <v>30</v>
      </c>
      <c r="B113" s="207" t="s">
        <v>1372</v>
      </c>
      <c r="C113" s="208" t="s">
        <v>499</v>
      </c>
      <c r="D113" s="20"/>
      <c r="E113" s="20">
        <v>0</v>
      </c>
      <c r="F113" s="20">
        <v>0</v>
      </c>
    </row>
    <row r="114" spans="1:7" ht="25">
      <c r="A114" s="209" t="s">
        <v>385</v>
      </c>
      <c r="B114" s="210" t="s">
        <v>1373</v>
      </c>
      <c r="C114" s="211" t="s">
        <v>500</v>
      </c>
      <c r="D114" s="209"/>
      <c r="E114" s="212">
        <v>0</v>
      </c>
      <c r="F114" s="212">
        <v>0</v>
      </c>
    </row>
    <row r="115" spans="1:7" ht="25">
      <c r="A115" s="209" t="s">
        <v>396</v>
      </c>
      <c r="B115" s="210" t="s">
        <v>1374</v>
      </c>
      <c r="C115" s="211" t="s">
        <v>501</v>
      </c>
      <c r="D115" s="209"/>
      <c r="E115" s="212">
        <v>0</v>
      </c>
      <c r="F115" s="212">
        <v>0</v>
      </c>
    </row>
    <row r="116" spans="1:7" ht="25">
      <c r="A116" s="13" t="s">
        <v>31</v>
      </c>
      <c r="B116" s="207" t="s">
        <v>1375</v>
      </c>
      <c r="C116" s="208" t="s">
        <v>31</v>
      </c>
      <c r="D116" s="20"/>
      <c r="E116" s="20"/>
      <c r="F116" s="20"/>
    </row>
    <row r="117" spans="1:7" ht="25">
      <c r="A117" s="209" t="s">
        <v>385</v>
      </c>
      <c r="B117" s="210" t="s">
        <v>1376</v>
      </c>
      <c r="C117" s="211" t="s">
        <v>502</v>
      </c>
      <c r="D117" s="209"/>
      <c r="E117" s="212">
        <v>0</v>
      </c>
      <c r="F117" s="212">
        <v>0</v>
      </c>
    </row>
    <row r="118" spans="1:7" ht="25">
      <c r="A118" s="209" t="s">
        <v>396</v>
      </c>
      <c r="B118" s="210" t="s">
        <v>1377</v>
      </c>
      <c r="C118" s="211" t="s">
        <v>503</v>
      </c>
      <c r="D118" s="209"/>
      <c r="E118" s="212">
        <v>0</v>
      </c>
      <c r="F118" s="212">
        <v>0</v>
      </c>
    </row>
    <row r="119" spans="1:7" ht="25">
      <c r="A119" s="209" t="s">
        <v>412</v>
      </c>
      <c r="B119" s="210" t="s">
        <v>1378</v>
      </c>
      <c r="C119" s="211" t="s">
        <v>504</v>
      </c>
      <c r="D119" s="209"/>
      <c r="E119" s="212">
        <v>0</v>
      </c>
      <c r="F119" s="212">
        <v>0</v>
      </c>
    </row>
    <row r="120" spans="1:7" ht="25">
      <c r="A120" s="215" t="s">
        <v>450</v>
      </c>
      <c r="B120" s="216" t="s">
        <v>1379</v>
      </c>
      <c r="C120" s="211" t="s">
        <v>505</v>
      </c>
      <c r="D120" s="215"/>
      <c r="E120" s="217">
        <v>113149440.94</v>
      </c>
      <c r="F120" s="217">
        <v>104923542.79000001</v>
      </c>
    </row>
    <row r="121" spans="1:7" s="3" customFormat="1" ht="13">
      <c r="A121" s="12"/>
      <c r="B121" s="12"/>
      <c r="C121" s="12"/>
      <c r="D121" s="12"/>
      <c r="E121" s="12"/>
      <c r="F121" s="12"/>
      <c r="G121" s="2"/>
    </row>
    <row r="123" spans="1:7" ht="16.899999999999999" customHeight="1">
      <c r="A123" s="276" t="s">
        <v>247</v>
      </c>
      <c r="B123" s="276"/>
      <c r="C123" s="276" t="s">
        <v>248</v>
      </c>
      <c r="D123" s="276"/>
      <c r="E123" s="276"/>
      <c r="F123" s="276"/>
    </row>
    <row r="136" spans="1:6">
      <c r="A136" s="275" t="s">
        <v>511</v>
      </c>
      <c r="B136" s="275"/>
      <c r="C136" s="275" t="s">
        <v>512</v>
      </c>
      <c r="D136" s="275"/>
      <c r="E136" s="275"/>
      <c r="F136" s="12" t="s">
        <v>513</v>
      </c>
    </row>
    <row r="137" spans="1:6" ht="16.899999999999999" customHeight="1">
      <c r="A137" s="276" t="s">
        <v>1408</v>
      </c>
      <c r="B137" s="276"/>
      <c r="C137" s="276" t="s">
        <v>1409</v>
      </c>
      <c r="D137" s="276"/>
      <c r="E137" s="276"/>
      <c r="F137" s="171" t="s">
        <v>1400</v>
      </c>
    </row>
    <row r="138" spans="1:6" ht="16.899999999999999" customHeight="1">
      <c r="A138" s="275" t="s">
        <v>1410</v>
      </c>
      <c r="B138" s="275"/>
      <c r="C138" s="275" t="s">
        <v>1411</v>
      </c>
      <c r="D138" s="275"/>
      <c r="E138" s="275"/>
      <c r="F138" s="172" t="s">
        <v>1402</v>
      </c>
    </row>
  </sheetData>
  <mergeCells count="20">
    <mergeCell ref="C14:F14"/>
    <mergeCell ref="A1:F1"/>
    <mergeCell ref="A2:F2"/>
    <mergeCell ref="A3:F3"/>
    <mergeCell ref="A5:F5"/>
    <mergeCell ref="C7:F7"/>
    <mergeCell ref="C8:F8"/>
    <mergeCell ref="C9:F9"/>
    <mergeCell ref="C10:F10"/>
    <mergeCell ref="C11:F11"/>
    <mergeCell ref="C12:F12"/>
    <mergeCell ref="C13:F13"/>
    <mergeCell ref="A138:B138"/>
    <mergeCell ref="C138:E138"/>
    <mergeCell ref="A123:B123"/>
    <mergeCell ref="C123:F123"/>
    <mergeCell ref="A136:B136"/>
    <mergeCell ref="C136:E136"/>
    <mergeCell ref="A137:B137"/>
    <mergeCell ref="C137:E137"/>
  </mergeCells>
  <printOptions horizontalCentered="1"/>
  <pageMargins left="0.3" right="0.3" top="0.75" bottom="0.75" header="0.3" footer="0.3"/>
  <pageSetup paperSize="9" scale="53" fitToHeight="0" orientation="portrait" r:id="rId1"/>
  <headerFooter>
    <oddHeader>&amp;L&amp;"Arial"&amp;9&amp;KA80000CONFIDENTIAL&amp;1#</oddHeader>
  </headerFooter>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G41"/>
  <sheetViews>
    <sheetView view="pageBreakPreview" zoomScale="95" zoomScaleNormal="100" zoomScaleSheetLayoutView="95" workbookViewId="0">
      <selection sqref="A1:F1"/>
    </sheetView>
  </sheetViews>
  <sheetFormatPr defaultColWidth="8.7265625" defaultRowHeight="58.5" customHeight="1"/>
  <cols>
    <col min="1" max="1" width="8.7265625" style="12"/>
    <col min="2" max="2" width="6.453125" style="12" customWidth="1"/>
    <col min="3" max="3" width="51.7265625" style="12" customWidth="1"/>
    <col min="4" max="4" width="12.54296875" style="12" customWidth="1"/>
    <col min="5" max="6" width="34" style="12" customWidth="1"/>
    <col min="7" max="16384" width="8.7265625" style="27"/>
  </cols>
  <sheetData>
    <row r="1" spans="1:7" ht="66.75" customHeight="1">
      <c r="A1" s="265" t="s">
        <v>600</v>
      </c>
      <c r="B1" s="265"/>
      <c r="C1" s="265"/>
      <c r="D1" s="265"/>
      <c r="E1" s="265"/>
      <c r="F1" s="265"/>
      <c r="G1" s="32"/>
    </row>
    <row r="2" spans="1:7" ht="69.75" customHeight="1">
      <c r="A2" s="266" t="s">
        <v>601</v>
      </c>
      <c r="B2" s="266"/>
      <c r="C2" s="266"/>
      <c r="D2" s="266"/>
      <c r="E2" s="266"/>
      <c r="F2" s="266"/>
      <c r="G2" s="33"/>
    </row>
    <row r="3" spans="1:7" ht="58.5" customHeight="1">
      <c r="A3" s="267" t="s">
        <v>352</v>
      </c>
      <c r="B3" s="267"/>
      <c r="C3" s="267"/>
      <c r="D3" s="267"/>
      <c r="E3" s="267"/>
      <c r="F3" s="267"/>
      <c r="G3" s="32"/>
    </row>
    <row r="4" spans="1:7" ht="13">
      <c r="A4" s="267"/>
      <c r="B4" s="267"/>
      <c r="C4" s="267"/>
      <c r="D4" s="267"/>
      <c r="E4" s="267"/>
      <c r="F4" s="267"/>
      <c r="G4" s="32"/>
    </row>
    <row r="5" spans="1:7" ht="13">
      <c r="A5" s="268" t="s">
        <v>1392</v>
      </c>
      <c r="B5" s="268"/>
      <c r="C5" s="268"/>
      <c r="D5" s="268"/>
      <c r="E5" s="268"/>
      <c r="F5" s="268"/>
      <c r="G5" s="34"/>
    </row>
    <row r="6" spans="1:7" ht="12.5"/>
    <row r="7" spans="1:7" ht="12.5">
      <c r="A7" s="141" t="s">
        <v>2</v>
      </c>
      <c r="B7" s="171"/>
      <c r="D7" s="269" t="s">
        <v>1393</v>
      </c>
      <c r="E7" s="269"/>
      <c r="F7" s="269"/>
    </row>
    <row r="8" spans="1:7" ht="12.5">
      <c r="A8" s="12" t="s">
        <v>15</v>
      </c>
      <c r="B8" s="171"/>
      <c r="D8" s="264" t="s">
        <v>1394</v>
      </c>
      <c r="E8" s="264"/>
      <c r="F8" s="264"/>
    </row>
    <row r="9" spans="1:7" ht="12.5">
      <c r="A9" s="141" t="s">
        <v>3</v>
      </c>
      <c r="B9" s="171"/>
      <c r="D9" s="269" t="s">
        <v>1395</v>
      </c>
      <c r="E9" s="269"/>
      <c r="F9" s="269"/>
    </row>
    <row r="10" spans="1:7" ht="12.5">
      <c r="A10" s="12" t="s">
        <v>4</v>
      </c>
      <c r="B10" s="171"/>
      <c r="D10" s="264" t="s">
        <v>1396</v>
      </c>
      <c r="E10" s="264"/>
      <c r="F10" s="264"/>
    </row>
    <row r="11" spans="1:7" ht="12.5">
      <c r="A11" s="141" t="s">
        <v>5</v>
      </c>
      <c r="B11" s="171"/>
      <c r="D11" s="269" t="s">
        <v>1397</v>
      </c>
      <c r="E11" s="269"/>
      <c r="F11" s="269"/>
    </row>
    <row r="12" spans="1:7" ht="12.5">
      <c r="A12" s="12" t="s">
        <v>6</v>
      </c>
      <c r="B12" s="171"/>
      <c r="D12" s="264" t="s">
        <v>1398</v>
      </c>
      <c r="E12" s="264"/>
      <c r="F12" s="264"/>
    </row>
    <row r="13" spans="1:7" ht="12.5">
      <c r="A13" s="141" t="s">
        <v>7</v>
      </c>
      <c r="B13" s="171"/>
      <c r="D13" s="269" t="s">
        <v>1420</v>
      </c>
      <c r="E13" s="269"/>
      <c r="F13" s="269"/>
    </row>
    <row r="14" spans="1:7" ht="12.5">
      <c r="A14" s="12" t="s">
        <v>8</v>
      </c>
      <c r="D14" s="263" t="s">
        <v>1421</v>
      </c>
      <c r="E14" s="264"/>
      <c r="F14" s="264"/>
    </row>
    <row r="15" spans="1:7" ht="12.5"/>
    <row r="16" spans="1:7" ht="12.5"/>
    <row r="17" spans="1:6" ht="12.5">
      <c r="A17" s="17"/>
      <c r="B17" s="17"/>
      <c r="C17" s="18"/>
    </row>
    <row r="18" spans="1:6" ht="58.5" customHeight="1">
      <c r="A18" s="278" t="s">
        <v>17</v>
      </c>
      <c r="B18" s="279"/>
      <c r="C18" s="28" t="s">
        <v>353</v>
      </c>
      <c r="D18" s="28" t="s">
        <v>168</v>
      </c>
      <c r="E18" s="28" t="s">
        <v>1405</v>
      </c>
      <c r="F18" s="28" t="s">
        <v>1406</v>
      </c>
    </row>
    <row r="19" spans="1:6" s="3" customFormat="1" ht="25">
      <c r="A19" s="35" t="s">
        <v>16</v>
      </c>
      <c r="B19" s="35"/>
      <c r="C19" s="39" t="s">
        <v>149</v>
      </c>
      <c r="D19" s="40" t="s">
        <v>150</v>
      </c>
      <c r="E19" s="228">
        <v>1179091760772</v>
      </c>
      <c r="F19" s="228">
        <v>1579769018172</v>
      </c>
    </row>
    <row r="20" spans="1:6" s="3" customFormat="1" ht="50">
      <c r="A20" s="35" t="s">
        <v>22</v>
      </c>
      <c r="B20" s="35"/>
      <c r="C20" s="39" t="s">
        <v>151</v>
      </c>
      <c r="D20" s="40" t="s">
        <v>152</v>
      </c>
      <c r="E20" s="228">
        <v>82500110461</v>
      </c>
      <c r="F20" s="228">
        <v>86550668451</v>
      </c>
    </row>
    <row r="21" spans="1:6" ht="50">
      <c r="A21" s="280"/>
      <c r="B21" s="37" t="s">
        <v>23</v>
      </c>
      <c r="C21" s="41" t="s">
        <v>153</v>
      </c>
      <c r="D21" s="42" t="s">
        <v>154</v>
      </c>
      <c r="E21" s="43">
        <v>82500110461</v>
      </c>
      <c r="F21" s="43">
        <v>86550668451</v>
      </c>
    </row>
    <row r="22" spans="1:6" ht="50">
      <c r="A22" s="281"/>
      <c r="B22" s="37" t="s">
        <v>24</v>
      </c>
      <c r="C22" s="41" t="s">
        <v>311</v>
      </c>
      <c r="D22" s="42" t="s">
        <v>155</v>
      </c>
      <c r="E22" s="43">
        <v>0</v>
      </c>
      <c r="F22" s="43">
        <v>0</v>
      </c>
    </row>
    <row r="23" spans="1:6" s="3" customFormat="1" ht="50">
      <c r="A23" s="35" t="s">
        <v>28</v>
      </c>
      <c r="B23" s="35"/>
      <c r="C23" s="39" t="s">
        <v>156</v>
      </c>
      <c r="D23" s="40" t="s">
        <v>157</v>
      </c>
      <c r="E23" s="228">
        <v>80750478619</v>
      </c>
      <c r="F23" s="228">
        <v>-487227925851</v>
      </c>
    </row>
    <row r="24" spans="1:6" ht="25">
      <c r="A24" s="280"/>
      <c r="B24" s="37" t="s">
        <v>158</v>
      </c>
      <c r="C24" s="41" t="s">
        <v>159</v>
      </c>
      <c r="D24" s="42" t="s">
        <v>160</v>
      </c>
      <c r="E24" s="43">
        <v>8647931461940</v>
      </c>
      <c r="F24" s="43">
        <v>7836835428322</v>
      </c>
    </row>
    <row r="25" spans="1:6" ht="25">
      <c r="A25" s="281"/>
      <c r="B25" s="37" t="s">
        <v>161</v>
      </c>
      <c r="C25" s="41" t="s">
        <v>162</v>
      </c>
      <c r="D25" s="42" t="s">
        <v>163</v>
      </c>
      <c r="E25" s="43">
        <v>-8567180983321</v>
      </c>
      <c r="F25" s="43">
        <v>-8324063354173</v>
      </c>
    </row>
    <row r="26" spans="1:6" s="3" customFormat="1" ht="37.5">
      <c r="A26" s="35" t="s">
        <v>29</v>
      </c>
      <c r="B26" s="35"/>
      <c r="C26" s="39" t="s">
        <v>354</v>
      </c>
      <c r="D26" s="40" t="s">
        <v>164</v>
      </c>
      <c r="E26" s="228">
        <v>1342342349852</v>
      </c>
      <c r="F26" s="228">
        <v>1179091760772</v>
      </c>
    </row>
    <row r="27" spans="1:6" s="3" customFormat="1" ht="25">
      <c r="A27" s="35" t="s">
        <v>30</v>
      </c>
      <c r="B27" s="35"/>
      <c r="C27" s="39" t="s">
        <v>322</v>
      </c>
      <c r="D27" s="40" t="s">
        <v>165</v>
      </c>
      <c r="E27" s="69">
        <v>11863.44</v>
      </c>
      <c r="F27" s="69">
        <v>11237.62</v>
      </c>
    </row>
    <row r="28" spans="1:6" ht="12.5">
      <c r="A28" s="172"/>
      <c r="B28" s="172"/>
      <c r="C28" s="44"/>
      <c r="D28" s="172"/>
      <c r="E28" s="45"/>
      <c r="F28" s="45"/>
    </row>
    <row r="29" spans="1:6" ht="12.5"/>
    <row r="30" spans="1:6" s="1" customFormat="1" ht="12.5">
      <c r="A30" s="276" t="s">
        <v>247</v>
      </c>
      <c r="B30" s="276"/>
      <c r="C30" s="276"/>
      <c r="D30" s="276" t="s">
        <v>248</v>
      </c>
      <c r="E30" s="276"/>
      <c r="F30" s="276"/>
    </row>
    <row r="31" spans="1:6" s="1" customFormat="1" ht="12.5">
      <c r="A31" s="12"/>
      <c r="B31" s="12"/>
      <c r="C31" s="12"/>
      <c r="D31" s="12"/>
      <c r="E31" s="12"/>
      <c r="F31" s="12"/>
    </row>
    <row r="32" spans="1:6" s="1" customFormat="1" ht="12.5">
      <c r="A32" s="12"/>
      <c r="B32" s="12"/>
      <c r="C32" s="12"/>
      <c r="D32" s="12"/>
      <c r="E32" s="12"/>
      <c r="F32" s="12"/>
    </row>
    <row r="33" spans="1:6" s="1" customFormat="1" ht="12.5">
      <c r="A33" s="12"/>
      <c r="B33" s="12"/>
      <c r="C33" s="12"/>
      <c r="D33" s="12"/>
      <c r="E33" s="12"/>
      <c r="F33" s="12"/>
    </row>
    <row r="34" spans="1:6" s="1" customFormat="1" ht="12.5">
      <c r="A34" s="12"/>
      <c r="B34" s="12"/>
      <c r="C34" s="12"/>
      <c r="D34" s="12"/>
      <c r="E34" s="12"/>
      <c r="F34" s="12"/>
    </row>
    <row r="35" spans="1:6" s="1" customFormat="1" ht="12.5">
      <c r="A35" s="12"/>
      <c r="B35" s="12"/>
      <c r="C35" s="12"/>
      <c r="D35" s="12"/>
      <c r="E35" s="12"/>
      <c r="F35" s="12"/>
    </row>
    <row r="36" spans="1:6" s="1" customFormat="1" ht="12.5">
      <c r="A36" s="12"/>
      <c r="B36" s="12"/>
      <c r="C36" s="12"/>
      <c r="D36" s="12"/>
      <c r="E36" s="12"/>
      <c r="F36" s="12"/>
    </row>
    <row r="37" spans="1:6" s="1" customFormat="1" ht="12.5">
      <c r="A37" s="12"/>
      <c r="B37" s="12"/>
      <c r="C37" s="12"/>
      <c r="D37" s="12"/>
      <c r="E37" s="12"/>
      <c r="F37" s="12"/>
    </row>
    <row r="38" spans="1:6" s="1" customFormat="1" ht="12.5">
      <c r="A38" s="12"/>
      <c r="B38" s="12"/>
      <c r="C38" s="12"/>
      <c r="D38" s="12"/>
      <c r="E38" s="12"/>
      <c r="F38" s="12"/>
    </row>
    <row r="39" spans="1:6" s="1" customFormat="1" ht="12.5">
      <c r="A39" s="275" t="s">
        <v>514</v>
      </c>
      <c r="B39" s="275"/>
      <c r="C39" s="275"/>
      <c r="D39" s="275" t="s">
        <v>511</v>
      </c>
      <c r="E39" s="275"/>
      <c r="F39" s="12" t="s">
        <v>515</v>
      </c>
    </row>
    <row r="40" spans="1:6" s="1" customFormat="1" ht="12.5">
      <c r="A40" s="276" t="s">
        <v>1408</v>
      </c>
      <c r="B40" s="276"/>
      <c r="C40" s="276"/>
      <c r="D40" s="276" t="s">
        <v>1409</v>
      </c>
      <c r="E40" s="276"/>
      <c r="F40" s="171" t="s">
        <v>1400</v>
      </c>
    </row>
    <row r="41" spans="1:6" s="1" customFormat="1" ht="12.5">
      <c r="A41" s="275" t="s">
        <v>1410</v>
      </c>
      <c r="B41" s="275"/>
      <c r="C41" s="275"/>
      <c r="D41" s="282" t="s">
        <v>1411</v>
      </c>
      <c r="E41" s="275"/>
      <c r="F41" s="172" t="s">
        <v>1402</v>
      </c>
    </row>
  </sheetData>
  <mergeCells count="23">
    <mergeCell ref="D14:F14"/>
    <mergeCell ref="D8:F8"/>
    <mergeCell ref="A1:F1"/>
    <mergeCell ref="A2:F2"/>
    <mergeCell ref="A3:F4"/>
    <mergeCell ref="A5:F5"/>
    <mergeCell ref="D7:F7"/>
    <mergeCell ref="D9:F9"/>
    <mergeCell ref="D10:F10"/>
    <mergeCell ref="D11:F11"/>
    <mergeCell ref="D12:F12"/>
    <mergeCell ref="D13:F13"/>
    <mergeCell ref="A41:C41"/>
    <mergeCell ref="D39:E39"/>
    <mergeCell ref="A18:B18"/>
    <mergeCell ref="A21:A22"/>
    <mergeCell ref="A24:A25"/>
    <mergeCell ref="D30:F30"/>
    <mergeCell ref="D40:E40"/>
    <mergeCell ref="A30:C30"/>
    <mergeCell ref="A39:C39"/>
    <mergeCell ref="A40:C40"/>
    <mergeCell ref="D41:E41"/>
  </mergeCells>
  <printOptions horizontalCentered="1"/>
  <pageMargins left="0.3" right="0.3" top="0.75" bottom="0.5" header="0.3" footer="0.3"/>
  <pageSetup paperSize="9" scale="66" fitToHeight="0" orientation="portrait" r:id="rId1"/>
  <headerFooter>
    <oddHeader>&amp;L&amp;"Arial"&amp;9&amp;KA80000CONFIDENTIAL&amp;1#</oddHeader>
  </headerFooter>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G83"/>
  <sheetViews>
    <sheetView view="pageBreakPreview" topLeftCell="A12" zoomScale="66" zoomScaleNormal="100" zoomScaleSheetLayoutView="66" workbookViewId="0">
      <selection activeCell="C12" sqref="C12:G12"/>
    </sheetView>
  </sheetViews>
  <sheetFormatPr defaultColWidth="8.7265625" defaultRowHeight="12.5"/>
  <cols>
    <col min="1" max="1" width="8.7265625" style="12"/>
    <col min="2" max="2" width="40.26953125" style="12" customWidth="1"/>
    <col min="3" max="3" width="14.26953125" style="12" customWidth="1"/>
    <col min="4" max="7" width="25" style="12" customWidth="1"/>
    <col min="8" max="16384" width="8.7265625" style="27"/>
  </cols>
  <sheetData>
    <row r="1" spans="1:7" ht="57" customHeight="1">
      <c r="A1" s="265" t="s">
        <v>602</v>
      </c>
      <c r="B1" s="265"/>
      <c r="C1" s="265"/>
      <c r="D1" s="265"/>
      <c r="E1" s="265"/>
      <c r="F1" s="265"/>
      <c r="G1" s="265"/>
    </row>
    <row r="2" spans="1:7" ht="69" customHeight="1">
      <c r="A2" s="266" t="s">
        <v>601</v>
      </c>
      <c r="B2" s="266"/>
      <c r="C2" s="266"/>
      <c r="D2" s="266"/>
      <c r="E2" s="266"/>
      <c r="F2" s="266"/>
      <c r="G2" s="266"/>
    </row>
    <row r="3" spans="1:7" ht="33.65" customHeight="1">
      <c r="A3" s="267" t="s">
        <v>366</v>
      </c>
      <c r="B3" s="267"/>
      <c r="C3" s="267"/>
      <c r="D3" s="267"/>
      <c r="E3" s="267"/>
      <c r="F3" s="267"/>
      <c r="G3" s="267"/>
    </row>
    <row r="4" spans="1:7" ht="16.899999999999999" customHeight="1">
      <c r="A4" s="268" t="s">
        <v>1391</v>
      </c>
      <c r="B4" s="268"/>
      <c r="C4" s="268"/>
      <c r="D4" s="268"/>
      <c r="E4" s="268"/>
      <c r="F4" s="268"/>
      <c r="G4" s="268"/>
    </row>
    <row r="6" spans="1:7" ht="16.899999999999999" customHeight="1">
      <c r="A6" s="141" t="s">
        <v>2</v>
      </c>
      <c r="C6" s="285" t="s">
        <v>1393</v>
      </c>
      <c r="D6" s="285"/>
      <c r="E6" s="285"/>
      <c r="F6" s="285"/>
      <c r="G6" s="285"/>
    </row>
    <row r="7" spans="1:7" ht="16.899999999999999" customHeight="1">
      <c r="A7" s="12" t="s">
        <v>15</v>
      </c>
      <c r="C7" s="284" t="s">
        <v>1394</v>
      </c>
      <c r="D7" s="284"/>
      <c r="E7" s="284"/>
      <c r="F7" s="284"/>
      <c r="G7" s="284"/>
    </row>
    <row r="8" spans="1:7" ht="16.899999999999999" customHeight="1">
      <c r="A8" s="141" t="s">
        <v>3</v>
      </c>
      <c r="C8" s="285" t="s">
        <v>1395</v>
      </c>
      <c r="D8" s="285"/>
      <c r="E8" s="285"/>
      <c r="F8" s="285"/>
      <c r="G8" s="285"/>
    </row>
    <row r="9" spans="1:7" ht="16.899999999999999" customHeight="1">
      <c r="A9" s="12" t="s">
        <v>4</v>
      </c>
      <c r="C9" s="284" t="s">
        <v>1396</v>
      </c>
      <c r="D9" s="284"/>
      <c r="E9" s="284"/>
      <c r="F9" s="284"/>
      <c r="G9" s="284"/>
    </row>
    <row r="10" spans="1:7" ht="16.899999999999999" customHeight="1">
      <c r="A10" s="141" t="s">
        <v>5</v>
      </c>
      <c r="C10" s="285" t="s">
        <v>1397</v>
      </c>
      <c r="D10" s="285"/>
      <c r="E10" s="285"/>
      <c r="F10" s="285"/>
      <c r="G10" s="285"/>
    </row>
    <row r="11" spans="1:7" ht="16.899999999999999" customHeight="1">
      <c r="A11" s="12" t="s">
        <v>6</v>
      </c>
      <c r="C11" s="284" t="s">
        <v>1398</v>
      </c>
      <c r="D11" s="284"/>
      <c r="E11" s="284"/>
      <c r="F11" s="284"/>
      <c r="G11" s="284"/>
    </row>
    <row r="12" spans="1:7" ht="16.899999999999999" customHeight="1">
      <c r="A12" s="141" t="s">
        <v>7</v>
      </c>
      <c r="C12" s="285" t="s">
        <v>1420</v>
      </c>
      <c r="D12" s="285"/>
      <c r="E12" s="285"/>
      <c r="F12" s="285"/>
      <c r="G12" s="285"/>
    </row>
    <row r="13" spans="1:7" ht="16.899999999999999" customHeight="1">
      <c r="A13" s="12" t="s">
        <v>8</v>
      </c>
      <c r="C13" s="283" t="s">
        <v>1421</v>
      </c>
      <c r="D13" s="284"/>
      <c r="E13" s="284"/>
      <c r="F13" s="284"/>
      <c r="G13" s="284"/>
    </row>
    <row r="15" spans="1:7">
      <c r="A15" s="22"/>
      <c r="B15" s="22"/>
    </row>
    <row r="16" spans="1:7" ht="66" customHeight="1">
      <c r="A16" s="28" t="s">
        <v>107</v>
      </c>
      <c r="B16" s="28" t="s">
        <v>108</v>
      </c>
      <c r="C16" s="28" t="s">
        <v>19</v>
      </c>
      <c r="D16" s="28" t="s">
        <v>109</v>
      </c>
      <c r="E16" s="28" t="s">
        <v>110</v>
      </c>
      <c r="F16" s="28" t="s">
        <v>111</v>
      </c>
      <c r="G16" s="28" t="s">
        <v>112</v>
      </c>
    </row>
    <row r="17" spans="1:7" ht="39" customHeight="1">
      <c r="A17" s="226" t="s">
        <v>737</v>
      </c>
      <c r="B17" s="225" t="s">
        <v>738</v>
      </c>
      <c r="C17" s="226" t="s">
        <v>739</v>
      </c>
      <c r="D17" s="228"/>
      <c r="E17" s="228"/>
      <c r="F17" s="228"/>
      <c r="G17" s="227"/>
    </row>
    <row r="18" spans="1:7" ht="39" customHeight="1">
      <c r="A18" s="221" t="s">
        <v>740</v>
      </c>
      <c r="B18" s="220" t="s">
        <v>741</v>
      </c>
      <c r="C18" s="222" t="s">
        <v>742</v>
      </c>
      <c r="D18" s="224" t="s">
        <v>743</v>
      </c>
      <c r="E18" s="230" t="s">
        <v>744</v>
      </c>
      <c r="F18" s="224" t="s">
        <v>745</v>
      </c>
      <c r="G18" s="223" t="s">
        <v>746</v>
      </c>
    </row>
    <row r="19" spans="1:7" ht="39" customHeight="1">
      <c r="A19" s="226"/>
      <c r="B19" s="225" t="s">
        <v>747</v>
      </c>
      <c r="C19" s="226" t="s">
        <v>748</v>
      </c>
      <c r="D19" s="228"/>
      <c r="E19" s="228"/>
      <c r="F19" s="228"/>
      <c r="G19" s="227"/>
    </row>
    <row r="20" spans="1:7" ht="39" customHeight="1">
      <c r="A20" s="226" t="s">
        <v>749</v>
      </c>
      <c r="B20" s="225" t="s">
        <v>750</v>
      </c>
      <c r="C20" s="226" t="s">
        <v>751</v>
      </c>
      <c r="D20" s="228"/>
      <c r="E20" s="228"/>
      <c r="F20" s="228"/>
      <c r="G20" s="227"/>
    </row>
    <row r="21" spans="1:7" ht="39" customHeight="1">
      <c r="A21" s="226"/>
      <c r="B21" s="225" t="s">
        <v>752</v>
      </c>
      <c r="C21" s="226" t="s">
        <v>753</v>
      </c>
      <c r="D21" s="228"/>
      <c r="E21" s="228"/>
      <c r="F21" s="228">
        <v>0</v>
      </c>
      <c r="G21" s="227">
        <v>0</v>
      </c>
    </row>
    <row r="22" spans="1:7" ht="39" customHeight="1">
      <c r="A22" s="226"/>
      <c r="B22" s="225" t="s">
        <v>754</v>
      </c>
      <c r="C22" s="226" t="s">
        <v>755</v>
      </c>
      <c r="D22" s="228"/>
      <c r="E22" s="228"/>
      <c r="F22" s="228"/>
      <c r="G22" s="227"/>
    </row>
    <row r="23" spans="1:7" ht="39" customHeight="1">
      <c r="A23" s="226" t="s">
        <v>756</v>
      </c>
      <c r="B23" s="225" t="s">
        <v>757</v>
      </c>
      <c r="C23" s="226" t="s">
        <v>758</v>
      </c>
      <c r="D23" s="228"/>
      <c r="E23" s="228"/>
      <c r="F23" s="228"/>
      <c r="G23" s="227"/>
    </row>
    <row r="24" spans="1:7" ht="39" customHeight="1">
      <c r="A24" s="221" t="s">
        <v>759</v>
      </c>
      <c r="B24" s="220" t="s">
        <v>760</v>
      </c>
      <c r="C24" s="222" t="s">
        <v>761</v>
      </c>
      <c r="D24" s="224" t="s">
        <v>762</v>
      </c>
      <c r="E24" s="230" t="s">
        <v>763</v>
      </c>
      <c r="F24" s="224" t="s">
        <v>764</v>
      </c>
      <c r="G24" s="223" t="s">
        <v>765</v>
      </c>
    </row>
    <row r="25" spans="1:7" ht="39" customHeight="1">
      <c r="A25" s="221" t="s">
        <v>766</v>
      </c>
      <c r="B25" s="220" t="s">
        <v>767</v>
      </c>
      <c r="C25" s="222" t="s">
        <v>768</v>
      </c>
      <c r="D25" s="224"/>
      <c r="E25" s="230"/>
      <c r="F25" s="224">
        <v>696755208775</v>
      </c>
      <c r="G25" s="223">
        <v>0.50932292699741899</v>
      </c>
    </row>
    <row r="26" spans="1:7" ht="39" customHeight="1">
      <c r="A26" s="221" t="s">
        <v>769</v>
      </c>
      <c r="B26" s="220" t="s">
        <v>770</v>
      </c>
      <c r="C26" s="222" t="s">
        <v>771</v>
      </c>
      <c r="D26" s="224">
        <v>418000</v>
      </c>
      <c r="E26" s="230">
        <v>101395.23299999999</v>
      </c>
      <c r="F26" s="224">
        <v>42383207394</v>
      </c>
      <c r="G26" s="223">
        <v>3.0981812512608901E-2</v>
      </c>
    </row>
    <row r="27" spans="1:7" ht="39" customHeight="1">
      <c r="A27" s="221" t="s">
        <v>772</v>
      </c>
      <c r="B27" s="220" t="s">
        <v>773</v>
      </c>
      <c r="C27" s="222" t="s">
        <v>774</v>
      </c>
      <c r="D27" s="224">
        <v>250</v>
      </c>
      <c r="E27" s="230">
        <v>100408485</v>
      </c>
      <c r="F27" s="224">
        <v>25102121250</v>
      </c>
      <c r="G27" s="223">
        <v>1.8349465792114002E-2</v>
      </c>
    </row>
    <row r="28" spans="1:7" ht="39" customHeight="1">
      <c r="A28" s="221" t="s">
        <v>775</v>
      </c>
      <c r="B28" s="220" t="s">
        <v>776</v>
      </c>
      <c r="C28" s="222" t="s">
        <v>777</v>
      </c>
      <c r="D28" s="224">
        <v>550000</v>
      </c>
      <c r="E28" s="230">
        <v>100482.523</v>
      </c>
      <c r="F28" s="224">
        <v>55265387650</v>
      </c>
      <c r="G28" s="223">
        <v>4.0398591420698897E-2</v>
      </c>
    </row>
    <row r="29" spans="1:7" ht="39" customHeight="1">
      <c r="A29" s="221" t="s">
        <v>778</v>
      </c>
      <c r="B29" s="220" t="s">
        <v>779</v>
      </c>
      <c r="C29" s="222" t="s">
        <v>780</v>
      </c>
      <c r="D29" s="224">
        <v>600000</v>
      </c>
      <c r="E29" s="230">
        <v>100036.95</v>
      </c>
      <c r="F29" s="224">
        <v>60022170000</v>
      </c>
      <c r="G29" s="223">
        <v>4.3875764291571598E-2</v>
      </c>
    </row>
    <row r="30" spans="1:7" ht="39" customHeight="1">
      <c r="A30" s="221" t="s">
        <v>781</v>
      </c>
      <c r="B30" s="220" t="s">
        <v>782</v>
      </c>
      <c r="C30" s="222" t="s">
        <v>783</v>
      </c>
      <c r="D30" s="224">
        <v>1200000</v>
      </c>
      <c r="E30" s="230">
        <v>100046.875</v>
      </c>
      <c r="F30" s="224">
        <v>120056250000</v>
      </c>
      <c r="G30" s="223">
        <v>8.7760234705442794E-2</v>
      </c>
    </row>
    <row r="31" spans="1:7" ht="39" customHeight="1">
      <c r="A31" s="221" t="s">
        <v>784</v>
      </c>
      <c r="B31" s="220" t="s">
        <v>785</v>
      </c>
      <c r="C31" s="222" t="s">
        <v>786</v>
      </c>
      <c r="D31" s="224">
        <v>800000</v>
      </c>
      <c r="E31" s="230">
        <v>99981.842999999993</v>
      </c>
      <c r="F31" s="224">
        <v>79985474400</v>
      </c>
      <c r="G31" s="223">
        <v>5.84687928064569E-2</v>
      </c>
    </row>
    <row r="32" spans="1:7" ht="39" customHeight="1">
      <c r="A32" s="221" t="s">
        <v>787</v>
      </c>
      <c r="B32" s="220" t="s">
        <v>788</v>
      </c>
      <c r="C32" s="222" t="s">
        <v>789</v>
      </c>
      <c r="D32" s="224">
        <v>250000</v>
      </c>
      <c r="E32" s="230">
        <v>99457.986000000004</v>
      </c>
      <c r="F32" s="224">
        <v>24864496500</v>
      </c>
      <c r="G32" s="223">
        <v>1.8175763849634301E-2</v>
      </c>
    </row>
    <row r="33" spans="1:7" ht="39" customHeight="1">
      <c r="A33" s="221" t="s">
        <v>790</v>
      </c>
      <c r="B33" s="220" t="s">
        <v>791</v>
      </c>
      <c r="C33" s="222" t="s">
        <v>792</v>
      </c>
      <c r="D33" s="224">
        <v>200000</v>
      </c>
      <c r="E33" s="230">
        <v>99984.372000000003</v>
      </c>
      <c r="F33" s="224">
        <v>19996874400</v>
      </c>
      <c r="G33" s="223">
        <v>1.46175679376897E-2</v>
      </c>
    </row>
    <row r="34" spans="1:7" ht="39" customHeight="1">
      <c r="A34" s="221" t="s">
        <v>793</v>
      </c>
      <c r="B34" s="220" t="s">
        <v>794</v>
      </c>
      <c r="C34" s="222" t="s">
        <v>795</v>
      </c>
      <c r="D34" s="224">
        <v>1160626</v>
      </c>
      <c r="E34" s="230">
        <v>99957.357999</v>
      </c>
      <c r="F34" s="224">
        <v>116013108586</v>
      </c>
      <c r="G34" s="223">
        <v>8.4804728103829496E-2</v>
      </c>
    </row>
    <row r="35" spans="1:7" ht="39" customHeight="1">
      <c r="A35" s="221" t="s">
        <v>796</v>
      </c>
      <c r="B35" s="220" t="s">
        <v>797</v>
      </c>
      <c r="C35" s="222" t="s">
        <v>798</v>
      </c>
      <c r="D35" s="224">
        <v>1526847</v>
      </c>
      <c r="E35" s="230">
        <v>100249.807999</v>
      </c>
      <c r="F35" s="224">
        <v>153066118595</v>
      </c>
      <c r="G35" s="223">
        <v>0.111890205577372</v>
      </c>
    </row>
    <row r="36" spans="1:7" ht="39" customHeight="1">
      <c r="A36" s="221" t="s">
        <v>799</v>
      </c>
      <c r="B36" s="220" t="s">
        <v>800</v>
      </c>
      <c r="C36" s="222" t="s">
        <v>801</v>
      </c>
      <c r="D36" s="224"/>
      <c r="E36" s="230"/>
      <c r="F36" s="224">
        <v>18058590000</v>
      </c>
      <c r="G36" s="223">
        <v>1.32006963140142E-2</v>
      </c>
    </row>
    <row r="37" spans="1:7" ht="39" customHeight="1">
      <c r="A37" s="221" t="s">
        <v>802</v>
      </c>
      <c r="B37" s="220" t="s">
        <v>803</v>
      </c>
      <c r="C37" s="222" t="s">
        <v>804</v>
      </c>
      <c r="D37" s="224">
        <v>18</v>
      </c>
      <c r="E37" s="230">
        <v>1003255000</v>
      </c>
      <c r="F37" s="224">
        <v>18058590000</v>
      </c>
      <c r="G37" s="223">
        <v>1.32006963140142E-2</v>
      </c>
    </row>
    <row r="38" spans="1:7" ht="39" customHeight="1">
      <c r="A38" s="226"/>
      <c r="B38" s="225" t="s">
        <v>805</v>
      </c>
      <c r="C38" s="226" t="s">
        <v>806</v>
      </c>
      <c r="D38" s="228"/>
      <c r="E38" s="228"/>
      <c r="F38" s="228">
        <v>714813798775</v>
      </c>
      <c r="G38" s="227">
        <v>0.52252362331143298</v>
      </c>
    </row>
    <row r="39" spans="1:7" ht="39" customHeight="1">
      <c r="A39" s="226" t="s">
        <v>807</v>
      </c>
      <c r="B39" s="225" t="s">
        <v>808</v>
      </c>
      <c r="C39" s="226" t="s">
        <v>809</v>
      </c>
      <c r="D39" s="228"/>
      <c r="E39" s="228"/>
      <c r="F39" s="228"/>
      <c r="G39" s="227"/>
    </row>
    <row r="40" spans="1:7" ht="39" customHeight="1">
      <c r="A40" s="221" t="s">
        <v>810</v>
      </c>
      <c r="B40" s="220" t="s">
        <v>811</v>
      </c>
      <c r="C40" s="222" t="s">
        <v>812</v>
      </c>
      <c r="D40" s="224" t="s">
        <v>813</v>
      </c>
      <c r="E40" s="230" t="s">
        <v>814</v>
      </c>
      <c r="F40" s="224" t="s">
        <v>815</v>
      </c>
      <c r="G40" s="223" t="s">
        <v>816</v>
      </c>
    </row>
    <row r="41" spans="1:7" ht="39" customHeight="1">
      <c r="A41" s="221" t="s">
        <v>817</v>
      </c>
      <c r="B41" s="220" t="s">
        <v>818</v>
      </c>
      <c r="C41" s="222" t="s">
        <v>819</v>
      </c>
      <c r="D41" s="224"/>
      <c r="E41" s="230"/>
      <c r="F41" s="224">
        <v>0</v>
      </c>
      <c r="G41" s="223">
        <v>0</v>
      </c>
    </row>
    <row r="42" spans="1:7" ht="39" customHeight="1">
      <c r="A42" s="221" t="s">
        <v>820</v>
      </c>
      <c r="B42" s="220" t="s">
        <v>821</v>
      </c>
      <c r="C42" s="222" t="s">
        <v>822</v>
      </c>
      <c r="D42" s="224"/>
      <c r="E42" s="230"/>
      <c r="F42" s="224">
        <v>0</v>
      </c>
      <c r="G42" s="223">
        <v>0</v>
      </c>
    </row>
    <row r="43" spans="1:7" ht="39" customHeight="1">
      <c r="A43" s="226"/>
      <c r="B43" s="225" t="s">
        <v>823</v>
      </c>
      <c r="C43" s="226" t="s">
        <v>824</v>
      </c>
      <c r="D43" s="228"/>
      <c r="E43" s="228"/>
      <c r="F43" s="228">
        <v>0</v>
      </c>
      <c r="G43" s="227">
        <v>0</v>
      </c>
    </row>
    <row r="44" spans="1:7" ht="39" customHeight="1">
      <c r="A44" s="226"/>
      <c r="B44" s="225" t="s">
        <v>825</v>
      </c>
      <c r="C44" s="226" t="s">
        <v>826</v>
      </c>
      <c r="D44" s="228"/>
      <c r="E44" s="228"/>
      <c r="F44" s="228">
        <v>714813798775</v>
      </c>
      <c r="G44" s="227">
        <v>0.52252362331143298</v>
      </c>
    </row>
    <row r="45" spans="1:7" ht="39" customHeight="1">
      <c r="A45" s="226" t="s">
        <v>827</v>
      </c>
      <c r="B45" s="225" t="s">
        <v>828</v>
      </c>
      <c r="C45" s="226" t="s">
        <v>829</v>
      </c>
      <c r="D45" s="228"/>
      <c r="E45" s="228"/>
      <c r="F45" s="228"/>
      <c r="G45" s="227"/>
    </row>
    <row r="46" spans="1:7" ht="39" customHeight="1">
      <c r="A46" s="221" t="s">
        <v>830</v>
      </c>
      <c r="B46" s="220" t="s">
        <v>831</v>
      </c>
      <c r="C46" s="222" t="s">
        <v>832</v>
      </c>
      <c r="D46" s="224" t="s">
        <v>833</v>
      </c>
      <c r="E46" s="230" t="s">
        <v>834</v>
      </c>
      <c r="F46" s="224" t="s">
        <v>835</v>
      </c>
      <c r="G46" s="223" t="s">
        <v>836</v>
      </c>
    </row>
    <row r="47" spans="1:7" ht="39" customHeight="1">
      <c r="A47" s="221" t="s">
        <v>837</v>
      </c>
      <c r="B47" s="220" t="s">
        <v>838</v>
      </c>
      <c r="C47" s="222" t="s">
        <v>839</v>
      </c>
      <c r="D47" s="224"/>
      <c r="E47" s="230"/>
      <c r="F47" s="224">
        <v>0</v>
      </c>
      <c r="G47" s="223">
        <v>0</v>
      </c>
    </row>
    <row r="48" spans="1:7" ht="39" customHeight="1">
      <c r="A48" s="221" t="s">
        <v>840</v>
      </c>
      <c r="B48" s="220" t="s">
        <v>841</v>
      </c>
      <c r="C48" s="222" t="s">
        <v>842</v>
      </c>
      <c r="D48" s="224"/>
      <c r="E48" s="230"/>
      <c r="F48" s="224">
        <v>23864415000</v>
      </c>
      <c r="G48" s="223">
        <v>1.7444711637320798E-2</v>
      </c>
    </row>
    <row r="49" spans="1:7" ht="43" customHeight="1">
      <c r="A49" s="221" t="s">
        <v>843</v>
      </c>
      <c r="B49" s="220" t="s">
        <v>844</v>
      </c>
      <c r="C49" s="222" t="s">
        <v>845</v>
      </c>
      <c r="D49" s="224"/>
      <c r="E49" s="230"/>
      <c r="F49" s="224">
        <v>10937472606</v>
      </c>
      <c r="G49" s="223">
        <v>7.9952119359626098E-3</v>
      </c>
    </row>
    <row r="50" spans="1:7" ht="39" customHeight="1">
      <c r="A50" s="221" t="s">
        <v>846</v>
      </c>
      <c r="B50" s="220" t="s">
        <v>847</v>
      </c>
      <c r="C50" s="222" t="s">
        <v>848</v>
      </c>
      <c r="D50" s="224"/>
      <c r="E50" s="230"/>
      <c r="F50" s="224">
        <v>0</v>
      </c>
      <c r="G50" s="223">
        <v>0</v>
      </c>
    </row>
    <row r="51" spans="1:7" ht="43" customHeight="1">
      <c r="A51" s="221" t="s">
        <v>849</v>
      </c>
      <c r="B51" s="220" t="s">
        <v>850</v>
      </c>
      <c r="C51" s="222" t="s">
        <v>851</v>
      </c>
      <c r="D51" s="224"/>
      <c r="E51" s="230"/>
      <c r="F51" s="224">
        <v>0</v>
      </c>
      <c r="G51" s="223">
        <v>0</v>
      </c>
    </row>
    <row r="52" spans="1:7" ht="39" customHeight="1">
      <c r="A52" s="221" t="s">
        <v>852</v>
      </c>
      <c r="B52" s="220" t="s">
        <v>853</v>
      </c>
      <c r="C52" s="222" t="s">
        <v>854</v>
      </c>
      <c r="D52" s="224"/>
      <c r="E52" s="230"/>
      <c r="F52" s="224">
        <v>0</v>
      </c>
      <c r="G52" s="223">
        <v>0</v>
      </c>
    </row>
    <row r="53" spans="1:7" ht="39" customHeight="1">
      <c r="A53" s="221" t="s">
        <v>855</v>
      </c>
      <c r="B53" s="220" t="s">
        <v>856</v>
      </c>
      <c r="C53" s="222" t="s">
        <v>857</v>
      </c>
      <c r="D53" s="224"/>
      <c r="E53" s="230"/>
      <c r="F53" s="224">
        <v>0</v>
      </c>
      <c r="G53" s="223">
        <v>0</v>
      </c>
    </row>
    <row r="54" spans="1:7" ht="39" customHeight="1">
      <c r="A54" s="221"/>
      <c r="B54" s="220" t="s">
        <v>858</v>
      </c>
      <c r="C54" s="222" t="s">
        <v>859</v>
      </c>
      <c r="D54" s="224"/>
      <c r="E54" s="230"/>
      <c r="F54" s="224">
        <v>34801887606</v>
      </c>
      <c r="G54" s="223">
        <v>2.54399235732834E-2</v>
      </c>
    </row>
    <row r="55" spans="1:7" ht="39" customHeight="1">
      <c r="A55" s="226" t="s">
        <v>860</v>
      </c>
      <c r="B55" s="225" t="s">
        <v>861</v>
      </c>
      <c r="C55" s="226" t="s">
        <v>862</v>
      </c>
      <c r="D55" s="228"/>
      <c r="E55" s="228"/>
      <c r="F55" s="228"/>
      <c r="G55" s="227"/>
    </row>
    <row r="56" spans="1:7" ht="39" customHeight="1">
      <c r="A56" s="221" t="s">
        <v>863</v>
      </c>
      <c r="B56" s="220" t="s">
        <v>864</v>
      </c>
      <c r="C56" s="222" t="s">
        <v>865</v>
      </c>
      <c r="D56" s="224"/>
      <c r="E56" s="230"/>
      <c r="F56" s="224">
        <v>148446789408</v>
      </c>
      <c r="G56" s="223">
        <v>0.108513509956504</v>
      </c>
    </row>
    <row r="57" spans="1:7" ht="39" customHeight="1">
      <c r="A57" s="221" t="s">
        <v>866</v>
      </c>
      <c r="B57" s="220" t="s">
        <v>867</v>
      </c>
      <c r="C57" s="222" t="s">
        <v>868</v>
      </c>
      <c r="D57" s="224" t="s">
        <v>869</v>
      </c>
      <c r="E57" s="230" t="s">
        <v>870</v>
      </c>
      <c r="F57" s="224" t="s">
        <v>871</v>
      </c>
      <c r="G57" s="223" t="s">
        <v>872</v>
      </c>
    </row>
    <row r="58" spans="1:7" ht="39" customHeight="1">
      <c r="A58" s="221" t="s">
        <v>873</v>
      </c>
      <c r="B58" s="220" t="s">
        <v>874</v>
      </c>
      <c r="C58" s="222" t="s">
        <v>875</v>
      </c>
      <c r="D58" s="224"/>
      <c r="E58" s="230"/>
      <c r="F58" s="224">
        <v>23546789408</v>
      </c>
      <c r="G58" s="223">
        <v>1.7212529668432199E-2</v>
      </c>
    </row>
    <row r="59" spans="1:7" ht="39" customHeight="1">
      <c r="A59" s="221" t="s">
        <v>876</v>
      </c>
      <c r="B59" s="220" t="s">
        <v>877</v>
      </c>
      <c r="C59" s="222" t="s">
        <v>878</v>
      </c>
      <c r="D59" s="224"/>
      <c r="E59" s="230"/>
      <c r="F59" s="224">
        <v>55000000000</v>
      </c>
      <c r="G59" s="223">
        <v>4.02045950027538E-2</v>
      </c>
    </row>
    <row r="60" spans="1:7" ht="39" customHeight="1">
      <c r="A60" s="221" t="s">
        <v>879</v>
      </c>
      <c r="B60" s="220" t="s">
        <v>880</v>
      </c>
      <c r="C60" s="222" t="s">
        <v>881</v>
      </c>
      <c r="D60" s="224"/>
      <c r="E60" s="230"/>
      <c r="F60" s="224">
        <v>69900000000</v>
      </c>
      <c r="G60" s="223">
        <v>5.1096385285318E-2</v>
      </c>
    </row>
    <row r="61" spans="1:7" ht="39" customHeight="1">
      <c r="A61" s="221" t="s">
        <v>882</v>
      </c>
      <c r="B61" s="220" t="s">
        <v>883</v>
      </c>
      <c r="C61" s="222" t="s">
        <v>884</v>
      </c>
      <c r="D61" s="224"/>
      <c r="E61" s="230"/>
      <c r="F61" s="224">
        <v>469940360609</v>
      </c>
      <c r="G61" s="223">
        <v>0.34352294315878001</v>
      </c>
    </row>
    <row r="62" spans="1:7" ht="39" customHeight="1">
      <c r="A62" s="221" t="s">
        <v>885</v>
      </c>
      <c r="B62" s="220" t="s">
        <v>886</v>
      </c>
      <c r="C62" s="222" t="s">
        <v>887</v>
      </c>
      <c r="D62" s="224" t="s">
        <v>888</v>
      </c>
      <c r="E62" s="230" t="s">
        <v>889</v>
      </c>
      <c r="F62" s="224" t="s">
        <v>890</v>
      </c>
      <c r="G62" s="223" t="s">
        <v>891</v>
      </c>
    </row>
    <row r="63" spans="1:7" ht="39" customHeight="1">
      <c r="A63" s="221" t="s">
        <v>892</v>
      </c>
      <c r="B63" s="220" t="s">
        <v>893</v>
      </c>
      <c r="C63" s="222" t="s">
        <v>894</v>
      </c>
      <c r="D63" s="224"/>
      <c r="E63" s="230"/>
      <c r="F63" s="224">
        <v>0</v>
      </c>
      <c r="G63" s="223">
        <v>0</v>
      </c>
    </row>
    <row r="64" spans="1:7" ht="39" customHeight="1">
      <c r="A64" s="221" t="s">
        <v>895</v>
      </c>
      <c r="B64" s="220" t="s">
        <v>896</v>
      </c>
      <c r="C64" s="222" t="s">
        <v>897</v>
      </c>
      <c r="D64" s="224" t="s">
        <v>898</v>
      </c>
      <c r="E64" s="230" t="s">
        <v>899</v>
      </c>
      <c r="F64" s="224" t="s">
        <v>900</v>
      </c>
      <c r="G64" s="223" t="s">
        <v>901</v>
      </c>
    </row>
    <row r="65" spans="1:7" ht="39" customHeight="1">
      <c r="A65" s="226"/>
      <c r="B65" s="225" t="s">
        <v>902</v>
      </c>
      <c r="C65" s="226" t="s">
        <v>903</v>
      </c>
      <c r="D65" s="228"/>
      <c r="E65" s="228"/>
      <c r="F65" s="228">
        <v>618387150017</v>
      </c>
      <c r="G65" s="227">
        <v>0.45203645311528401</v>
      </c>
    </row>
    <row r="66" spans="1:7" ht="39" customHeight="1">
      <c r="A66" s="226" t="s">
        <v>904</v>
      </c>
      <c r="B66" s="225" t="s">
        <v>905</v>
      </c>
      <c r="C66" s="226" t="s">
        <v>906</v>
      </c>
      <c r="D66" s="228"/>
      <c r="E66" s="228"/>
      <c r="F66" s="228">
        <v>1368002836398</v>
      </c>
      <c r="G66" s="227">
        <v>1</v>
      </c>
    </row>
    <row r="68" spans="1:7" ht="16.899999999999999" customHeight="1">
      <c r="B68" s="171" t="s">
        <v>247</v>
      </c>
      <c r="C68" s="276" t="s">
        <v>248</v>
      </c>
      <c r="D68" s="276"/>
      <c r="E68" s="276"/>
      <c r="F68" s="276"/>
      <c r="G68" s="276"/>
    </row>
    <row r="80" spans="1:7">
      <c r="B80" s="172" t="s">
        <v>516</v>
      </c>
      <c r="C80" s="275" t="s">
        <v>517</v>
      </c>
      <c r="D80" s="275"/>
      <c r="E80" s="275"/>
      <c r="F80" s="275" t="s">
        <v>511</v>
      </c>
      <c r="G80" s="275"/>
    </row>
    <row r="81" spans="1:7" ht="16.899999999999999" customHeight="1">
      <c r="B81" s="171" t="s">
        <v>1408</v>
      </c>
      <c r="C81" s="276" t="s">
        <v>1409</v>
      </c>
      <c r="D81" s="276"/>
      <c r="E81" s="276"/>
      <c r="F81" s="276" t="s">
        <v>1400</v>
      </c>
      <c r="G81" s="276"/>
    </row>
    <row r="82" spans="1:7" ht="16.899999999999999" customHeight="1">
      <c r="B82" s="172" t="s">
        <v>1410</v>
      </c>
      <c r="C82" s="275" t="s">
        <v>1411</v>
      </c>
      <c r="D82" s="275"/>
      <c r="E82" s="275"/>
      <c r="F82" s="275" t="s">
        <v>1402</v>
      </c>
      <c r="G82" s="275"/>
    </row>
    <row r="83" spans="1:7">
      <c r="A83" s="22"/>
      <c r="E83" s="22"/>
    </row>
  </sheetData>
  <mergeCells count="19">
    <mergeCell ref="C13:G13"/>
    <mergeCell ref="A1:G1"/>
    <mergeCell ref="A2:G2"/>
    <mergeCell ref="A3:G3"/>
    <mergeCell ref="A4:G4"/>
    <mergeCell ref="C6:G6"/>
    <mergeCell ref="C7:G7"/>
    <mergeCell ref="C8:G8"/>
    <mergeCell ref="C9:G9"/>
    <mergeCell ref="C10:G10"/>
    <mergeCell ref="C11:G11"/>
    <mergeCell ref="C12:G12"/>
    <mergeCell ref="C81:E81"/>
    <mergeCell ref="F81:G81"/>
    <mergeCell ref="C82:E82"/>
    <mergeCell ref="F82:G82"/>
    <mergeCell ref="C68:G68"/>
    <mergeCell ref="C80:E80"/>
    <mergeCell ref="F80:G80"/>
  </mergeCells>
  <printOptions horizontalCentered="1"/>
  <pageMargins left="0.3" right="0.3" top="0.75" bottom="0.5" header="0.3" footer="0.3"/>
  <pageSetup paperSize="9" scale="59" fitToHeight="0" orientation="portrait" r:id="rId1"/>
  <headerFooter>
    <oddHeader>&amp;L&amp;"Arial"&amp;9&amp;KA80000CONFIDENTIAL&amp;1#</oddHeader>
  </headerFooter>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F77"/>
  <sheetViews>
    <sheetView view="pageBreakPreview" zoomScaleNormal="100" zoomScaleSheetLayoutView="100" workbookViewId="0">
      <selection sqref="A1:E1"/>
    </sheetView>
  </sheetViews>
  <sheetFormatPr defaultColWidth="8.7265625" defaultRowHeight="12.5"/>
  <cols>
    <col min="1" max="1" width="52.1796875" style="12" customWidth="1"/>
    <col min="2" max="2" width="9.453125" style="12" customWidth="1"/>
    <col min="3" max="3" width="13.81640625" style="12" customWidth="1"/>
    <col min="4" max="4" width="33.54296875" style="12" customWidth="1"/>
    <col min="5" max="5" width="33.1796875" style="12" customWidth="1"/>
    <col min="6" max="16384" width="8.7265625" style="27"/>
  </cols>
  <sheetData>
    <row r="1" spans="1:5" ht="55.5" customHeight="1">
      <c r="A1" s="265" t="s">
        <v>605</v>
      </c>
      <c r="B1" s="265"/>
      <c r="C1" s="265"/>
      <c r="D1" s="265"/>
      <c r="E1" s="265"/>
    </row>
    <row r="2" spans="1:5" ht="67.5" customHeight="1">
      <c r="A2" s="266" t="s">
        <v>601</v>
      </c>
      <c r="B2" s="266"/>
      <c r="C2" s="266"/>
      <c r="D2" s="266"/>
      <c r="E2" s="266"/>
    </row>
    <row r="3" spans="1:5" ht="39.4" customHeight="1">
      <c r="A3" s="267" t="s">
        <v>251</v>
      </c>
      <c r="B3" s="267"/>
      <c r="C3" s="267"/>
      <c r="D3" s="267"/>
      <c r="E3" s="267"/>
    </row>
    <row r="4" spans="1:5" ht="16.899999999999999" customHeight="1">
      <c r="A4" s="268" t="s">
        <v>1392</v>
      </c>
      <c r="B4" s="268"/>
      <c r="C4" s="268"/>
      <c r="D4" s="268"/>
      <c r="E4" s="268"/>
    </row>
    <row r="5" spans="1:5" ht="0.4" customHeight="1"/>
    <row r="7" spans="1:5" ht="16.899999999999999" customHeight="1">
      <c r="A7" s="149" t="s">
        <v>2</v>
      </c>
      <c r="B7" s="239" t="s">
        <v>1393</v>
      </c>
      <c r="C7" s="239"/>
      <c r="D7" s="239"/>
      <c r="E7" s="239"/>
    </row>
    <row r="8" spans="1:5" ht="16.899999999999999" customHeight="1">
      <c r="A8" s="12" t="s">
        <v>15</v>
      </c>
      <c r="B8" s="270" t="s">
        <v>1394</v>
      </c>
      <c r="C8" s="270"/>
      <c r="D8" s="270"/>
      <c r="E8" s="270"/>
    </row>
    <row r="9" spans="1:5" ht="16.899999999999999" customHeight="1">
      <c r="A9" s="149" t="s">
        <v>3</v>
      </c>
      <c r="B9" s="239" t="s">
        <v>1395</v>
      </c>
      <c r="C9" s="239"/>
      <c r="D9" s="239"/>
      <c r="E9" s="239"/>
    </row>
    <row r="10" spans="1:5" ht="16.899999999999999" customHeight="1">
      <c r="A10" s="12" t="s">
        <v>4</v>
      </c>
      <c r="B10" s="270" t="s">
        <v>1396</v>
      </c>
      <c r="C10" s="270"/>
      <c r="D10" s="270"/>
      <c r="E10" s="270"/>
    </row>
    <row r="11" spans="1:5" ht="16.899999999999999" customHeight="1">
      <c r="A11" s="149" t="s">
        <v>5</v>
      </c>
      <c r="B11" s="239" t="s">
        <v>1397</v>
      </c>
      <c r="C11" s="239"/>
      <c r="D11" s="239"/>
      <c r="E11" s="239"/>
    </row>
    <row r="12" spans="1:5" ht="16.899999999999999" customHeight="1">
      <c r="A12" s="12" t="s">
        <v>6</v>
      </c>
      <c r="B12" s="270" t="s">
        <v>1398</v>
      </c>
      <c r="C12" s="270"/>
      <c r="D12" s="270"/>
      <c r="E12" s="270"/>
    </row>
    <row r="13" spans="1:5" ht="16.899999999999999" customHeight="1">
      <c r="A13" s="149" t="s">
        <v>7</v>
      </c>
      <c r="B13" s="239" t="s">
        <v>1420</v>
      </c>
      <c r="C13" s="239"/>
      <c r="D13" s="239"/>
      <c r="E13" s="239"/>
    </row>
    <row r="14" spans="1:5" ht="16.899999999999999" customHeight="1">
      <c r="A14" s="12" t="s">
        <v>8</v>
      </c>
      <c r="B14" s="277" t="s">
        <v>1421</v>
      </c>
      <c r="C14" s="270"/>
      <c r="D14" s="270"/>
      <c r="E14" s="270"/>
    </row>
    <row r="17" spans="1:6" ht="41.25" customHeight="1">
      <c r="A17" s="28" t="s">
        <v>167</v>
      </c>
      <c r="B17" s="28" t="s">
        <v>168</v>
      </c>
      <c r="C17" s="28" t="s">
        <v>169</v>
      </c>
      <c r="D17" s="28" t="s">
        <v>1405</v>
      </c>
      <c r="E17" s="28" t="s">
        <v>1406</v>
      </c>
    </row>
    <row r="18" spans="1:6" s="3" customFormat="1" ht="25">
      <c r="A18" s="46" t="s">
        <v>613</v>
      </c>
      <c r="B18" s="47" t="s">
        <v>16</v>
      </c>
      <c r="C18" s="48"/>
      <c r="D18" s="228"/>
      <c r="E18" s="228"/>
    </row>
    <row r="19" spans="1:6" ht="25">
      <c r="A19" s="50" t="s">
        <v>323</v>
      </c>
      <c r="B19" s="142" t="s">
        <v>170</v>
      </c>
      <c r="C19" s="51"/>
      <c r="D19" s="228">
        <v>82500110461</v>
      </c>
      <c r="E19" s="228">
        <v>86550668451</v>
      </c>
      <c r="F19" s="3"/>
    </row>
    <row r="20" spans="1:6" ht="37.5">
      <c r="A20" s="50" t="s">
        <v>252</v>
      </c>
      <c r="B20" s="142" t="s">
        <v>171</v>
      </c>
      <c r="C20" s="51"/>
      <c r="D20" s="228">
        <v>1014121102</v>
      </c>
      <c r="E20" s="228">
        <v>1358045223</v>
      </c>
      <c r="F20" s="3"/>
    </row>
    <row r="21" spans="1:6" ht="50">
      <c r="A21" s="50" t="s">
        <v>367</v>
      </c>
      <c r="B21" s="142" t="s">
        <v>172</v>
      </c>
      <c r="C21" s="51"/>
      <c r="D21" s="36">
        <v>960498879</v>
      </c>
      <c r="E21" s="36">
        <v>1312479572</v>
      </c>
      <c r="F21" s="3"/>
    </row>
    <row r="22" spans="1:6" ht="25">
      <c r="A22" s="50" t="s">
        <v>368</v>
      </c>
      <c r="B22" s="142" t="s">
        <v>175</v>
      </c>
      <c r="C22" s="51"/>
      <c r="D22" s="36">
        <v>53622223</v>
      </c>
      <c r="E22" s="36">
        <v>45565651</v>
      </c>
      <c r="F22" s="3"/>
    </row>
    <row r="23" spans="1:6" ht="37.5">
      <c r="A23" s="50" t="s">
        <v>253</v>
      </c>
      <c r="B23" s="142" t="s">
        <v>176</v>
      </c>
      <c r="C23" s="51"/>
      <c r="D23" s="228">
        <v>83514231563</v>
      </c>
      <c r="E23" s="228">
        <v>87908713674</v>
      </c>
      <c r="F23" s="3"/>
    </row>
    <row r="24" spans="1:6" ht="25">
      <c r="A24" s="50" t="s">
        <v>369</v>
      </c>
      <c r="B24" s="142" t="s">
        <v>193</v>
      </c>
      <c r="C24" s="51"/>
      <c r="D24" s="36">
        <v>-616334688335</v>
      </c>
      <c r="E24" s="36">
        <v>479098297207</v>
      </c>
      <c r="F24" s="3"/>
    </row>
    <row r="25" spans="1:6" ht="37.5">
      <c r="A25" s="50" t="s">
        <v>254</v>
      </c>
      <c r="B25" s="142" t="s">
        <v>177</v>
      </c>
      <c r="C25" s="51"/>
      <c r="D25" s="36">
        <v>0</v>
      </c>
      <c r="E25" s="36">
        <v>4076000000</v>
      </c>
      <c r="F25" s="3"/>
    </row>
    <row r="26" spans="1:6" ht="25">
      <c r="A26" s="50" t="s">
        <v>255</v>
      </c>
      <c r="B26" s="142" t="s">
        <v>178</v>
      </c>
      <c r="C26" s="51"/>
      <c r="D26" s="36">
        <v>-10083964506</v>
      </c>
      <c r="E26" s="36">
        <v>22415925718</v>
      </c>
      <c r="F26" s="3"/>
    </row>
    <row r="27" spans="1:6" ht="25">
      <c r="A27" s="50" t="s">
        <v>324</v>
      </c>
      <c r="B27" s="142" t="s">
        <v>179</v>
      </c>
      <c r="C27" s="51"/>
      <c r="D27" s="36">
        <v>0</v>
      </c>
      <c r="E27" s="36">
        <v>48400</v>
      </c>
      <c r="F27" s="3"/>
    </row>
    <row r="28" spans="1:6" ht="25">
      <c r="A28" s="50" t="s">
        <v>370</v>
      </c>
      <c r="B28" s="142" t="s">
        <v>180</v>
      </c>
      <c r="C28" s="51"/>
      <c r="D28" s="36">
        <v>0</v>
      </c>
      <c r="E28" s="36">
        <v>0</v>
      </c>
      <c r="F28" s="3"/>
    </row>
    <row r="29" spans="1:6" ht="37.5">
      <c r="A29" s="50" t="s">
        <v>256</v>
      </c>
      <c r="B29" s="142" t="s">
        <v>181</v>
      </c>
      <c r="C29" s="51"/>
      <c r="D29" s="36">
        <v>0</v>
      </c>
      <c r="E29" s="36">
        <v>-121386100000</v>
      </c>
      <c r="F29" s="3"/>
    </row>
    <row r="30" spans="1:6" ht="50">
      <c r="A30" s="50" t="s">
        <v>257</v>
      </c>
      <c r="B30" s="142" t="s">
        <v>183</v>
      </c>
      <c r="C30" s="51"/>
      <c r="D30" s="36">
        <v>0</v>
      </c>
      <c r="E30" s="36">
        <v>0</v>
      </c>
      <c r="F30" s="3"/>
    </row>
    <row r="31" spans="1:6" ht="37.5">
      <c r="A31" s="50" t="s">
        <v>371</v>
      </c>
      <c r="B31" s="142" t="s">
        <v>187</v>
      </c>
      <c r="C31" s="51"/>
      <c r="D31" s="36">
        <v>0</v>
      </c>
      <c r="E31" s="36">
        <v>0</v>
      </c>
      <c r="F31" s="3"/>
    </row>
    <row r="32" spans="1:6" ht="37.5">
      <c r="A32" s="50" t="s">
        <v>372</v>
      </c>
      <c r="B32" s="142" t="s">
        <v>189</v>
      </c>
      <c r="C32" s="51"/>
      <c r="D32" s="36">
        <v>515283426</v>
      </c>
      <c r="E32" s="36">
        <v>287895256</v>
      </c>
      <c r="F32" s="3"/>
    </row>
    <row r="33" spans="1:6" ht="37.5">
      <c r="A33" s="50" t="s">
        <v>373</v>
      </c>
      <c r="B33" s="142" t="s">
        <v>191</v>
      </c>
      <c r="C33" s="51"/>
      <c r="D33" s="36">
        <v>5808361511</v>
      </c>
      <c r="E33" s="36">
        <v>-19876288207</v>
      </c>
      <c r="F33" s="3"/>
    </row>
    <row r="34" spans="1:6" ht="37.5">
      <c r="A34" s="50" t="s">
        <v>374</v>
      </c>
      <c r="B34" s="142" t="s">
        <v>192</v>
      </c>
      <c r="C34" s="51"/>
      <c r="D34" s="36">
        <v>821010560</v>
      </c>
      <c r="E34" s="36">
        <v>-602065890</v>
      </c>
      <c r="F34" s="3"/>
    </row>
    <row r="35" spans="1:6" s="3" customFormat="1" ht="25">
      <c r="A35" s="50" t="s">
        <v>375</v>
      </c>
      <c r="B35" s="142" t="s">
        <v>258</v>
      </c>
      <c r="C35" s="51"/>
      <c r="D35" s="36">
        <v>0</v>
      </c>
      <c r="E35" s="36">
        <v>-27051660</v>
      </c>
    </row>
    <row r="36" spans="1:6" s="3" customFormat="1" ht="37.5">
      <c r="A36" s="52" t="s">
        <v>376</v>
      </c>
      <c r="B36" s="142" t="s">
        <v>259</v>
      </c>
      <c r="C36" s="51"/>
      <c r="D36" s="36">
        <v>734240756</v>
      </c>
      <c r="E36" s="36">
        <v>-288463579</v>
      </c>
    </row>
    <row r="37" spans="1:6" ht="25">
      <c r="A37" s="50" t="s">
        <v>260</v>
      </c>
      <c r="B37" s="142" t="s">
        <v>261</v>
      </c>
      <c r="C37" s="51"/>
      <c r="D37" s="36">
        <v>0</v>
      </c>
      <c r="E37" s="36">
        <v>0</v>
      </c>
      <c r="F37" s="3"/>
    </row>
    <row r="38" spans="1:6" ht="25">
      <c r="A38" s="46" t="s">
        <v>325</v>
      </c>
      <c r="B38" s="47" t="s">
        <v>262</v>
      </c>
      <c r="C38" s="48"/>
      <c r="D38" s="228">
        <v>-535025525025</v>
      </c>
      <c r="E38" s="228">
        <v>451606910919</v>
      </c>
      <c r="F38" s="3"/>
    </row>
    <row r="39" spans="1:6" ht="25">
      <c r="A39" s="46" t="s">
        <v>326</v>
      </c>
      <c r="B39" s="47" t="s">
        <v>22</v>
      </c>
      <c r="C39" s="48"/>
      <c r="D39" s="228"/>
      <c r="E39" s="228"/>
      <c r="F39" s="3"/>
    </row>
    <row r="40" spans="1:6" ht="25">
      <c r="A40" s="50" t="s">
        <v>377</v>
      </c>
      <c r="B40" s="142" t="s">
        <v>241</v>
      </c>
      <c r="C40" s="51"/>
      <c r="D40" s="36">
        <v>8647931461940</v>
      </c>
      <c r="E40" s="36">
        <v>7836835428322</v>
      </c>
      <c r="F40" s="3"/>
    </row>
    <row r="41" spans="1:6" ht="25">
      <c r="A41" s="50" t="s">
        <v>378</v>
      </c>
      <c r="B41" s="142" t="s">
        <v>243</v>
      </c>
      <c r="C41" s="51"/>
      <c r="D41" s="36">
        <v>-8567180983321</v>
      </c>
      <c r="E41" s="36">
        <v>-8324063354173</v>
      </c>
      <c r="F41" s="3"/>
    </row>
    <row r="42" spans="1:6" ht="25">
      <c r="A42" s="50" t="s">
        <v>327</v>
      </c>
      <c r="B42" s="142" t="s">
        <v>263</v>
      </c>
      <c r="C42" s="51"/>
      <c r="D42" s="36">
        <v>0</v>
      </c>
      <c r="E42" s="36">
        <v>0</v>
      </c>
      <c r="F42" s="3"/>
    </row>
    <row r="43" spans="1:6" s="3" customFormat="1" ht="25">
      <c r="A43" s="50" t="s">
        <v>328</v>
      </c>
      <c r="B43" s="142" t="s">
        <v>264</v>
      </c>
      <c r="C43" s="51"/>
      <c r="D43" s="36">
        <v>0</v>
      </c>
      <c r="E43" s="36">
        <v>0</v>
      </c>
    </row>
    <row r="44" spans="1:6" s="3" customFormat="1" ht="25">
      <c r="A44" s="50" t="s">
        <v>379</v>
      </c>
      <c r="B44" s="142" t="s">
        <v>265</v>
      </c>
      <c r="C44" s="51"/>
      <c r="D44" s="36">
        <v>0</v>
      </c>
      <c r="E44" s="36">
        <v>0</v>
      </c>
    </row>
    <row r="45" spans="1:6" ht="37.5">
      <c r="A45" s="46" t="s">
        <v>380</v>
      </c>
      <c r="B45" s="47" t="s">
        <v>239</v>
      </c>
      <c r="C45" s="51"/>
      <c r="D45" s="228">
        <v>80750478619</v>
      </c>
      <c r="E45" s="228">
        <v>-487227925851</v>
      </c>
      <c r="F45" s="3"/>
    </row>
    <row r="46" spans="1:6" ht="37.5">
      <c r="A46" s="46" t="s">
        <v>329</v>
      </c>
      <c r="B46" s="47" t="s">
        <v>245</v>
      </c>
      <c r="C46" s="48"/>
      <c r="D46" s="228">
        <v>-454275046406</v>
      </c>
      <c r="E46" s="228">
        <v>-35621014932</v>
      </c>
      <c r="F46" s="3"/>
    </row>
    <row r="47" spans="1:6" ht="25">
      <c r="A47" s="46" t="s">
        <v>330</v>
      </c>
      <c r="B47" s="47" t="s">
        <v>266</v>
      </c>
      <c r="C47" s="48"/>
      <c r="D47" s="228">
        <v>532821835814</v>
      </c>
      <c r="E47" s="228">
        <v>568442850746</v>
      </c>
      <c r="F47" s="3"/>
    </row>
    <row r="48" spans="1:6" ht="25">
      <c r="A48" s="50" t="s">
        <v>381</v>
      </c>
      <c r="B48" s="142" t="s">
        <v>267</v>
      </c>
      <c r="C48" s="51"/>
      <c r="D48" s="36">
        <v>532821835814</v>
      </c>
      <c r="E48" s="36">
        <v>568442850746</v>
      </c>
      <c r="F48" s="3"/>
    </row>
    <row r="49" spans="1:6" ht="37.5">
      <c r="A49" s="53" t="s">
        <v>382</v>
      </c>
      <c r="B49" s="142" t="s">
        <v>268</v>
      </c>
      <c r="C49" s="51"/>
      <c r="D49" s="36">
        <v>517102030672</v>
      </c>
      <c r="E49" s="36">
        <v>532244691507</v>
      </c>
      <c r="F49" s="3"/>
    </row>
    <row r="50" spans="1:6" ht="25">
      <c r="A50" s="54" t="s">
        <v>383</v>
      </c>
      <c r="B50" s="55" t="s">
        <v>269</v>
      </c>
      <c r="C50" s="51"/>
      <c r="D50" s="36">
        <v>22302030672</v>
      </c>
      <c r="E50" s="36">
        <v>126844691507</v>
      </c>
      <c r="F50" s="3"/>
    </row>
    <row r="51" spans="1:6" ht="25">
      <c r="A51" s="56" t="s">
        <v>614</v>
      </c>
      <c r="B51" s="55" t="s">
        <v>270</v>
      </c>
      <c r="C51" s="51"/>
      <c r="D51" s="36">
        <v>494800000000</v>
      </c>
      <c r="E51" s="36">
        <v>405400000000</v>
      </c>
      <c r="F51" s="3"/>
    </row>
    <row r="52" spans="1:6" s="3" customFormat="1" ht="25">
      <c r="A52" s="54" t="s">
        <v>21</v>
      </c>
      <c r="B52" s="55" t="s">
        <v>271</v>
      </c>
      <c r="C52" s="51"/>
      <c r="D52" s="36">
        <v>0</v>
      </c>
      <c r="E52" s="36">
        <v>0</v>
      </c>
    </row>
    <row r="53" spans="1:6" ht="50">
      <c r="A53" s="53" t="s">
        <v>615</v>
      </c>
      <c r="B53" s="142" t="s">
        <v>272</v>
      </c>
      <c r="C53" s="51"/>
      <c r="D53" s="36">
        <v>15719805142</v>
      </c>
      <c r="E53" s="36">
        <v>36198159239</v>
      </c>
      <c r="F53" s="3"/>
    </row>
    <row r="54" spans="1:6" ht="25">
      <c r="A54" s="50" t="s">
        <v>331</v>
      </c>
      <c r="B54" s="142" t="s">
        <v>273</v>
      </c>
      <c r="C54" s="51"/>
      <c r="D54" s="36">
        <v>0</v>
      </c>
      <c r="E54" s="36">
        <v>0</v>
      </c>
      <c r="F54" s="3"/>
    </row>
    <row r="55" spans="1:6" ht="25">
      <c r="A55" s="46" t="s">
        <v>332</v>
      </c>
      <c r="B55" s="47" t="s">
        <v>274</v>
      </c>
      <c r="C55" s="48"/>
      <c r="D55" s="228">
        <v>78546789408</v>
      </c>
      <c r="E55" s="228">
        <v>532821835814</v>
      </c>
      <c r="F55" s="3"/>
    </row>
    <row r="56" spans="1:6" ht="25">
      <c r="A56" s="50" t="s">
        <v>384</v>
      </c>
      <c r="B56" s="142" t="s">
        <v>275</v>
      </c>
      <c r="C56" s="51"/>
      <c r="D56" s="36">
        <v>78546789408</v>
      </c>
      <c r="E56" s="36">
        <v>532821835814</v>
      </c>
      <c r="F56" s="3"/>
    </row>
    <row r="57" spans="1:6" ht="37.5">
      <c r="A57" s="50" t="s">
        <v>382</v>
      </c>
      <c r="B57" s="142" t="s">
        <v>276</v>
      </c>
      <c r="C57" s="51"/>
      <c r="D57" s="36">
        <v>56197612195</v>
      </c>
      <c r="E57" s="36">
        <v>517102030672</v>
      </c>
      <c r="F57" s="3"/>
    </row>
    <row r="58" spans="1:6" ht="25">
      <c r="A58" s="54" t="s">
        <v>383</v>
      </c>
      <c r="B58" s="55" t="s">
        <v>277</v>
      </c>
      <c r="C58" s="51"/>
      <c r="D58" s="36">
        <v>1197612195</v>
      </c>
      <c r="E58" s="36">
        <v>22302030672</v>
      </c>
      <c r="F58" s="3"/>
    </row>
    <row r="59" spans="1:6" ht="25">
      <c r="A59" s="56" t="s">
        <v>614</v>
      </c>
      <c r="B59" s="55" t="s">
        <v>278</v>
      </c>
      <c r="C59" s="51"/>
      <c r="D59" s="36">
        <v>55000000000</v>
      </c>
      <c r="E59" s="36">
        <v>494800000000</v>
      </c>
      <c r="F59" s="3"/>
    </row>
    <row r="60" spans="1:6" s="3" customFormat="1" ht="25">
      <c r="A60" s="54" t="s">
        <v>21</v>
      </c>
      <c r="B60" s="55" t="s">
        <v>279</v>
      </c>
      <c r="C60" s="51"/>
      <c r="D60" s="36">
        <v>0</v>
      </c>
      <c r="E60" s="36">
        <v>0</v>
      </c>
    </row>
    <row r="61" spans="1:6" s="3" customFormat="1" ht="50">
      <c r="A61" s="53" t="s">
        <v>615</v>
      </c>
      <c r="B61" s="142" t="s">
        <v>280</v>
      </c>
      <c r="C61" s="51"/>
      <c r="D61" s="36">
        <v>22349177213</v>
      </c>
      <c r="E61" s="36">
        <v>15719805142</v>
      </c>
    </row>
    <row r="62" spans="1:6" ht="25">
      <c r="A62" s="50" t="s">
        <v>333</v>
      </c>
      <c r="B62" s="142" t="s">
        <v>281</v>
      </c>
      <c r="C62" s="51"/>
      <c r="D62" s="36">
        <v>0</v>
      </c>
      <c r="E62" s="36">
        <v>0</v>
      </c>
    </row>
    <row r="63" spans="1:6" ht="37.5">
      <c r="A63" s="46" t="s">
        <v>334</v>
      </c>
      <c r="B63" s="47" t="s">
        <v>282</v>
      </c>
      <c r="C63" s="48"/>
      <c r="D63" s="228">
        <v>-454275046406</v>
      </c>
      <c r="E63" s="228">
        <v>-35621014932</v>
      </c>
    </row>
    <row r="64" spans="1:6" ht="25.15" customHeight="1">
      <c r="A64" s="46" t="s">
        <v>335</v>
      </c>
      <c r="B64" s="47" t="s">
        <v>283</v>
      </c>
      <c r="C64" s="48"/>
      <c r="D64" s="228">
        <v>0</v>
      </c>
      <c r="E64" s="228">
        <v>0</v>
      </c>
    </row>
    <row r="65" spans="1:5">
      <c r="A65" s="172"/>
      <c r="B65" s="172"/>
      <c r="C65" s="172"/>
      <c r="D65" s="172"/>
      <c r="E65" s="172"/>
    </row>
    <row r="66" spans="1:5">
      <c r="A66" s="172"/>
      <c r="B66" s="172"/>
      <c r="C66" s="172"/>
      <c r="D66" s="172"/>
      <c r="E66" s="172"/>
    </row>
    <row r="67" spans="1:5">
      <c r="A67" s="219" t="s">
        <v>247</v>
      </c>
      <c r="B67" s="218"/>
      <c r="C67" s="286" t="s">
        <v>248</v>
      </c>
      <c r="D67" s="286"/>
      <c r="E67" s="286"/>
    </row>
    <row r="68" spans="1:5">
      <c r="A68" s="172"/>
      <c r="B68" s="172"/>
      <c r="C68" s="172"/>
      <c r="D68" s="172"/>
      <c r="E68" s="172"/>
    </row>
    <row r="69" spans="1:5">
      <c r="A69" s="172"/>
      <c r="B69" s="172"/>
      <c r="C69" s="172"/>
      <c r="D69" s="172"/>
      <c r="E69" s="172"/>
    </row>
    <row r="70" spans="1:5">
      <c r="A70" s="172"/>
      <c r="B70" s="172"/>
      <c r="C70" s="172"/>
      <c r="D70" s="172"/>
      <c r="E70" s="172"/>
    </row>
    <row r="71" spans="1:5">
      <c r="A71" s="172"/>
      <c r="B71" s="172"/>
      <c r="C71" s="172"/>
      <c r="D71" s="172"/>
      <c r="E71" s="172"/>
    </row>
    <row r="72" spans="1:5">
      <c r="A72" s="172"/>
      <c r="B72" s="172"/>
      <c r="C72" s="172"/>
      <c r="D72" s="172"/>
      <c r="E72" s="172"/>
    </row>
    <row r="73" spans="1:5">
      <c r="A73" s="172"/>
      <c r="B73" s="172"/>
      <c r="C73" s="172"/>
      <c r="D73" s="172"/>
      <c r="E73" s="172"/>
    </row>
    <row r="74" spans="1:5">
      <c r="A74" s="172"/>
      <c r="B74" s="172"/>
      <c r="C74" s="172"/>
      <c r="D74" s="172"/>
      <c r="E74" s="172"/>
    </row>
    <row r="75" spans="1:5">
      <c r="A75" s="172" t="s">
        <v>518</v>
      </c>
      <c r="B75" s="275" t="s">
        <v>512</v>
      </c>
      <c r="C75" s="275"/>
      <c r="D75" s="275"/>
      <c r="E75" s="172" t="s">
        <v>519</v>
      </c>
    </row>
    <row r="76" spans="1:5" ht="16.899999999999999" customHeight="1">
      <c r="A76" s="171" t="s">
        <v>1408</v>
      </c>
      <c r="B76" s="267" t="s">
        <v>1409</v>
      </c>
      <c r="C76" s="267"/>
      <c r="D76" s="267"/>
      <c r="E76" s="171" t="s">
        <v>1400</v>
      </c>
    </row>
    <row r="77" spans="1:5" ht="16.899999999999999" customHeight="1">
      <c r="A77" s="172" t="s">
        <v>1410</v>
      </c>
      <c r="B77" s="275" t="s">
        <v>1411</v>
      </c>
      <c r="C77" s="275"/>
      <c r="D77" s="275"/>
      <c r="E77" s="172" t="s">
        <v>1402</v>
      </c>
    </row>
  </sheetData>
  <mergeCells count="16">
    <mergeCell ref="B8:E8"/>
    <mergeCell ref="A1:E1"/>
    <mergeCell ref="A2:E2"/>
    <mergeCell ref="A3:E3"/>
    <mergeCell ref="A4:E4"/>
    <mergeCell ref="B7:E7"/>
    <mergeCell ref="B77:D77"/>
    <mergeCell ref="B76:D76"/>
    <mergeCell ref="B9:E9"/>
    <mergeCell ref="B10:E10"/>
    <mergeCell ref="B11:E11"/>
    <mergeCell ref="B12:E12"/>
    <mergeCell ref="B13:E13"/>
    <mergeCell ref="B14:E14"/>
    <mergeCell ref="B75:D75"/>
    <mergeCell ref="C67:E67"/>
  </mergeCells>
  <printOptions horizontalCentered="1"/>
  <pageMargins left="0.3" right="0.3" top="0.8" bottom="0.75" header="0.3" footer="0.3"/>
  <pageSetup paperSize="9" scale="68" fitToHeight="0" orientation="portrait" r:id="rId1"/>
  <headerFooter>
    <oddHeader>&amp;L&amp;"Arial"&amp;9&amp;KA80000CONFIDENTIAL&amp;1#</oddHeader>
  </headerFooter>
  <drawing r:id="rId2"/>
  <legacyDrawing r:id="rId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H93"/>
  <sheetViews>
    <sheetView view="pageBreakPreview" zoomScaleNormal="100" zoomScaleSheetLayoutView="100" workbookViewId="0">
      <selection activeCell="C15" sqref="C15"/>
    </sheetView>
  </sheetViews>
  <sheetFormatPr defaultColWidth="8.7265625" defaultRowHeight="12.5"/>
  <cols>
    <col min="1" max="1" width="51.81640625" style="44" customWidth="1"/>
    <col min="2" max="2" width="9.7265625" style="44" customWidth="1"/>
    <col min="3" max="3" width="8.7265625" style="44"/>
    <col min="4" max="4" width="30.54296875" style="44" customWidth="1"/>
    <col min="5" max="5" width="30.1796875" style="44" customWidth="1"/>
    <col min="6" max="7" width="8.7265625" style="27" customWidth="1"/>
    <col min="8" max="16384" width="8.7265625" style="27"/>
  </cols>
  <sheetData>
    <row r="1" spans="1:5" ht="54.75" customHeight="1">
      <c r="A1" s="265" t="s">
        <v>603</v>
      </c>
      <c r="B1" s="265"/>
      <c r="C1" s="265"/>
      <c r="D1" s="265"/>
      <c r="E1" s="265"/>
    </row>
    <row r="2" spans="1:5" ht="69.75" customHeight="1">
      <c r="A2" s="266" t="s">
        <v>601</v>
      </c>
      <c r="B2" s="266"/>
      <c r="C2" s="266"/>
      <c r="D2" s="266"/>
      <c r="E2" s="266"/>
    </row>
    <row r="3" spans="1:5">
      <c r="A3" s="267" t="s">
        <v>166</v>
      </c>
      <c r="B3" s="267"/>
      <c r="C3" s="267"/>
      <c r="D3" s="267"/>
      <c r="E3" s="267"/>
    </row>
    <row r="4" spans="1:5" ht="31.15" customHeight="1">
      <c r="A4" s="267"/>
      <c r="B4" s="267"/>
      <c r="C4" s="267"/>
      <c r="D4" s="267"/>
      <c r="E4" s="267"/>
    </row>
    <row r="5" spans="1:5" ht="16.899999999999999" customHeight="1">
      <c r="A5" s="268" t="s">
        <v>1392</v>
      </c>
      <c r="B5" s="268"/>
      <c r="C5" s="268"/>
      <c r="D5" s="268"/>
      <c r="E5" s="268"/>
    </row>
    <row r="6" spans="1:5" ht="16.899999999999999" customHeight="1"/>
    <row r="7" spans="1:5" ht="16.899999999999999" customHeight="1">
      <c r="A7" s="149" t="s">
        <v>2</v>
      </c>
      <c r="B7" s="239" t="s">
        <v>1393</v>
      </c>
      <c r="C7" s="239"/>
      <c r="D7" s="239"/>
      <c r="E7" s="239"/>
    </row>
    <row r="8" spans="1:5" ht="16.899999999999999" customHeight="1">
      <c r="A8" s="44" t="s">
        <v>15</v>
      </c>
      <c r="B8" s="270" t="s">
        <v>1394</v>
      </c>
      <c r="C8" s="270"/>
      <c r="D8" s="270"/>
      <c r="E8" s="270"/>
    </row>
    <row r="9" spans="1:5" ht="16.899999999999999" customHeight="1">
      <c r="A9" s="149" t="s">
        <v>3</v>
      </c>
      <c r="B9" s="239" t="s">
        <v>1395</v>
      </c>
      <c r="C9" s="239"/>
      <c r="D9" s="239"/>
      <c r="E9" s="239"/>
    </row>
    <row r="10" spans="1:5" ht="16.899999999999999" customHeight="1">
      <c r="A10" s="44" t="s">
        <v>4</v>
      </c>
      <c r="B10" s="270" t="s">
        <v>1396</v>
      </c>
      <c r="C10" s="270"/>
      <c r="D10" s="270"/>
      <c r="E10" s="270"/>
    </row>
    <row r="11" spans="1:5" ht="16.899999999999999" customHeight="1">
      <c r="A11" s="149" t="s">
        <v>5</v>
      </c>
      <c r="B11" s="239" t="s">
        <v>1397</v>
      </c>
      <c r="C11" s="239"/>
      <c r="D11" s="239"/>
      <c r="E11" s="239"/>
    </row>
    <row r="12" spans="1:5" ht="16.899999999999999" customHeight="1">
      <c r="A12" s="44" t="s">
        <v>6</v>
      </c>
      <c r="B12" s="270" t="s">
        <v>1398</v>
      </c>
      <c r="C12" s="270"/>
      <c r="D12" s="270"/>
      <c r="E12" s="270"/>
    </row>
    <row r="13" spans="1:5" ht="16.899999999999999" customHeight="1">
      <c r="A13" s="149" t="s">
        <v>7</v>
      </c>
      <c r="B13" s="239" t="s">
        <v>1420</v>
      </c>
      <c r="C13" s="239"/>
      <c r="D13" s="239"/>
      <c r="E13" s="239"/>
    </row>
    <row r="14" spans="1:5" ht="16.899999999999999" customHeight="1">
      <c r="A14" s="44" t="s">
        <v>8</v>
      </c>
      <c r="B14" s="277" t="s">
        <v>1421</v>
      </c>
      <c r="C14" s="270"/>
      <c r="D14" s="270"/>
      <c r="E14" s="270"/>
    </row>
    <row r="16" spans="1:5" ht="35.65" customHeight="1">
      <c r="A16" s="287" t="s">
        <v>167</v>
      </c>
      <c r="B16" s="287" t="s">
        <v>168</v>
      </c>
      <c r="C16" s="287" t="s">
        <v>169</v>
      </c>
      <c r="D16" s="287" t="s">
        <v>1405</v>
      </c>
      <c r="E16" s="287" t="s">
        <v>1406</v>
      </c>
    </row>
    <row r="17" spans="1:8">
      <c r="A17" s="288"/>
      <c r="B17" s="288"/>
      <c r="C17" s="288"/>
      <c r="D17" s="288"/>
      <c r="E17" s="288"/>
    </row>
    <row r="18" spans="1:8" s="3" customFormat="1" ht="25">
      <c r="A18" s="57" t="s">
        <v>355</v>
      </c>
      <c r="B18" s="58" t="s">
        <v>170</v>
      </c>
      <c r="C18" s="46"/>
      <c r="D18" s="228">
        <v>103870675995</v>
      </c>
      <c r="E18" s="228">
        <v>110773490944</v>
      </c>
    </row>
    <row r="19" spans="1:8" ht="25">
      <c r="A19" s="59" t="s">
        <v>356</v>
      </c>
      <c r="B19" s="60" t="s">
        <v>171</v>
      </c>
      <c r="C19" s="50"/>
      <c r="D19" s="36">
        <v>0</v>
      </c>
      <c r="E19" s="36">
        <v>0</v>
      </c>
      <c r="G19" s="3"/>
      <c r="H19" s="3"/>
    </row>
    <row r="20" spans="1:8" ht="25">
      <c r="A20" s="59" t="s">
        <v>357</v>
      </c>
      <c r="B20" s="60" t="s">
        <v>172</v>
      </c>
      <c r="C20" s="50"/>
      <c r="D20" s="36">
        <v>102479225787</v>
      </c>
      <c r="E20" s="36">
        <v>114906791519</v>
      </c>
      <c r="G20" s="3"/>
      <c r="H20" s="3"/>
    </row>
    <row r="21" spans="1:8" ht="25">
      <c r="A21" s="59" t="s">
        <v>288</v>
      </c>
      <c r="B21" s="60" t="s">
        <v>173</v>
      </c>
      <c r="C21" s="50"/>
      <c r="D21" s="36">
        <v>23028565358</v>
      </c>
      <c r="E21" s="36">
        <v>21920698017</v>
      </c>
      <c r="G21" s="3"/>
      <c r="H21" s="3"/>
    </row>
    <row r="22" spans="1:8" ht="25">
      <c r="A22" s="59" t="s">
        <v>606</v>
      </c>
      <c r="B22" s="60" t="s">
        <v>174</v>
      </c>
      <c r="C22" s="50"/>
      <c r="D22" s="36">
        <v>27755639273</v>
      </c>
      <c r="E22" s="36">
        <v>24383495889</v>
      </c>
      <c r="G22" s="3"/>
      <c r="H22" s="3"/>
    </row>
    <row r="23" spans="1:8" ht="25">
      <c r="A23" s="61" t="s">
        <v>358</v>
      </c>
      <c r="B23" s="60" t="s">
        <v>284</v>
      </c>
      <c r="C23" s="50"/>
      <c r="D23" s="36">
        <v>51695021156</v>
      </c>
      <c r="E23" s="36">
        <v>68602597613</v>
      </c>
      <c r="G23" s="3"/>
      <c r="H23" s="3"/>
    </row>
    <row r="24" spans="1:8" ht="25">
      <c r="A24" s="50" t="s">
        <v>287</v>
      </c>
      <c r="B24" s="60" t="s">
        <v>286</v>
      </c>
      <c r="C24" s="50"/>
      <c r="D24" s="36">
        <v>0</v>
      </c>
      <c r="E24" s="36">
        <v>0</v>
      </c>
      <c r="G24" s="3"/>
      <c r="H24" s="3"/>
    </row>
    <row r="25" spans="1:8" ht="25">
      <c r="A25" s="50" t="s">
        <v>289</v>
      </c>
      <c r="B25" s="60" t="s">
        <v>175</v>
      </c>
      <c r="C25" s="50"/>
      <c r="D25" s="36">
        <v>2351949087</v>
      </c>
      <c r="E25" s="36">
        <v>-2820821003</v>
      </c>
      <c r="G25" s="3"/>
      <c r="H25" s="3"/>
    </row>
    <row r="26" spans="1:8" ht="37.5">
      <c r="A26" s="50" t="s">
        <v>290</v>
      </c>
      <c r="B26" s="60" t="s">
        <v>176</v>
      </c>
      <c r="C26" s="50"/>
      <c r="D26" s="36">
        <v>-960498879</v>
      </c>
      <c r="E26" s="36">
        <v>-1312479572</v>
      </c>
      <c r="G26" s="3"/>
      <c r="H26" s="3"/>
    </row>
    <row r="27" spans="1:8" ht="25">
      <c r="A27" s="59" t="s">
        <v>359</v>
      </c>
      <c r="B27" s="60" t="s">
        <v>177</v>
      </c>
      <c r="C27" s="50"/>
      <c r="D27" s="36">
        <v>0</v>
      </c>
      <c r="E27" s="36">
        <v>0</v>
      </c>
      <c r="G27" s="3"/>
      <c r="H27" s="3"/>
    </row>
    <row r="28" spans="1:8" ht="25">
      <c r="A28" s="50" t="s">
        <v>291</v>
      </c>
      <c r="B28" s="60" t="s">
        <v>178</v>
      </c>
      <c r="C28" s="50"/>
      <c r="D28" s="36">
        <v>0</v>
      </c>
      <c r="E28" s="36">
        <v>0</v>
      </c>
      <c r="G28" s="3"/>
      <c r="H28" s="3"/>
    </row>
    <row r="29" spans="1:8" ht="25">
      <c r="A29" s="59" t="s">
        <v>360</v>
      </c>
      <c r="B29" s="60" t="s">
        <v>179</v>
      </c>
      <c r="C29" s="50"/>
      <c r="D29" s="36">
        <v>0</v>
      </c>
      <c r="E29" s="36">
        <v>0</v>
      </c>
      <c r="G29" s="3"/>
      <c r="H29" s="3"/>
    </row>
    <row r="30" spans="1:8" ht="50">
      <c r="A30" s="50" t="s">
        <v>361</v>
      </c>
      <c r="B30" s="60" t="s">
        <v>180</v>
      </c>
      <c r="C30" s="50"/>
      <c r="D30" s="36">
        <v>0</v>
      </c>
      <c r="E30" s="36">
        <v>0</v>
      </c>
      <c r="G30" s="3"/>
      <c r="H30" s="3"/>
    </row>
    <row r="31" spans="1:8" s="3" customFormat="1" ht="25">
      <c r="A31" s="57" t="s">
        <v>312</v>
      </c>
      <c r="B31" s="58" t="s">
        <v>181</v>
      </c>
      <c r="C31" s="46"/>
      <c r="D31" s="228">
        <v>276670671</v>
      </c>
      <c r="E31" s="228">
        <v>905846094</v>
      </c>
    </row>
    <row r="32" spans="1:8" ht="25">
      <c r="A32" s="50" t="s">
        <v>182</v>
      </c>
      <c r="B32" s="60" t="s">
        <v>183</v>
      </c>
      <c r="C32" s="50"/>
      <c r="D32" s="36">
        <v>276670671</v>
      </c>
      <c r="E32" s="36">
        <v>899246094</v>
      </c>
      <c r="G32" s="3"/>
      <c r="H32" s="3"/>
    </row>
    <row r="33" spans="1:8" ht="25">
      <c r="A33" s="50" t="s">
        <v>607</v>
      </c>
      <c r="B33" s="60" t="s">
        <v>184</v>
      </c>
      <c r="C33" s="50"/>
      <c r="D33" s="36">
        <v>275560845</v>
      </c>
      <c r="E33" s="36">
        <v>892382790</v>
      </c>
      <c r="G33" s="3"/>
      <c r="H33" s="3"/>
    </row>
    <row r="34" spans="1:8" ht="25">
      <c r="A34" s="50" t="s">
        <v>42</v>
      </c>
      <c r="B34" s="60" t="s">
        <v>185</v>
      </c>
      <c r="C34" s="50"/>
      <c r="D34" s="36">
        <v>1109826</v>
      </c>
      <c r="E34" s="36">
        <v>6863304</v>
      </c>
      <c r="G34" s="3"/>
      <c r="H34" s="3"/>
    </row>
    <row r="35" spans="1:8" ht="37.5">
      <c r="A35" s="50" t="s">
        <v>186</v>
      </c>
      <c r="B35" s="60" t="s">
        <v>187</v>
      </c>
      <c r="C35" s="50"/>
      <c r="D35" s="36">
        <v>0</v>
      </c>
      <c r="E35" s="36">
        <v>0</v>
      </c>
      <c r="G35" s="3"/>
      <c r="H35" s="3"/>
    </row>
    <row r="36" spans="1:8" ht="25">
      <c r="A36" s="50" t="s">
        <v>188</v>
      </c>
      <c r="B36" s="60" t="s">
        <v>189</v>
      </c>
      <c r="C36" s="50"/>
      <c r="D36" s="36">
        <v>0</v>
      </c>
      <c r="E36" s="36">
        <v>0</v>
      </c>
      <c r="G36" s="3"/>
      <c r="H36" s="3"/>
    </row>
    <row r="37" spans="1:8" ht="50">
      <c r="A37" s="50" t="s">
        <v>190</v>
      </c>
      <c r="B37" s="60" t="s">
        <v>191</v>
      </c>
      <c r="C37" s="50"/>
      <c r="D37" s="36">
        <v>0</v>
      </c>
      <c r="E37" s="36">
        <v>0</v>
      </c>
      <c r="G37" s="3"/>
      <c r="H37" s="3"/>
    </row>
    <row r="38" spans="1:8" ht="25">
      <c r="A38" s="59" t="s">
        <v>313</v>
      </c>
      <c r="B38" s="60" t="s">
        <v>192</v>
      </c>
      <c r="C38" s="50"/>
      <c r="D38" s="36">
        <v>0</v>
      </c>
      <c r="E38" s="36">
        <v>6600000</v>
      </c>
      <c r="G38" s="3"/>
      <c r="H38" s="3"/>
    </row>
    <row r="39" spans="1:8" s="3" customFormat="1" ht="25">
      <c r="A39" s="57" t="s">
        <v>314</v>
      </c>
      <c r="B39" s="58" t="s">
        <v>193</v>
      </c>
      <c r="C39" s="46"/>
      <c r="D39" s="49">
        <v>21093894863</v>
      </c>
      <c r="E39" s="49">
        <v>23316976399</v>
      </c>
    </row>
    <row r="40" spans="1:8" ht="25">
      <c r="A40" s="50" t="s">
        <v>362</v>
      </c>
      <c r="B40" s="60" t="s">
        <v>194</v>
      </c>
      <c r="C40" s="50"/>
      <c r="D40" s="36">
        <v>18318396907</v>
      </c>
      <c r="E40" s="36">
        <v>20283808055</v>
      </c>
      <c r="G40" s="3"/>
      <c r="H40" s="3"/>
    </row>
    <row r="41" spans="1:8" ht="25">
      <c r="A41" s="50" t="s">
        <v>195</v>
      </c>
      <c r="B41" s="60" t="s">
        <v>196</v>
      </c>
      <c r="C41" s="50"/>
      <c r="D41" s="36">
        <v>792362407</v>
      </c>
      <c r="E41" s="36">
        <v>885947868</v>
      </c>
      <c r="G41" s="3"/>
      <c r="H41" s="3"/>
    </row>
    <row r="42" spans="1:8" ht="25">
      <c r="A42" s="54" t="s">
        <v>25</v>
      </c>
      <c r="B42" s="62" t="s">
        <v>197</v>
      </c>
      <c r="C42" s="50"/>
      <c r="D42" s="36">
        <v>769428996</v>
      </c>
      <c r="E42" s="36">
        <v>845535193</v>
      </c>
      <c r="G42" s="3"/>
      <c r="H42" s="3"/>
    </row>
    <row r="43" spans="1:8" ht="25">
      <c r="A43" s="54" t="s">
        <v>26</v>
      </c>
      <c r="B43" s="62" t="s">
        <v>198</v>
      </c>
      <c r="C43" s="50"/>
      <c r="D43" s="36">
        <v>14425000</v>
      </c>
      <c r="E43" s="36">
        <v>27050000</v>
      </c>
      <c r="G43" s="3"/>
      <c r="H43" s="3"/>
    </row>
    <row r="44" spans="1:8" ht="50">
      <c r="A44" s="54" t="s">
        <v>608</v>
      </c>
      <c r="B44" s="62" t="s">
        <v>199</v>
      </c>
      <c r="C44" s="50"/>
      <c r="D44" s="36">
        <v>8508411</v>
      </c>
      <c r="E44" s="36">
        <v>13362675</v>
      </c>
      <c r="G44" s="3"/>
      <c r="H44" s="3"/>
    </row>
    <row r="45" spans="1:8" ht="25">
      <c r="A45" s="50" t="s">
        <v>200</v>
      </c>
      <c r="B45" s="60" t="s">
        <v>201</v>
      </c>
      <c r="C45" s="50"/>
      <c r="D45" s="36">
        <v>503755911</v>
      </c>
      <c r="E45" s="36">
        <v>558053219</v>
      </c>
      <c r="G45" s="3"/>
      <c r="H45" s="3"/>
    </row>
    <row r="46" spans="1:8" ht="25">
      <c r="A46" s="50" t="s">
        <v>202</v>
      </c>
      <c r="B46" s="60" t="s">
        <v>203</v>
      </c>
      <c r="C46" s="50"/>
      <c r="D46" s="36">
        <v>686892695</v>
      </c>
      <c r="E46" s="36">
        <v>821620965</v>
      </c>
      <c r="G46" s="3"/>
      <c r="H46" s="3"/>
    </row>
    <row r="47" spans="1:8" ht="25">
      <c r="A47" s="50" t="s">
        <v>204</v>
      </c>
      <c r="B47" s="60" t="s">
        <v>205</v>
      </c>
      <c r="C47" s="50"/>
      <c r="D47" s="36">
        <v>158400000</v>
      </c>
      <c r="E47" s="36">
        <v>158400000</v>
      </c>
      <c r="G47" s="3"/>
      <c r="H47" s="3"/>
    </row>
    <row r="48" spans="1:8" ht="25">
      <c r="A48" s="50" t="s">
        <v>206</v>
      </c>
      <c r="B48" s="60" t="s">
        <v>207</v>
      </c>
      <c r="C48" s="50"/>
      <c r="D48" s="36">
        <v>0</v>
      </c>
      <c r="E48" s="36">
        <v>0</v>
      </c>
      <c r="G48" s="3"/>
      <c r="H48" s="3"/>
    </row>
    <row r="49" spans="1:8" ht="37.5">
      <c r="A49" s="54" t="s">
        <v>363</v>
      </c>
      <c r="B49" s="62" t="s">
        <v>208</v>
      </c>
      <c r="C49" s="50"/>
      <c r="D49" s="36">
        <v>0</v>
      </c>
      <c r="E49" s="36">
        <v>0</v>
      </c>
      <c r="G49" s="3"/>
      <c r="H49" s="3"/>
    </row>
    <row r="50" spans="1:8" ht="25">
      <c r="A50" s="54" t="s">
        <v>364</v>
      </c>
      <c r="B50" s="62" t="s">
        <v>209</v>
      </c>
      <c r="C50" s="50"/>
      <c r="D50" s="36">
        <v>0</v>
      </c>
      <c r="E50" s="36">
        <v>0</v>
      </c>
      <c r="G50" s="3"/>
      <c r="H50" s="3"/>
    </row>
    <row r="51" spans="1:8" ht="25">
      <c r="A51" s="50" t="s">
        <v>210</v>
      </c>
      <c r="B51" s="60" t="s">
        <v>211</v>
      </c>
      <c r="C51" s="50"/>
      <c r="D51" s="36">
        <v>129672759</v>
      </c>
      <c r="E51" s="36">
        <v>145908114</v>
      </c>
      <c r="G51" s="3"/>
      <c r="H51" s="3"/>
    </row>
    <row r="52" spans="1:8" ht="25">
      <c r="A52" s="59" t="s">
        <v>315</v>
      </c>
      <c r="B52" s="60" t="s">
        <v>212</v>
      </c>
      <c r="C52" s="50"/>
      <c r="D52" s="36">
        <v>153993964</v>
      </c>
      <c r="E52" s="36">
        <v>134217528</v>
      </c>
      <c r="G52" s="3"/>
      <c r="H52" s="3"/>
    </row>
    <row r="53" spans="1:8" ht="25">
      <c r="A53" s="50" t="s">
        <v>213</v>
      </c>
      <c r="B53" s="60" t="s">
        <v>214</v>
      </c>
      <c r="C53" s="50"/>
      <c r="D53" s="36">
        <v>0</v>
      </c>
      <c r="E53" s="36">
        <v>0</v>
      </c>
      <c r="G53" s="3"/>
      <c r="H53" s="3"/>
    </row>
    <row r="54" spans="1:8" ht="25">
      <c r="A54" s="59" t="s">
        <v>316</v>
      </c>
      <c r="B54" s="60" t="s">
        <v>215</v>
      </c>
      <c r="C54" s="50"/>
      <c r="D54" s="36">
        <v>350420220</v>
      </c>
      <c r="E54" s="36">
        <v>329020650</v>
      </c>
      <c r="G54" s="3"/>
      <c r="H54" s="3"/>
    </row>
    <row r="55" spans="1:8" ht="25">
      <c r="A55" s="54" t="s">
        <v>39</v>
      </c>
      <c r="B55" s="62" t="s">
        <v>216</v>
      </c>
      <c r="C55" s="50"/>
      <c r="D55" s="36">
        <v>78000000</v>
      </c>
      <c r="E55" s="36">
        <v>78000000</v>
      </c>
      <c r="G55" s="3"/>
      <c r="H55" s="3"/>
    </row>
    <row r="56" spans="1:8" ht="37.5">
      <c r="A56" s="54" t="s">
        <v>217</v>
      </c>
      <c r="B56" s="62" t="s">
        <v>218</v>
      </c>
      <c r="C56" s="50"/>
      <c r="D56" s="36">
        <v>0</v>
      </c>
      <c r="E56" s="36">
        <v>0</v>
      </c>
      <c r="G56" s="3"/>
      <c r="H56" s="3"/>
    </row>
    <row r="57" spans="1:8" ht="25">
      <c r="A57" s="54" t="s">
        <v>219</v>
      </c>
      <c r="B57" s="62" t="s">
        <v>220</v>
      </c>
      <c r="C57" s="50"/>
      <c r="D57" s="36">
        <v>0</v>
      </c>
      <c r="E57" s="36">
        <v>0</v>
      </c>
      <c r="G57" s="3"/>
      <c r="H57" s="3"/>
    </row>
    <row r="58" spans="1:8" ht="25">
      <c r="A58" s="63" t="s">
        <v>317</v>
      </c>
      <c r="B58" s="62" t="s">
        <v>221</v>
      </c>
      <c r="C58" s="50"/>
      <c r="D58" s="36">
        <v>141000000</v>
      </c>
      <c r="E58" s="36">
        <v>117500000</v>
      </c>
      <c r="G58" s="3"/>
      <c r="H58" s="3"/>
    </row>
    <row r="59" spans="1:8" ht="25">
      <c r="A59" s="54" t="s">
        <v>40</v>
      </c>
      <c r="B59" s="62" t="s">
        <v>222</v>
      </c>
      <c r="C59" s="50"/>
      <c r="D59" s="36">
        <v>49435920</v>
      </c>
      <c r="E59" s="36">
        <v>43200000</v>
      </c>
      <c r="G59" s="3"/>
      <c r="H59" s="3"/>
    </row>
    <row r="60" spans="1:8" ht="25">
      <c r="A60" s="63" t="s">
        <v>318</v>
      </c>
      <c r="B60" s="62" t="s">
        <v>223</v>
      </c>
      <c r="C60" s="50"/>
      <c r="D60" s="36">
        <v>0</v>
      </c>
      <c r="E60" s="36">
        <v>0</v>
      </c>
      <c r="G60" s="3"/>
      <c r="H60" s="3"/>
    </row>
    <row r="61" spans="1:8" ht="25">
      <c r="A61" s="63" t="s">
        <v>319</v>
      </c>
      <c r="B61" s="62" t="s">
        <v>224</v>
      </c>
      <c r="C61" s="50"/>
      <c r="D61" s="36">
        <v>7500000</v>
      </c>
      <c r="E61" s="36">
        <v>7500000</v>
      </c>
      <c r="G61" s="3"/>
      <c r="H61" s="3"/>
    </row>
    <row r="62" spans="1:8" ht="25">
      <c r="A62" s="54" t="s">
        <v>46</v>
      </c>
      <c r="B62" s="62" t="s">
        <v>225</v>
      </c>
      <c r="C62" s="50"/>
      <c r="D62" s="36">
        <v>69787300</v>
      </c>
      <c r="E62" s="36">
        <v>80989150</v>
      </c>
      <c r="G62" s="3"/>
      <c r="H62" s="3"/>
    </row>
    <row r="63" spans="1:8" ht="25">
      <c r="A63" s="54" t="s">
        <v>41</v>
      </c>
      <c r="B63" s="62" t="s">
        <v>226</v>
      </c>
      <c r="C63" s="50"/>
      <c r="D63" s="36">
        <v>0</v>
      </c>
      <c r="E63" s="36">
        <v>0</v>
      </c>
      <c r="G63" s="3"/>
      <c r="H63" s="3"/>
    </row>
    <row r="64" spans="1:8" ht="25">
      <c r="A64" s="54" t="s">
        <v>303</v>
      </c>
      <c r="B64" s="62" t="s">
        <v>227</v>
      </c>
      <c r="C64" s="50"/>
      <c r="D64" s="36">
        <v>0</v>
      </c>
      <c r="E64" s="36">
        <v>0</v>
      </c>
      <c r="G64" s="3"/>
      <c r="H64" s="3"/>
    </row>
    <row r="65" spans="1:8" ht="25">
      <c r="A65" s="64" t="s">
        <v>609</v>
      </c>
      <c r="B65" s="62" t="s">
        <v>228</v>
      </c>
      <c r="C65" s="50"/>
      <c r="D65" s="36">
        <v>1100000</v>
      </c>
      <c r="E65" s="36">
        <v>1100000</v>
      </c>
      <c r="G65" s="3"/>
      <c r="H65" s="3"/>
    </row>
    <row r="66" spans="1:8" ht="25">
      <c r="A66" s="64" t="s">
        <v>610</v>
      </c>
      <c r="B66" s="62" t="s">
        <v>229</v>
      </c>
      <c r="C66" s="50"/>
      <c r="D66" s="36">
        <v>0</v>
      </c>
      <c r="E66" s="36">
        <v>0</v>
      </c>
      <c r="G66" s="3"/>
      <c r="H66" s="3"/>
    </row>
    <row r="67" spans="1:8" ht="25">
      <c r="A67" s="63" t="s">
        <v>320</v>
      </c>
      <c r="B67" s="62" t="s">
        <v>230</v>
      </c>
      <c r="C67" s="50"/>
      <c r="D67" s="36">
        <v>0</v>
      </c>
      <c r="E67" s="36">
        <v>0</v>
      </c>
      <c r="G67" s="3"/>
      <c r="H67" s="3"/>
    </row>
    <row r="68" spans="1:8" ht="25">
      <c r="A68" s="54" t="s">
        <v>231</v>
      </c>
      <c r="B68" s="62" t="s">
        <v>232</v>
      </c>
      <c r="C68" s="50"/>
      <c r="D68" s="36">
        <v>3597000</v>
      </c>
      <c r="E68" s="36">
        <v>731500</v>
      </c>
      <c r="G68" s="3"/>
      <c r="H68" s="3"/>
    </row>
    <row r="69" spans="1:8" s="3" customFormat="1" ht="37.5">
      <c r="A69" s="46" t="s">
        <v>233</v>
      </c>
      <c r="B69" s="58" t="s">
        <v>234</v>
      </c>
      <c r="C69" s="46"/>
      <c r="D69" s="228">
        <v>82500110461</v>
      </c>
      <c r="E69" s="228">
        <v>86550668451</v>
      </c>
    </row>
    <row r="70" spans="1:8" s="3" customFormat="1" ht="25">
      <c r="A70" s="46" t="s">
        <v>235</v>
      </c>
      <c r="B70" s="58" t="s">
        <v>236</v>
      </c>
      <c r="C70" s="46"/>
      <c r="D70" s="228">
        <v>0</v>
      </c>
      <c r="E70" s="228">
        <v>0</v>
      </c>
    </row>
    <row r="71" spans="1:8" ht="25">
      <c r="A71" s="59" t="s">
        <v>365</v>
      </c>
      <c r="B71" s="60" t="s">
        <v>237</v>
      </c>
      <c r="C71" s="50"/>
      <c r="D71" s="36">
        <v>0</v>
      </c>
      <c r="E71" s="36">
        <v>0</v>
      </c>
      <c r="G71" s="3"/>
      <c r="H71" s="3"/>
    </row>
    <row r="72" spans="1:8" ht="25">
      <c r="A72" s="59" t="s">
        <v>321</v>
      </c>
      <c r="B72" s="60" t="s">
        <v>238</v>
      </c>
      <c r="C72" s="50"/>
      <c r="D72" s="36">
        <v>0</v>
      </c>
      <c r="E72" s="36">
        <v>0</v>
      </c>
      <c r="G72" s="3"/>
      <c r="H72" s="3"/>
    </row>
    <row r="73" spans="1:8" s="3" customFormat="1" ht="25">
      <c r="A73" s="46" t="s">
        <v>506</v>
      </c>
      <c r="B73" s="58" t="s">
        <v>239</v>
      </c>
      <c r="C73" s="46"/>
      <c r="D73" s="228">
        <v>82500110461</v>
      </c>
      <c r="E73" s="228">
        <v>86550668451</v>
      </c>
    </row>
    <row r="74" spans="1:8" ht="25">
      <c r="A74" s="50" t="s">
        <v>240</v>
      </c>
      <c r="B74" s="60" t="s">
        <v>241</v>
      </c>
      <c r="C74" s="50"/>
      <c r="D74" s="36">
        <v>83460609340</v>
      </c>
      <c r="E74" s="36">
        <v>87863148023</v>
      </c>
      <c r="G74" s="3"/>
      <c r="H74" s="3"/>
    </row>
    <row r="75" spans="1:8" ht="25">
      <c r="A75" s="50" t="s">
        <v>242</v>
      </c>
      <c r="B75" s="60" t="s">
        <v>243</v>
      </c>
      <c r="C75" s="50"/>
      <c r="D75" s="36">
        <v>-960498879</v>
      </c>
      <c r="E75" s="36">
        <v>-1312479572</v>
      </c>
      <c r="G75" s="3"/>
      <c r="H75" s="3"/>
    </row>
    <row r="76" spans="1:8" s="3" customFormat="1" ht="25">
      <c r="A76" s="46" t="s">
        <v>244</v>
      </c>
      <c r="B76" s="58" t="s">
        <v>245</v>
      </c>
      <c r="C76" s="46"/>
      <c r="D76" s="228">
        <v>0</v>
      </c>
      <c r="E76" s="228">
        <v>0</v>
      </c>
    </row>
    <row r="77" spans="1:8" s="3" customFormat="1" ht="25">
      <c r="A77" s="46" t="s">
        <v>507</v>
      </c>
      <c r="B77" s="58" t="s">
        <v>246</v>
      </c>
      <c r="C77" s="46"/>
      <c r="D77" s="228">
        <v>82500110461</v>
      </c>
      <c r="E77" s="228">
        <v>86550668451</v>
      </c>
    </row>
    <row r="80" spans="1:8" ht="25.15" customHeight="1">
      <c r="A80" s="171" t="s">
        <v>247</v>
      </c>
      <c r="B80" s="276" t="s">
        <v>248</v>
      </c>
      <c r="C80" s="276"/>
      <c r="D80" s="276"/>
      <c r="E80" s="276"/>
    </row>
    <row r="90" spans="1:5">
      <c r="A90" s="173" t="s">
        <v>520</v>
      </c>
      <c r="B90" s="282" t="s">
        <v>520</v>
      </c>
      <c r="C90" s="282"/>
      <c r="D90" s="282"/>
      <c r="E90" s="44" t="s">
        <v>515</v>
      </c>
    </row>
    <row r="91" spans="1:5" ht="16.899999999999999" customHeight="1">
      <c r="A91" s="174" t="s">
        <v>1408</v>
      </c>
      <c r="B91" s="267" t="s">
        <v>1409</v>
      </c>
      <c r="C91" s="267"/>
      <c r="D91" s="267"/>
      <c r="E91" s="174" t="s">
        <v>1400</v>
      </c>
    </row>
    <row r="92" spans="1:5" ht="16.899999999999999" customHeight="1">
      <c r="A92" s="173" t="s">
        <v>1410</v>
      </c>
      <c r="B92" s="282" t="s">
        <v>1411</v>
      </c>
      <c r="C92" s="282"/>
      <c r="D92" s="282"/>
      <c r="E92" s="173" t="s">
        <v>1402</v>
      </c>
    </row>
    <row r="93" spans="1:5">
      <c r="A93" s="65"/>
      <c r="D93" s="65"/>
    </row>
  </sheetData>
  <mergeCells count="21">
    <mergeCell ref="B8:E8"/>
    <mergeCell ref="A1:E1"/>
    <mergeCell ref="A2:E2"/>
    <mergeCell ref="A3:E4"/>
    <mergeCell ref="A5:E5"/>
    <mergeCell ref="B7:E7"/>
    <mergeCell ref="E16:E17"/>
    <mergeCell ref="B80:E80"/>
    <mergeCell ref="B9:E9"/>
    <mergeCell ref="B10:E10"/>
    <mergeCell ref="B11:E11"/>
    <mergeCell ref="B12:E12"/>
    <mergeCell ref="B13:E13"/>
    <mergeCell ref="B14:E14"/>
    <mergeCell ref="B90:D90"/>
    <mergeCell ref="B91:D91"/>
    <mergeCell ref="B92:D92"/>
    <mergeCell ref="A16:A17"/>
    <mergeCell ref="B16:B17"/>
    <mergeCell ref="C16:C17"/>
    <mergeCell ref="D16:D17"/>
  </mergeCells>
  <printOptions horizontalCentered="1"/>
  <pageMargins left="0.3" right="0.3" top="0.75" bottom="0.5" header="0.3" footer="0.3"/>
  <pageSetup paperSize="9" scale="74" fitToHeight="0" orientation="portrait" r:id="rId1"/>
  <headerFooter>
    <oddHeader>&amp;L&amp;"Arial"&amp;9&amp;KA80000CONFIDENTIAL&amp;1#</oddHeader>
  </headerFooter>
  <drawing r:id="rId2"/>
  <legacyDrawing r:id="rId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H55"/>
  <sheetViews>
    <sheetView tabSelected="1" view="pageBreakPreview" zoomScale="71" zoomScaleNormal="100" zoomScaleSheetLayoutView="71" workbookViewId="0">
      <selection activeCell="D14" sqref="D14:H14"/>
    </sheetView>
  </sheetViews>
  <sheetFormatPr defaultColWidth="9.1796875" defaultRowHeight="12.5"/>
  <cols>
    <col min="1" max="1" width="19.81640625" style="125" customWidth="1"/>
    <col min="2" max="2" width="52.54296875" style="125" customWidth="1"/>
    <col min="3" max="3" width="25.1796875" style="125" customWidth="1"/>
    <col min="4" max="6" width="33" style="190" customWidth="1"/>
    <col min="7" max="8" width="42" style="190" customWidth="1"/>
    <col min="9" max="16384" width="9.1796875" style="125"/>
  </cols>
  <sheetData>
    <row r="1" spans="1:8" ht="32.25" customHeight="1">
      <c r="A1" s="308" t="s">
        <v>570</v>
      </c>
      <c r="B1" s="308"/>
      <c r="C1" s="308"/>
      <c r="D1" s="308"/>
      <c r="E1" s="308"/>
      <c r="F1" s="308"/>
      <c r="G1" s="308"/>
      <c r="H1" s="308"/>
    </row>
    <row r="2" spans="1:8" ht="56.5" customHeight="1">
      <c r="A2" s="309" t="s">
        <v>590</v>
      </c>
      <c r="B2" s="309"/>
      <c r="C2" s="309"/>
      <c r="D2" s="309"/>
      <c r="E2" s="309"/>
      <c r="F2" s="309"/>
      <c r="G2" s="309"/>
      <c r="H2" s="309"/>
    </row>
    <row r="3" spans="1:8" ht="12.75" customHeight="1">
      <c r="A3" s="310" t="s">
        <v>572</v>
      </c>
      <c r="B3" s="310"/>
      <c r="C3" s="310"/>
      <c r="D3" s="310"/>
      <c r="E3" s="310"/>
      <c r="F3" s="310"/>
      <c r="G3" s="310"/>
      <c r="H3" s="310"/>
    </row>
    <row r="4" spans="1:8">
      <c r="A4" s="310"/>
      <c r="B4" s="310"/>
      <c r="C4" s="310"/>
      <c r="D4" s="310"/>
      <c r="E4" s="310"/>
      <c r="F4" s="310"/>
      <c r="G4" s="310"/>
      <c r="H4" s="310"/>
    </row>
    <row r="5" spans="1:8">
      <c r="A5" s="311" t="s">
        <v>1392</v>
      </c>
      <c r="B5" s="311"/>
      <c r="C5" s="311"/>
      <c r="D5" s="311"/>
      <c r="E5" s="311"/>
      <c r="F5" s="311"/>
      <c r="G5" s="311"/>
      <c r="H5" s="311"/>
    </row>
    <row r="6" spans="1:8">
      <c r="A6" s="115"/>
      <c r="B6" s="115"/>
      <c r="C6" s="115"/>
      <c r="D6" s="115"/>
      <c r="E6" s="115"/>
      <c r="F6" s="116"/>
      <c r="G6" s="129"/>
      <c r="H6" s="129"/>
    </row>
    <row r="7" spans="1:8" ht="12.75" customHeight="1">
      <c r="A7" s="302" t="s">
        <v>2</v>
      </c>
      <c r="B7" s="302"/>
      <c r="C7" s="128"/>
      <c r="D7" s="303" t="s">
        <v>1393</v>
      </c>
      <c r="E7" s="303"/>
      <c r="F7" s="303"/>
      <c r="G7" s="303"/>
      <c r="H7" s="303"/>
    </row>
    <row r="8" spans="1:8" ht="12.75" customHeight="1">
      <c r="A8" s="306" t="s">
        <v>573</v>
      </c>
      <c r="B8" s="306"/>
      <c r="C8" s="306"/>
      <c r="D8" s="305" t="s">
        <v>1394</v>
      </c>
      <c r="E8" s="305"/>
      <c r="F8" s="305"/>
      <c r="G8" s="305"/>
      <c r="H8" s="305"/>
    </row>
    <row r="9" spans="1:8" ht="12.75" customHeight="1">
      <c r="A9" s="302" t="s">
        <v>3</v>
      </c>
      <c r="B9" s="302"/>
      <c r="C9" s="128"/>
      <c r="D9" s="303" t="s">
        <v>1395</v>
      </c>
      <c r="E9" s="303"/>
      <c r="F9" s="303"/>
      <c r="G9" s="303"/>
      <c r="H9" s="303"/>
    </row>
    <row r="10" spans="1:8" ht="12.75" customHeight="1">
      <c r="A10" s="307" t="s">
        <v>4</v>
      </c>
      <c r="B10" s="307"/>
      <c r="C10" s="128"/>
      <c r="D10" s="305" t="s">
        <v>1396</v>
      </c>
      <c r="E10" s="305"/>
      <c r="F10" s="305"/>
      <c r="G10" s="305"/>
      <c r="H10" s="305"/>
    </row>
    <row r="11" spans="1:8" ht="12.75" customHeight="1">
      <c r="A11" s="302" t="s">
        <v>5</v>
      </c>
      <c r="B11" s="302"/>
      <c r="C11" s="128"/>
      <c r="D11" s="303" t="s">
        <v>1397</v>
      </c>
      <c r="E11" s="303"/>
      <c r="F11" s="303"/>
      <c r="G11" s="303"/>
      <c r="H11" s="303"/>
    </row>
    <row r="12" spans="1:8" ht="12.75" customHeight="1">
      <c r="A12" s="304" t="s">
        <v>6</v>
      </c>
      <c r="B12" s="304"/>
      <c r="C12" s="128"/>
      <c r="D12" s="305" t="s">
        <v>1398</v>
      </c>
      <c r="E12" s="305"/>
      <c r="F12" s="305"/>
      <c r="G12" s="305"/>
      <c r="H12" s="305"/>
    </row>
    <row r="13" spans="1:8" ht="12.75" customHeight="1">
      <c r="A13" s="303" t="s">
        <v>7</v>
      </c>
      <c r="B13" s="303"/>
      <c r="C13" s="128"/>
      <c r="D13" s="303" t="s">
        <v>1420</v>
      </c>
      <c r="E13" s="303"/>
      <c r="F13" s="303"/>
      <c r="G13" s="303"/>
      <c r="H13" s="303"/>
    </row>
    <row r="14" spans="1:8">
      <c r="A14" s="294" t="s">
        <v>8</v>
      </c>
      <c r="B14" s="294"/>
      <c r="C14" s="128"/>
      <c r="D14" s="295" t="s">
        <v>1421</v>
      </c>
      <c r="E14" s="296"/>
      <c r="F14" s="296"/>
      <c r="G14" s="296"/>
      <c r="H14" s="296"/>
    </row>
    <row r="15" spans="1:8">
      <c r="A15" s="180"/>
      <c r="B15" s="180"/>
      <c r="C15" s="128"/>
      <c r="D15" s="181"/>
      <c r="E15" s="182"/>
      <c r="F15" s="182"/>
      <c r="G15" s="182"/>
      <c r="H15" s="182"/>
    </row>
    <row r="16" spans="1:8">
      <c r="A16" s="117" t="s">
        <v>568</v>
      </c>
      <c r="B16" s="118" t="s">
        <v>569</v>
      </c>
      <c r="D16" s="181"/>
      <c r="E16" s="182"/>
      <c r="F16" s="182"/>
      <c r="G16" s="182"/>
      <c r="H16" s="182"/>
    </row>
    <row r="17" spans="1:8">
      <c r="A17" s="119" t="s">
        <v>31</v>
      </c>
      <c r="B17" s="120" t="s">
        <v>574</v>
      </c>
      <c r="C17" s="128"/>
      <c r="D17" s="129"/>
      <c r="E17" s="129"/>
      <c r="F17" s="129"/>
      <c r="G17" s="129"/>
      <c r="H17" s="129"/>
    </row>
    <row r="18" spans="1:8" ht="32.25" customHeight="1">
      <c r="A18" s="297" t="s">
        <v>575</v>
      </c>
      <c r="B18" s="297" t="s">
        <v>576</v>
      </c>
      <c r="C18" s="297" t="s">
        <v>577</v>
      </c>
      <c r="D18" s="299" t="s">
        <v>578</v>
      </c>
      <c r="E18" s="300"/>
      <c r="F18" s="301"/>
      <c r="G18" s="297" t="s">
        <v>596</v>
      </c>
      <c r="H18" s="297" t="s">
        <v>597</v>
      </c>
    </row>
    <row r="19" spans="1:8" ht="88.75" customHeight="1">
      <c r="A19" s="298"/>
      <c r="B19" s="298"/>
      <c r="C19" s="298"/>
      <c r="D19" s="121" t="s">
        <v>579</v>
      </c>
      <c r="E19" s="121" t="s">
        <v>580</v>
      </c>
      <c r="F19" s="121" t="s">
        <v>581</v>
      </c>
      <c r="G19" s="298"/>
      <c r="H19" s="298"/>
    </row>
    <row r="20" spans="1:8" ht="25.5" customHeight="1">
      <c r="A20" s="122" t="s">
        <v>582</v>
      </c>
      <c r="B20" s="122" t="s">
        <v>583</v>
      </c>
      <c r="C20" s="122" t="s">
        <v>584</v>
      </c>
      <c r="D20" s="123" t="s">
        <v>585</v>
      </c>
      <c r="E20" s="123" t="s">
        <v>586</v>
      </c>
      <c r="F20" s="123" t="s">
        <v>587</v>
      </c>
      <c r="G20" s="124" t="s">
        <v>588</v>
      </c>
      <c r="H20" s="124" t="s">
        <v>589</v>
      </c>
    </row>
    <row r="21" spans="1:8" ht="25.5" customHeight="1">
      <c r="A21" s="221" t="s">
        <v>1380</v>
      </c>
      <c r="B21" s="221" t="s">
        <v>1381</v>
      </c>
      <c r="C21" s="221" t="s">
        <v>1382</v>
      </c>
      <c r="D21" s="224" t="s">
        <v>1383</v>
      </c>
      <c r="E21" s="224" t="s">
        <v>1384</v>
      </c>
      <c r="F21" s="223" t="s">
        <v>1385</v>
      </c>
      <c r="G21" s="223" t="s">
        <v>1386</v>
      </c>
      <c r="H21" s="223" t="s">
        <v>1387</v>
      </c>
    </row>
    <row r="22" spans="1:8" ht="25">
      <c r="A22" s="231" t="s">
        <v>385</v>
      </c>
      <c r="B22" s="231" t="s">
        <v>1412</v>
      </c>
      <c r="C22" s="231" t="s">
        <v>1388</v>
      </c>
      <c r="D22" s="232">
        <v>15000000000</v>
      </c>
      <c r="E22" s="232">
        <v>1730021441805</v>
      </c>
      <c r="F22" s="233">
        <f t="shared" ref="F22:F28" si="0">D22/E22</f>
        <v>8.670412769190828E-3</v>
      </c>
      <c r="G22" s="233"/>
      <c r="H22" s="234"/>
    </row>
    <row r="23" spans="1:8" ht="25">
      <c r="A23" s="231" t="s">
        <v>396</v>
      </c>
      <c r="B23" s="231" t="s">
        <v>1413</v>
      </c>
      <c r="C23" s="231" t="s">
        <v>1388</v>
      </c>
      <c r="D23" s="232">
        <v>418726439870</v>
      </c>
      <c r="E23" s="232">
        <v>1730021441805</v>
      </c>
      <c r="F23" s="233">
        <f t="shared" si="0"/>
        <v>0.24203540473644425</v>
      </c>
      <c r="G23" s="233">
        <v>1.500000000465698E-4</v>
      </c>
      <c r="H23" s="234" t="s">
        <v>1389</v>
      </c>
    </row>
    <row r="24" spans="1:8" ht="25">
      <c r="A24" s="231" t="s">
        <v>412</v>
      </c>
      <c r="B24" s="231" t="s">
        <v>1414</v>
      </c>
      <c r="C24" s="231" t="s">
        <v>1388</v>
      </c>
      <c r="D24" s="232">
        <v>498883437065</v>
      </c>
      <c r="E24" s="232">
        <v>1730021441805</v>
      </c>
      <c r="F24" s="233">
        <f t="shared" si="0"/>
        <v>0.28836835487107898</v>
      </c>
      <c r="G24" s="233">
        <v>1.5000000088247071E-4</v>
      </c>
      <c r="H24" s="234" t="s">
        <v>1389</v>
      </c>
    </row>
    <row r="25" spans="1:8" ht="25">
      <c r="A25" s="231" t="s">
        <v>450</v>
      </c>
      <c r="B25" s="231" t="s">
        <v>1415</v>
      </c>
      <c r="C25" s="231" t="s">
        <v>1388</v>
      </c>
      <c r="D25" s="232">
        <v>94570786632</v>
      </c>
      <c r="E25" s="232">
        <v>1730021441805</v>
      </c>
      <c r="F25" s="233">
        <f t="shared" si="0"/>
        <v>5.4664517067100939E-2</v>
      </c>
      <c r="G25" s="233">
        <v>2.0000000712270689E-4</v>
      </c>
      <c r="H25" s="234" t="s">
        <v>1389</v>
      </c>
    </row>
    <row r="26" spans="1:8" ht="25">
      <c r="A26" s="231" t="s">
        <v>452</v>
      </c>
      <c r="B26" s="231" t="s">
        <v>1416</v>
      </c>
      <c r="C26" s="231" t="s">
        <v>1388</v>
      </c>
      <c r="D26" s="232">
        <v>150559807957</v>
      </c>
      <c r="E26" s="232">
        <v>1730021441805</v>
      </c>
      <c r="F26" s="233">
        <f t="shared" si="0"/>
        <v>8.7027712095819443E-2</v>
      </c>
      <c r="G26" s="233">
        <v>9.9999994715057016E-5</v>
      </c>
      <c r="H26" s="234" t="s">
        <v>1389</v>
      </c>
    </row>
    <row r="27" spans="1:8" ht="25">
      <c r="A27" s="231" t="s">
        <v>454</v>
      </c>
      <c r="B27" s="231" t="s">
        <v>1417</v>
      </c>
      <c r="C27" s="231" t="s">
        <v>1388</v>
      </c>
      <c r="D27" s="232">
        <v>312141631962</v>
      </c>
      <c r="E27" s="232">
        <v>1730021441805</v>
      </c>
      <c r="F27" s="233">
        <f t="shared" si="0"/>
        <v>0.18042645277062591</v>
      </c>
      <c r="G27" s="233">
        <v>1.9999998913185671E-4</v>
      </c>
      <c r="H27" s="234" t="s">
        <v>1389</v>
      </c>
    </row>
    <row r="28" spans="1:8" ht="25">
      <c r="A28" s="231" t="s">
        <v>465</v>
      </c>
      <c r="B28" s="231" t="s">
        <v>1418</v>
      </c>
      <c r="C28" s="231" t="s">
        <v>1388</v>
      </c>
      <c r="D28" s="232">
        <v>240139338319</v>
      </c>
      <c r="E28" s="232">
        <v>1730021441805</v>
      </c>
      <c r="F28" s="233">
        <f t="shared" si="0"/>
        <v>0.13880714568973959</v>
      </c>
      <c r="G28" s="233">
        <v>1.5000000521426439E-4</v>
      </c>
      <c r="H28" s="234" t="s">
        <v>1389</v>
      </c>
    </row>
    <row r="29" spans="1:8">
      <c r="A29" s="234"/>
      <c r="B29" s="231" t="s">
        <v>1390</v>
      </c>
      <c r="C29" s="234"/>
      <c r="D29" s="232">
        <v>1730021441805</v>
      </c>
      <c r="E29" s="232">
        <v>1730021441805</v>
      </c>
      <c r="F29" s="233">
        <v>1</v>
      </c>
      <c r="G29" s="234"/>
      <c r="H29" s="234"/>
    </row>
    <row r="30" spans="1:8" ht="25.5" customHeight="1">
      <c r="A30" s="166"/>
      <c r="B30" s="166"/>
      <c r="C30" s="166"/>
      <c r="D30" s="166"/>
      <c r="E30" s="166"/>
      <c r="F30" s="166"/>
      <c r="G30" s="166"/>
      <c r="H30" s="166"/>
    </row>
    <row r="31" spans="1:8" ht="25.5" customHeight="1">
      <c r="A31" s="126"/>
      <c r="B31" s="126"/>
      <c r="C31" s="126"/>
      <c r="D31" s="127"/>
      <c r="E31" s="127"/>
      <c r="F31" s="127"/>
      <c r="G31" s="127"/>
      <c r="H31" s="127"/>
    </row>
    <row r="32" spans="1:8" ht="25.5" customHeight="1">
      <c r="A32" s="289" t="s">
        <v>1419</v>
      </c>
      <c r="B32" s="289"/>
      <c r="C32" s="289"/>
      <c r="D32" s="289"/>
      <c r="E32" s="289"/>
      <c r="F32" s="289"/>
      <c r="G32" s="289"/>
      <c r="H32" s="289"/>
    </row>
    <row r="33" spans="1:8">
      <c r="A33" s="128"/>
      <c r="B33" s="128"/>
      <c r="C33" s="128"/>
      <c r="D33" s="129"/>
      <c r="E33" s="129"/>
      <c r="F33" s="129"/>
      <c r="G33" s="129"/>
      <c r="H33" s="129"/>
    </row>
    <row r="34" spans="1:8">
      <c r="A34" s="128"/>
      <c r="B34" s="128"/>
      <c r="C34" s="128"/>
      <c r="D34" s="129"/>
      <c r="E34" s="129"/>
      <c r="F34" s="129"/>
      <c r="G34" s="129"/>
      <c r="H34" s="129"/>
    </row>
    <row r="35" spans="1:8">
      <c r="A35" s="130" t="s">
        <v>10</v>
      </c>
      <c r="B35" s="128"/>
      <c r="C35" s="131"/>
      <c r="D35" s="132"/>
      <c r="E35" s="132"/>
      <c r="F35" s="133"/>
      <c r="G35" s="134" t="s">
        <v>11</v>
      </c>
      <c r="H35" s="132"/>
    </row>
    <row r="36" spans="1:8">
      <c r="A36" s="135" t="s">
        <v>12</v>
      </c>
      <c r="B36" s="128"/>
      <c r="C36" s="131"/>
      <c r="D36" s="132"/>
      <c r="E36" s="132"/>
      <c r="F36" s="136"/>
      <c r="G36" s="137" t="s">
        <v>13</v>
      </c>
      <c r="H36" s="132"/>
    </row>
    <row r="37" spans="1:8">
      <c r="A37" s="135"/>
      <c r="B37" s="128"/>
      <c r="C37" s="131"/>
      <c r="D37" s="132"/>
      <c r="E37" s="132"/>
      <c r="F37" s="136"/>
      <c r="G37" s="137"/>
      <c r="H37" s="132"/>
    </row>
    <row r="38" spans="1:8">
      <c r="A38" s="135"/>
      <c r="B38" s="128"/>
      <c r="C38" s="131"/>
      <c r="D38" s="132"/>
      <c r="E38" s="132"/>
      <c r="F38" s="136"/>
      <c r="G38" s="137"/>
      <c r="H38" s="132"/>
    </row>
    <row r="39" spans="1:8">
      <c r="A39" s="135"/>
      <c r="B39" s="128"/>
      <c r="C39" s="131"/>
      <c r="D39" s="132"/>
      <c r="E39" s="132"/>
      <c r="F39" s="136"/>
      <c r="G39" s="137"/>
      <c r="H39" s="132"/>
    </row>
    <row r="40" spans="1:8">
      <c r="A40" s="135"/>
      <c r="B40" s="128"/>
      <c r="C40" s="131"/>
      <c r="D40" s="132"/>
      <c r="E40" s="132"/>
      <c r="F40" s="136"/>
      <c r="G40" s="137"/>
      <c r="H40" s="132"/>
    </row>
    <row r="41" spans="1:8">
      <c r="A41" s="135"/>
      <c r="B41" s="128"/>
      <c r="C41" s="131"/>
      <c r="D41" s="132"/>
      <c r="E41" s="132"/>
      <c r="F41" s="136"/>
      <c r="G41" s="137"/>
      <c r="H41" s="132"/>
    </row>
    <row r="42" spans="1:8">
      <c r="A42" s="135"/>
      <c r="B42" s="128"/>
      <c r="C42" s="131"/>
      <c r="D42" s="132"/>
      <c r="E42" s="132"/>
      <c r="F42" s="136"/>
      <c r="G42" s="137"/>
      <c r="H42" s="132"/>
    </row>
    <row r="43" spans="1:8">
      <c r="A43" s="128"/>
      <c r="B43" s="128"/>
      <c r="C43" s="131"/>
      <c r="D43" s="132"/>
      <c r="E43" s="132"/>
      <c r="F43" s="138"/>
      <c r="G43" s="131"/>
      <c r="H43" s="132"/>
    </row>
    <row r="44" spans="1:8">
      <c r="A44" s="128"/>
      <c r="B44" s="128"/>
      <c r="C44" s="131"/>
      <c r="D44" s="132"/>
      <c r="E44" s="132"/>
      <c r="F44" s="138"/>
      <c r="G44" s="131"/>
      <c r="H44" s="132"/>
    </row>
    <row r="45" spans="1:8">
      <c r="A45" s="128"/>
      <c r="B45" s="128"/>
      <c r="C45" s="131"/>
      <c r="D45" s="132"/>
      <c r="E45" s="132"/>
      <c r="F45" s="138"/>
      <c r="G45" s="131"/>
      <c r="H45" s="132"/>
    </row>
    <row r="46" spans="1:8">
      <c r="A46" s="128"/>
      <c r="B46" s="128"/>
      <c r="C46" s="131"/>
      <c r="D46" s="132"/>
      <c r="E46" s="132"/>
      <c r="F46" s="138"/>
      <c r="G46" s="131"/>
      <c r="H46" s="132"/>
    </row>
    <row r="47" spans="1:8">
      <c r="A47" s="128"/>
      <c r="B47" s="128"/>
      <c r="C47" s="138"/>
      <c r="D47" s="132"/>
      <c r="E47" s="132"/>
      <c r="F47" s="138"/>
      <c r="G47" s="139"/>
      <c r="H47" s="188"/>
    </row>
    <row r="48" spans="1:8">
      <c r="A48" s="255" t="s">
        <v>14</v>
      </c>
      <c r="B48" s="255"/>
      <c r="C48" s="138"/>
      <c r="D48" s="132"/>
      <c r="E48" s="132"/>
      <c r="F48" s="133"/>
      <c r="G48" s="179" t="s">
        <v>1393</v>
      </c>
      <c r="H48" s="189"/>
    </row>
    <row r="49" spans="1:8">
      <c r="A49" s="290" t="s">
        <v>1399</v>
      </c>
      <c r="B49" s="290"/>
      <c r="C49" s="131"/>
      <c r="D49" s="132"/>
      <c r="E49" s="132"/>
      <c r="F49" s="133"/>
      <c r="G49" s="291" t="s">
        <v>1400</v>
      </c>
      <c r="H49" s="291"/>
    </row>
    <row r="50" spans="1:8">
      <c r="A50" s="292" t="s">
        <v>1401</v>
      </c>
      <c r="B50" s="292"/>
      <c r="C50" s="131"/>
      <c r="D50" s="132"/>
      <c r="E50" s="132"/>
      <c r="F50" s="138"/>
      <c r="G50" s="293" t="s">
        <v>1402</v>
      </c>
      <c r="H50" s="293"/>
    </row>
    <row r="51" spans="1:8">
      <c r="A51" s="128"/>
      <c r="B51" s="128"/>
      <c r="C51" s="128"/>
      <c r="D51" s="129"/>
      <c r="E51" s="129"/>
      <c r="F51" s="129"/>
      <c r="G51" s="129"/>
      <c r="H51" s="129"/>
    </row>
    <row r="52" spans="1:8">
      <c r="A52" s="128"/>
      <c r="B52" s="128"/>
      <c r="C52" s="128"/>
      <c r="D52" s="129"/>
      <c r="E52" s="129"/>
      <c r="F52" s="129"/>
      <c r="G52" s="129"/>
      <c r="H52" s="129"/>
    </row>
    <row r="53" spans="1:8">
      <c r="A53" s="128"/>
      <c r="B53" s="128"/>
      <c r="C53" s="128"/>
      <c r="D53" s="129"/>
      <c r="E53" s="129"/>
      <c r="F53" s="129"/>
      <c r="G53" s="129"/>
      <c r="H53" s="129"/>
    </row>
    <row r="54" spans="1:8">
      <c r="A54" s="128"/>
      <c r="B54" s="128"/>
      <c r="C54" s="128"/>
      <c r="D54" s="129"/>
      <c r="E54" s="129"/>
      <c r="F54" s="129"/>
      <c r="G54" s="129"/>
      <c r="H54" s="129"/>
    </row>
    <row r="55" spans="1:8">
      <c r="A55" s="128"/>
      <c r="B55" s="128"/>
      <c r="C55" s="128"/>
      <c r="D55" s="129"/>
      <c r="E55" s="129"/>
      <c r="F55" s="129"/>
      <c r="G55" s="129"/>
      <c r="H55" s="129"/>
    </row>
  </sheetData>
  <mergeCells count="32">
    <mergeCell ref="A1:H1"/>
    <mergeCell ref="A2:H2"/>
    <mergeCell ref="A3:H4"/>
    <mergeCell ref="A5:H5"/>
    <mergeCell ref="A7:B7"/>
    <mergeCell ref="D7:H7"/>
    <mergeCell ref="A8:C8"/>
    <mergeCell ref="D8:H8"/>
    <mergeCell ref="A9:B9"/>
    <mergeCell ref="D9:H9"/>
    <mergeCell ref="A10:B10"/>
    <mergeCell ref="D10:H10"/>
    <mergeCell ref="A11:B11"/>
    <mergeCell ref="D11:H11"/>
    <mergeCell ref="A12:B12"/>
    <mergeCell ref="D12:H12"/>
    <mergeCell ref="A13:B13"/>
    <mergeCell ref="D13:H13"/>
    <mergeCell ref="A14:B14"/>
    <mergeCell ref="D14:H14"/>
    <mergeCell ref="A18:A19"/>
    <mergeCell ref="B18:B19"/>
    <mergeCell ref="C18:C19"/>
    <mergeCell ref="D18:F18"/>
    <mergeCell ref="G18:G19"/>
    <mergeCell ref="H18:H19"/>
    <mergeCell ref="A32:H32"/>
    <mergeCell ref="A48:B48"/>
    <mergeCell ref="A49:B49"/>
    <mergeCell ref="G49:H49"/>
    <mergeCell ref="A50:B50"/>
    <mergeCell ref="G50:H50"/>
  </mergeCells>
  <pageMargins left="0.7" right="0.7" top="0.75" bottom="0.75" header="0.3" footer="0.3"/>
  <pageSetup scale="43" fitToHeight="0" orientation="landscape" horizontalDpi="4294967295" verticalDpi="4294967295" r:id="rId1"/>
  <headerFooter>
    <oddHeader>&amp;L&amp;"Arial"&amp;9&amp;KA80000CONFIDENTIAL&amp;1#</oddHeader>
  </headerFooter>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2b8+Zl+7t02xl6ZcHsL0j0XXESyhL8EQoPbcZTwRRQU=</DigestValue>
    </Reference>
    <Reference Type="http://www.w3.org/2000/09/xmldsig#Object" URI="#idOfficeObject">
      <DigestMethod Algorithm="http://www.w3.org/2001/04/xmlenc#sha256"/>
      <DigestValue>nsAkZDkfs12rw5g8IfVJz1S/YshYLD7xUXSBKVmRRNc=</DigestValue>
    </Reference>
    <Reference Type="http://uri.etsi.org/01903#SignedProperties" URI="#idSignedProperties">
      <Transforms>
        <Transform Algorithm="http://www.w3.org/TR/2001/REC-xml-c14n-20010315"/>
      </Transforms>
      <DigestMethod Algorithm="http://www.w3.org/2001/04/xmlenc#sha256"/>
      <DigestValue>2ZhKQWGYgXS7neqnTtq7ifeTFTLN/OW07Aji0NJDJaQ=</DigestValue>
    </Reference>
  </SignedInfo>
  <SignatureValue>jI1P7rXPAnWcb031+U9ux6C8l3r+JCrdQfPS5ZTRTfsqnAuOOmazO4YqwVNKUfzmdpi3hmi7OrRo
NOr987q5efzhUONi+zfYH2qHAhuon6ZORB4xbhRq3fEBcjBaL8GlufBQN/ih8SCuDPCQEETCKqK9
otj9g8XrkaJNt9gZQ1PjXXAz+f2aOcASLysWXap0x41I5iEtiXwLBD3tF2ZQTrRkaofyOoAKo0gt
cb7BD1lD+tcKM+dyhO6ZFLDqH22RFeWNR5n6TiN+MSdZ/iNNs40q0OztLtK/8lJ8ajXpALX1HIMi
SwwlTcgWkf11EXvwlhcHNUc8dA6tzX07rp2fNw==</SignatureValue>
  <KeyInfo>
    <X509Data>
      <X509Certificate>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EvKfPIgLtfZVDoy6F0BqFu195AwUabr4vLU7oIXzDOIhpJSkyRfeYChjRNQ2PUd9AJZ7+zbeJXKXZS0OzjtAA2byRSIB8uc7pBj6EhHLygPj7Le46gtudZ/N653H0iNcU+IZTVdHnOt4obb5qjGyrxO4pm6LMyWouaPGflMgYdmKDNPylhcWIYqxbEIyZHbz5Fk5OrEqJdVFwBtacOZq3+sjgrY/qy2oZeXKvSENsiITomVaIcA9T6ZwWq5aHhShVfvt9M8Cw5TesNWo2Cc+/ALjkGOxHgGmdhwdxeTf/NWGEhXJP9AX9RUyFWLA6wKrHKfCSIi+9zW+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OOvCngYLOmGiK75MA4GA1UdDwEB/wQEAwIE8DANBgkqhkiG9w0BAQsFAAOCAQEADY/6EV8sjdTGiH3RBTfcx0oD63nY6mylGPxcqtul9PWr2nR/H7zeE4PfBqeCCkjh0egSROiVj7wDFAl/Y7ED4Ce+UElr8tAWfJHF5+6q59d5hGYhwdBrTtQ9TYA8DpXTlzzdteNN4DkMLtAfyx3QrtUyr8mVHfpnSK8dNY4ljOcJt8puGIX9z3bhdK8wXS5BqgWP6DlJx3PuZ5LpCvwJpQtw87jLAQTrczzK4zUZegTylyrHEIYaSb0wZuPxWnPmIY+53N/b1/a51A0siFFYy5mT89z3G2Lsoo2hP8U9+dxOK24eMzqB8WVxZ2lDVzBaWoU1fCZCvWrIJ1WWD5ZpT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SKyPqQFunk9PNlYZJe2/wLsialC1VqMzTVqblB5exZY=</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4"/>
            <mdssi:RelationshipReference xmlns:mdssi="http://schemas.openxmlformats.org/package/2006/digital-signature" SourceId="rId8"/>
            <mdssi:RelationshipReference xmlns:mdssi="http://schemas.openxmlformats.org/package/2006/digital-signature" SourceId="rId13"/>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6"/>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Transform>
          <Transform Algorithm="http://www.w3.org/TR/2001/REC-xml-c14n-20010315"/>
        </Transforms>
        <DigestMethod Algorithm="http://www.w3.org/2001/04/xmlenc#sha256"/>
        <DigestValue>A86zVTj70nB/9aR3XUP5lCsvi9G/KrK3r+DW6c7tGf8=</DigestValue>
      </Reference>
      <Reference URI="/xl/calcChain.xml?ContentType=application/vnd.openxmlformats-officedocument.spreadsheetml.calcChain+xml">
        <DigestMethod Algorithm="http://www.w3.org/2001/04/xmlenc#sha256"/>
        <DigestValue>vU4qqW6zbg13yy4Icz+FapE5qgzOTnLTapDBB+S0YyM=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10.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1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9.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10.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1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7.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8.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9.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drawing1.xml?ContentType=application/vnd.openxmlformats-officedocument.drawing+xml">
        <DigestMethod Algorithm="http://www.w3.org/2001/04/xmlenc#sha256"/>
        <DigestValue>umzUjYQ/eTWtpB2wFcmwn4MXiD1r+zKGqgNmDO5ftCI=</DigestValue>
      </Reference>
      <Reference URI="/xl/drawings/drawing10.xml?ContentType=application/vnd.openxmlformats-officedocument.drawing+xml">
        <DigestMethod Algorithm="http://www.w3.org/2001/04/xmlenc#sha256"/>
        <DigestValue>9zm73kZZ3+F0dqCVlWFM7MV7zUqgIMyg4Yg8EIp0140=</DigestValue>
      </Reference>
      <Reference URI="/xl/drawings/drawing11.xml?ContentType=application/vnd.openxmlformats-officedocument.drawing+xml">
        <DigestMethod Algorithm="http://www.w3.org/2001/04/xmlenc#sha256"/>
        <DigestValue>GpcZ7qQ2jsPhBpcyMn7oNKMcVRnCZOJ/ZzTKHodz0pM=</DigestValue>
      </Reference>
      <Reference URI="/xl/drawings/drawing2.xml?ContentType=application/vnd.openxmlformats-officedocument.drawing+xml">
        <DigestMethod Algorithm="http://www.w3.org/2001/04/xmlenc#sha256"/>
        <DigestValue>VwJV39NksMW6XSgVzJ5rokR9uO5GjOl7TliKVuzO4E4=</DigestValue>
      </Reference>
      <Reference URI="/xl/drawings/drawing3.xml?ContentType=application/vnd.openxmlformats-officedocument.drawing+xml">
        <DigestMethod Algorithm="http://www.w3.org/2001/04/xmlenc#sha256"/>
        <DigestValue>HECCP4247N4yS1I6TazZUjKS6CdsAiXTNQA30hX1bto=</DigestValue>
      </Reference>
      <Reference URI="/xl/drawings/drawing4.xml?ContentType=application/vnd.openxmlformats-officedocument.drawing+xml">
        <DigestMethod Algorithm="http://www.w3.org/2001/04/xmlenc#sha256"/>
        <DigestValue>w8K7StSwytFrWRSgznbmIx2evHDggXzmy8ksYiI0sOw=</DigestValue>
      </Reference>
      <Reference URI="/xl/drawings/drawing5.xml?ContentType=application/vnd.openxmlformats-officedocument.drawing+xml">
        <DigestMethod Algorithm="http://www.w3.org/2001/04/xmlenc#sha256"/>
        <DigestValue>CTYPFB1jUQ9TmGagdMqrR8xctJNCeoNJAAJRsH+Wtzw=</DigestValue>
      </Reference>
      <Reference URI="/xl/drawings/drawing6.xml?ContentType=application/vnd.openxmlformats-officedocument.drawing+xml">
        <DigestMethod Algorithm="http://www.w3.org/2001/04/xmlenc#sha256"/>
        <DigestValue>mZ6bEeA7iyngcLr+xn/oD5StXedLiWfWNUkf5pRYHu4=</DigestValue>
      </Reference>
      <Reference URI="/xl/drawings/drawing7.xml?ContentType=application/vnd.openxmlformats-officedocument.drawing+xml">
        <DigestMethod Algorithm="http://www.w3.org/2001/04/xmlenc#sha256"/>
        <DigestValue>gTNVTdqPPIxWvRFkU2EP3Ymmw8VvGCw451kGSHTmRnM=</DigestValue>
      </Reference>
      <Reference URI="/xl/drawings/drawing8.xml?ContentType=application/vnd.openxmlformats-officedocument.drawing+xml">
        <DigestMethod Algorithm="http://www.w3.org/2001/04/xmlenc#sha256"/>
        <DigestValue>THDT6+VFV5Qmqzafen6yVKsP6a0G5ZOUa5x0Ca8AgQ8=</DigestValue>
      </Reference>
      <Reference URI="/xl/drawings/drawing9.xml?ContentType=application/vnd.openxmlformats-officedocument.drawing+xml">
        <DigestMethod Algorithm="http://www.w3.org/2001/04/xmlenc#sha256"/>
        <DigestValue>2OGkXNPwWJj66oYj1ueYlzAj4oxEL8V2MHFsInPa6Is=</DigestValue>
      </Reference>
      <Reference URI="/xl/drawings/vmlDrawing1.vml?ContentType=application/vnd.openxmlformats-officedocument.vmlDrawing">
        <DigestMethod Algorithm="http://www.w3.org/2001/04/xmlenc#sha256"/>
        <DigestValue>I5RplSMcWdPgXT04k9cBuaJQ4M/MFoygUKE9zjFsPtQ=</DigestValue>
      </Reference>
      <Reference URI="/xl/drawings/vmlDrawing10.vml?ContentType=application/vnd.openxmlformats-officedocument.vmlDrawing">
        <DigestMethod Algorithm="http://www.w3.org/2001/04/xmlenc#sha256"/>
        <DigestValue>+hI4KPH9Q4n4GQ6sLgzmvxWvGLCi8BCGSIJMMOJlFBw=</DigestValue>
      </Reference>
      <Reference URI="/xl/drawings/vmlDrawing11.vml?ContentType=application/vnd.openxmlformats-officedocument.vmlDrawing">
        <DigestMethod Algorithm="http://www.w3.org/2001/04/xmlenc#sha256"/>
        <DigestValue>BBPPtbhRE+JHI1Pz3ME2MPydeYEOMiz3v8vKKuWk1ao=</DigestValue>
      </Reference>
      <Reference URI="/xl/drawings/vmlDrawing2.vml?ContentType=application/vnd.openxmlformats-officedocument.vmlDrawing">
        <DigestMethod Algorithm="http://www.w3.org/2001/04/xmlenc#sha256"/>
        <DigestValue>kXnQWf6goDJLNFydKmZp7RCt9I4QBfV4/7l52Rkj+yU=</DigestValue>
      </Reference>
      <Reference URI="/xl/drawings/vmlDrawing3.vml?ContentType=application/vnd.openxmlformats-officedocument.vmlDrawing">
        <DigestMethod Algorithm="http://www.w3.org/2001/04/xmlenc#sha256"/>
        <DigestValue>Uc20McB2kdE/y57zN/QdepV2+VD192wTxklrWPrL6f4=</DigestValue>
      </Reference>
      <Reference URI="/xl/drawings/vmlDrawing4.vml?ContentType=application/vnd.openxmlformats-officedocument.vmlDrawing">
        <DigestMethod Algorithm="http://www.w3.org/2001/04/xmlenc#sha256"/>
        <DigestValue>nFmJ6cNaIIrZRTfAikfdV/xjp1/mcMwxqqia2LCvqCc=</DigestValue>
      </Reference>
      <Reference URI="/xl/drawings/vmlDrawing5.vml?ContentType=application/vnd.openxmlformats-officedocument.vmlDrawing">
        <DigestMethod Algorithm="http://www.w3.org/2001/04/xmlenc#sha256"/>
        <DigestValue>pGSl7uMdIymuUv2HlVo3hM15Lfzgd7gQg20cH2aaraI=</DigestValue>
      </Reference>
      <Reference URI="/xl/drawings/vmlDrawing6.vml?ContentType=application/vnd.openxmlformats-officedocument.vmlDrawing">
        <DigestMethod Algorithm="http://www.w3.org/2001/04/xmlenc#sha256"/>
        <DigestValue>1ARhGZWyz/S4ClI2gVfYTaHErRkKRPhBPXWKlt0LyuA=</DigestValue>
      </Reference>
      <Reference URI="/xl/drawings/vmlDrawing7.vml?ContentType=application/vnd.openxmlformats-officedocument.vmlDrawing">
        <DigestMethod Algorithm="http://www.w3.org/2001/04/xmlenc#sha256"/>
        <DigestValue>z0gc9nAtueGs4S6a1ih87O4B/tpy7Kr9z9LaiidHBn4=</DigestValue>
      </Reference>
      <Reference URI="/xl/drawings/vmlDrawing8.vml?ContentType=application/vnd.openxmlformats-officedocument.vmlDrawing">
        <DigestMethod Algorithm="http://www.w3.org/2001/04/xmlenc#sha256"/>
        <DigestValue>xuHQpJlReNVyUO+Al7vLNZpbrNUfcicz7CcNGJM7p18=</DigestValue>
      </Reference>
      <Reference URI="/xl/drawings/vmlDrawing9.vml?ContentType=application/vnd.openxmlformats-officedocument.vmlDrawing">
        <DigestMethod Algorithm="http://www.w3.org/2001/04/xmlenc#sha256"/>
        <DigestValue>BurmVymBTNYtqkeqUUHNbwmZM8dR2liVSRLjH+S0Lvs=</DigestValue>
      </Reference>
      <Reference URI="/xl/media/image1.emf?ContentType=image/x-emf">
        <DigestMethod Algorithm="http://www.w3.org/2001/04/xmlenc#sha256"/>
        <DigestValue>4Lhvfu7AkFtVuM9HG2i3gY+isiK5Fmf3+6CwRCYwkS8=</DigestValue>
      </Reference>
      <Reference URI="/xl/media/image2.emf?ContentType=image/x-emf">
        <DigestMethod Algorithm="http://www.w3.org/2001/04/xmlenc#sha256"/>
        <DigestValue>4Lhvfu7AkFtVuM9HG2i3gY+isiK5Fmf3+6CwRCYwkS8=</DigestValue>
      </Reference>
      <Reference URI="/xl/printerSettings/printerSettings1.bin?ContentType=application/vnd.openxmlformats-officedocument.spreadsheetml.printerSettings">
        <DigestMethod Algorithm="http://www.w3.org/2001/04/xmlenc#sha256"/>
        <DigestValue>tpdwKbHXyzbEQRG38csKkHm2ViaHXB+YSPCx3wYFe24=</DigestValue>
      </Reference>
      <Reference URI="/xl/printerSettings/printerSettings10.bin?ContentType=application/vnd.openxmlformats-officedocument.spreadsheetml.printerSettings">
        <DigestMethod Algorithm="http://www.w3.org/2001/04/xmlenc#sha256"/>
        <DigestValue>3Yxs9bU3bopKuRGmJZejycHN8kRUsB6LDyPagRFVVF4=</DigestValue>
      </Reference>
      <Reference URI="/xl/printerSettings/printerSettings11.bin?ContentType=application/vnd.openxmlformats-officedocument.spreadsheetml.printerSettings">
        <DigestMethod Algorithm="http://www.w3.org/2001/04/xmlenc#sha256"/>
        <DigestValue>c9OexSFcY0csOXlrkOg9eWEE/9SzlG7VG59EAeSgPNY=</DigestValue>
      </Reference>
      <Reference URI="/xl/printerSettings/printerSettings12.bin?ContentType=application/vnd.openxmlformats-officedocument.spreadsheetml.printerSettings">
        <DigestMethod Algorithm="http://www.w3.org/2001/04/xmlenc#sha256"/>
        <DigestValue>FeXtbFR9pY5hEkDK/RluTq40QYIOSg4qnrVjhjyuUmU=</DigestValue>
      </Reference>
      <Reference URI="/xl/printerSettings/printerSettings2.bin?ContentType=application/vnd.openxmlformats-officedocument.spreadsheetml.printerSettings">
        <DigestMethod Algorithm="http://www.w3.org/2001/04/xmlenc#sha256"/>
        <DigestValue>27DMUrteJdVfTLuRP8gDP3nj+K7uZmwI6NMinj4sRbo=</DigestValue>
      </Reference>
      <Reference URI="/xl/printerSettings/printerSettings3.bin?ContentType=application/vnd.openxmlformats-officedocument.spreadsheetml.printerSettings">
        <DigestMethod Algorithm="http://www.w3.org/2001/04/xmlenc#sha256"/>
        <DigestValue>3Yxs9bU3bopKuRGmJZejycHN8kRUsB6LDyPagRFVVF4=</DigestValue>
      </Reference>
      <Reference URI="/xl/printerSettings/printerSettings4.bin?ContentType=application/vnd.openxmlformats-officedocument.spreadsheetml.printerSettings">
        <DigestMethod Algorithm="http://www.w3.org/2001/04/xmlenc#sha256"/>
        <DigestValue>c9OexSFcY0csOXlrkOg9eWEE/9SzlG7VG59EAeSgPNY=</DigestValue>
      </Reference>
      <Reference URI="/xl/printerSettings/printerSettings5.bin?ContentType=application/vnd.openxmlformats-officedocument.spreadsheetml.printerSettings">
        <DigestMethod Algorithm="http://www.w3.org/2001/04/xmlenc#sha256"/>
        <DigestValue>c9OexSFcY0csOXlrkOg9eWEE/9SzlG7VG59EAeSgPNY=</DigestValue>
      </Reference>
      <Reference URI="/xl/printerSettings/printerSettings6.bin?ContentType=application/vnd.openxmlformats-officedocument.spreadsheetml.printerSettings">
        <DigestMethod Algorithm="http://www.w3.org/2001/04/xmlenc#sha256"/>
        <DigestValue>3Yxs9bU3bopKuRGmJZejycHN8kRUsB6LDyPagRFVVF4=</DigestValue>
      </Reference>
      <Reference URI="/xl/printerSettings/printerSettings7.bin?ContentType=application/vnd.openxmlformats-officedocument.spreadsheetml.printerSettings">
        <DigestMethod Algorithm="http://www.w3.org/2001/04/xmlenc#sha256"/>
        <DigestValue>3Yxs9bU3bopKuRGmJZejycHN8kRUsB6LDyPagRFVVF4=</DigestValue>
      </Reference>
      <Reference URI="/xl/printerSettings/printerSettings8.bin?ContentType=application/vnd.openxmlformats-officedocument.spreadsheetml.printerSettings">
        <DigestMethod Algorithm="http://www.w3.org/2001/04/xmlenc#sha256"/>
        <DigestValue>3Yxs9bU3bopKuRGmJZejycHN8kRUsB6LDyPagRFVVF4=</DigestValue>
      </Reference>
      <Reference URI="/xl/printerSettings/printerSettings9.bin?ContentType=application/vnd.openxmlformats-officedocument.spreadsheetml.printerSettings">
        <DigestMethod Algorithm="http://www.w3.org/2001/04/xmlenc#sha256"/>
        <DigestValue>3Yxs9bU3bopKuRGmJZejycHN8kRUsB6LDyPagRFVVF4=</DigestValue>
      </Reference>
      <Reference URI="/xl/sharedStrings.xml?ContentType=application/vnd.openxmlformats-officedocument.spreadsheetml.sharedStrings+xml">
        <DigestMethod Algorithm="http://www.w3.org/2001/04/xmlenc#sha256"/>
        <DigestValue>UZQ8hKAWkcZGBGP+yKY6Cdf4JwdkAUu1aTT//q7TweY=</DigestValue>
      </Reference>
      <Reference URI="/xl/styles.xml?ContentType=application/vnd.openxmlformats-officedocument.spreadsheetml.styles+xml">
        <DigestMethod Algorithm="http://www.w3.org/2001/04/xmlenc#sha256"/>
        <DigestValue>+6S2G7vvp4zSIyPNjUdxvgiz5r6lhO+uZkNHqr8I934=</DigestValue>
      </Reference>
      <Reference URI="/xl/theme/theme1.xml?ContentType=application/vnd.openxmlformats-officedocument.theme+xml">
        <DigestMethod Algorithm="http://www.w3.org/2001/04/xmlenc#sha256"/>
        <DigestValue>5gKatJWEFLi7hisX/+06cI0VE+YaB9iOlmBxzKMdG9Q=</DigestValue>
      </Reference>
      <Reference URI="/xl/workbook.xml?ContentType=application/vnd.openxmlformats-officedocument.spreadsheetml.sheet.main+xml">
        <DigestMethod Algorithm="http://www.w3.org/2001/04/xmlenc#sha256"/>
        <DigestValue>JKGdOw3L81mOWqI60Zz1ScB45H4DTHybboYN7RPF/OU=</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10.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CJvFZyvZCGtZaxpSfN9JlJz0KIdLB08xkM9uwtiIHr8=</DigestValue>
      </Reference>
      <Reference URI="/xl/worksheets/_rels/sheet11.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d5Xtsw2XJCpzu2iVrrM37iB0lqBb1GdVuwb5zPPg9xE=</DigestValue>
      </Reference>
      <Reference URI="/xl/worksheets/_rels/sheet12.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eGqsq9I+2Jjm+KS5QpXub6Sa7OjvS6y9F90GXzpjAzk=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mYjFtcQvwYDTf1j7tGVuxlQVGkUOyJ38hFZpHQ3XCHM=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iEcJx5m5cAK4XJ8fs3jtyQJpwQSJaA0GvM7eVFRQD/A=</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StPS/6amf8jz01ZZrBHmJlLhrs5LJ46DmNQ44UesUn0=</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9vVuJJ2djPK55rMm1tkF+0J2U4pxOhThtgSKP8XLDcI=</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AV4WLL9LjJnXWTKUwpMTtJwgvd2sEQOiM43jjJ2G5gc=</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378wVfknDazY+sa9a6S0fEPLV4Moj214Qhc2T376Cw8=</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0Gw8ieZejkTBZLHr8vPxA8LqUImYLwqorSVmPTnzJMM=</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n2Hp+7X0YUsOYT6VLMFQcgrJ+S02yKv/lDXEp6h9nnU=</DigestValue>
      </Reference>
      <Reference URI="/xl/worksheets/sheet1.xml?ContentType=application/vnd.openxmlformats-officedocument.spreadsheetml.worksheet+xml">
        <DigestMethod Algorithm="http://www.w3.org/2001/04/xmlenc#sha256"/>
        <DigestValue>xKcjE8EfF32gIUoOOlQENaq+0AybpbRWe3TOCedD0gw=</DigestValue>
      </Reference>
      <Reference URI="/xl/worksheets/sheet10.xml?ContentType=application/vnd.openxmlformats-officedocument.spreadsheetml.worksheet+xml">
        <DigestMethod Algorithm="http://www.w3.org/2001/04/xmlenc#sha256"/>
        <DigestValue>+fGfke72J4SZ6y8JGr3t3OmKKWb3/ilyQkqiZJr5RbQ=</DigestValue>
      </Reference>
      <Reference URI="/xl/worksheets/sheet11.xml?ContentType=application/vnd.openxmlformats-officedocument.spreadsheetml.worksheet+xml">
        <DigestMethod Algorithm="http://www.w3.org/2001/04/xmlenc#sha256"/>
        <DigestValue>tcprpIdcitIa0uXGxAH+oRl95hejW/uRHfrM3ttPYBw=</DigestValue>
      </Reference>
      <Reference URI="/xl/worksheets/sheet12.xml?ContentType=application/vnd.openxmlformats-officedocument.spreadsheetml.worksheet+xml">
        <DigestMethod Algorithm="http://www.w3.org/2001/04/xmlenc#sha256"/>
        <DigestValue>m559mgV/ukVKqmhe6IH9ZYHDyp9pk5ywwHzAkvMzogI=</DigestValue>
      </Reference>
      <Reference URI="/xl/worksheets/sheet2.xml?ContentType=application/vnd.openxmlformats-officedocument.spreadsheetml.worksheet+xml">
        <DigestMethod Algorithm="http://www.w3.org/2001/04/xmlenc#sha256"/>
        <DigestValue>csuuUooOQ2Ohv5yuPSF2rkK1uCzzQMwIa9/cNzi2U68=</DigestValue>
      </Reference>
      <Reference URI="/xl/worksheets/sheet3.xml?ContentType=application/vnd.openxmlformats-officedocument.spreadsheetml.worksheet+xml">
        <DigestMethod Algorithm="http://www.w3.org/2001/04/xmlenc#sha256"/>
        <DigestValue>EWv0vMEQabqsYlH4iOx84jl8Puatfd+dI/Xrhyl5XUk=</DigestValue>
      </Reference>
      <Reference URI="/xl/worksheets/sheet4.xml?ContentType=application/vnd.openxmlformats-officedocument.spreadsheetml.worksheet+xml">
        <DigestMethod Algorithm="http://www.w3.org/2001/04/xmlenc#sha256"/>
        <DigestValue>Vv/HgH6Dzinvkh0ET5KyHGOWljsP03gfVobkWngj3r0=</DigestValue>
      </Reference>
      <Reference URI="/xl/worksheets/sheet5.xml?ContentType=application/vnd.openxmlformats-officedocument.spreadsheetml.worksheet+xml">
        <DigestMethod Algorithm="http://www.w3.org/2001/04/xmlenc#sha256"/>
        <DigestValue>/aOSHls8PZYy7ph8zaMVQEq0n2Fgso2OVnmkCrYjhTE=</DigestValue>
      </Reference>
      <Reference URI="/xl/worksheets/sheet6.xml?ContentType=application/vnd.openxmlformats-officedocument.spreadsheetml.worksheet+xml">
        <DigestMethod Algorithm="http://www.w3.org/2001/04/xmlenc#sha256"/>
        <DigestValue>9hioPok4Car/ZpGRz+NLQtcF8EKgOvFYQOFoh0N7lK0=</DigestValue>
      </Reference>
      <Reference URI="/xl/worksheets/sheet7.xml?ContentType=application/vnd.openxmlformats-officedocument.spreadsheetml.worksheet+xml">
        <DigestMethod Algorithm="http://www.w3.org/2001/04/xmlenc#sha256"/>
        <DigestValue>qKY5s4R7dKCNh0dy8XQDEjFrFdA+Cr9KpaHRTlXo5LM=</DigestValue>
      </Reference>
      <Reference URI="/xl/worksheets/sheet8.xml?ContentType=application/vnd.openxmlformats-officedocument.spreadsheetml.worksheet+xml">
        <DigestMethod Algorithm="http://www.w3.org/2001/04/xmlenc#sha256"/>
        <DigestValue>+c1GlWm03ptK9xZNfltNtsnnjioAxBQNpc/f/QBWuW4=</DigestValue>
      </Reference>
      <Reference URI="/xl/worksheets/sheet9.xml?ContentType=application/vnd.openxmlformats-officedocument.spreadsheetml.worksheet+xml">
        <DigestMethod Algorithm="http://www.w3.org/2001/04/xmlenc#sha256"/>
        <DigestValue>AyHFHKJIbuPDEooLNeVfMU1cKyVWUz3svj9t/5iyb3k=</DigestValue>
      </Reference>
    </Manifest>
    <SignatureProperties>
      <SignatureProperty Id="idSignatureTime" Target="#idPackageSignature">
        <mdssi:SignatureTime xmlns:mdssi="http://schemas.openxmlformats.org/package/2006/digital-signature">
          <mdssi:Format>YYYY-MM-DDThh:mm:ssTZD</mdssi:Format>
          <mdssi:Value>2026-03-13T09:43:35Z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16.0.18526/26</OfficeVersion>
          <ApplicationVersion>16.0.18526</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2026-03-13T09:43:35Z</xd:SigningTime>
          <xd:SigningCertificate>
            <xd:Cert>
              <xd:CertDigest>
                <DigestMethod Algorithm="http://www.w3.org/2001/04/xmlenc#sha256"/>
                <DigestValue>PDKFjHzK6HhJEl/u6aw9gCjFkLkEUL3e+dtxSQ6Ymsg=</DigestValue>
              </xd:CertDigest>
              <xd:IssuerSerial>
                <X509IssuerName>CN=FPT Certification Authority SHA256, OU=FPT IS COMPANY LIMITED, O=FPT CORPORATION, C=VN</X509IssuerName>
                <X509SerialNumber>111660364551568301020291815688041190222</X509SerialNumber>
              </xd:IssuerSerial>
            </xd:Cert>
          </xd:SigningCertificate>
          <xd:SignaturePolicyIdentifier>
            <xd:SignaturePolicyImplied/>
          </xd:SignaturePolicyIdentifier>
        </xd:SignedSignatureProperties>
      </xd:SignedProperties>
    </xd:QualifyingProperties>
  </Object>
</Signature>
</file>

<file path=docMetadata/LabelInfo.xml><?xml version="1.0" encoding="utf-8"?>
<clbl:labelList xmlns:clbl="http://schemas.microsoft.com/office/2020/mipLabelMetadata">
  <clbl:label id="{76274c26-8161-4bde-aa07-b2b522e14278}"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8</vt:i4>
      </vt:variant>
    </vt:vector>
  </HeadingPairs>
  <TitlesOfParts>
    <vt:vector size="20" baseType="lpstr">
      <vt:lpstr>TONGQUAN</vt:lpstr>
      <vt:lpstr>BCHoatDongVay_06026</vt:lpstr>
      <vt:lpstr>BCTaiSan_06027</vt:lpstr>
      <vt:lpstr>BCKetQuaHoatDong_06028</vt:lpstr>
      <vt:lpstr>BCDanhMucDauTu_06029</vt:lpstr>
      <vt:lpstr>Khac_06030</vt:lpstr>
      <vt:lpstr>BCTinhHinhTaiChinh_06105</vt:lpstr>
      <vt:lpstr>GTTSRong_06107</vt:lpstr>
      <vt:lpstr>BCDMDT_06108</vt:lpstr>
      <vt:lpstr>BCLCGT_06262</vt:lpstr>
      <vt:lpstr>BCThuNhap_06104</vt:lpstr>
      <vt:lpstr>ThongKePhiGiaoDich_06145</vt:lpstr>
      <vt:lpstr>TONGQUAN!Print_Area</vt:lpstr>
      <vt:lpstr>BCDanhMucDauTu_06029!Print_Titles</vt:lpstr>
      <vt:lpstr>BCKetQuaHoatDong_06028!Print_Titles</vt:lpstr>
      <vt:lpstr>BCLCGT_06262!Print_Titles</vt:lpstr>
      <vt:lpstr>BCTaiSan_06027!Print_Titles</vt:lpstr>
      <vt:lpstr>BCThuNhap_06104!Print_Titles</vt:lpstr>
      <vt:lpstr>BCTinhHinhTaiChinh_06105!Print_Titles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Phan Quang, Vu</cp:lastModifiedBy>
  <cp:lastPrinted>2022-10-21T09:56:46Z</cp:lastPrinted>
  <dcterms:created xsi:type="dcterms:W3CDTF">2019-03-13T13:30:00Z</dcterms:created>
  <dcterms:modified xsi:type="dcterms:W3CDTF">2026-03-13T09:43:33Z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6274c26-8161-4bde-aa07-b2b522e14278_Enabled">
    <vt:lpwstr>true</vt:lpwstr>
  </property>
  <property fmtid="{D5CDD505-2E9C-101B-9397-08002B2CF9AE}" pid="3" name="MSIP_Label_76274c26-8161-4bde-aa07-b2b522e14278_SetDate">
    <vt:lpwstr>2024-03-25T07:19:28Z</vt:lpwstr>
  </property>
  <property fmtid="{D5CDD505-2E9C-101B-9397-08002B2CF9AE}" pid="4" name="MSIP_Label_76274c26-8161-4bde-aa07-b2b522e14278_Method">
    <vt:lpwstr>Privileged</vt:lpwstr>
  </property>
  <property fmtid="{D5CDD505-2E9C-101B-9397-08002B2CF9AE}" pid="5" name="MSIP_Label_76274c26-8161-4bde-aa07-b2b522e14278_Name">
    <vt:lpwstr>Label Only</vt:lpwstr>
  </property>
  <property fmtid="{D5CDD505-2E9C-101B-9397-08002B2CF9AE}" pid="6" name="MSIP_Label_76274c26-8161-4bde-aa07-b2b522e14278_SiteId">
    <vt:lpwstr>b44900f1-2def-4c3b-9ec6-9020d604e19e</vt:lpwstr>
  </property>
  <property fmtid="{D5CDD505-2E9C-101B-9397-08002B2CF9AE}" pid="7" name="MSIP_Label_76274c26-8161-4bde-aa07-b2b522e14278_ActionId">
    <vt:lpwstr>88424cee-e4e2-4682-9a27-d85634db89ae</vt:lpwstr>
  </property>
  <property fmtid="{D5CDD505-2E9C-101B-9397-08002B2CF9AE}" pid="8" name="MSIP_Label_76274c26-8161-4bde-aa07-b2b522e14278_ContentBits">
    <vt:lpwstr>1</vt:lpwstr>
  </property>
</Properties>
</file>