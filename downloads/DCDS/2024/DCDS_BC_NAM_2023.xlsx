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standardcharteredbank-my.sharepoint.com/personal/1661346_zone1_scb_net/Documents/Desktop/"/>
    </mc:Choice>
  </mc:AlternateContent>
  <xr:revisionPtr revIDLastSave="0" documentId="10_ncr:200_{5A2C345A-1CFE-4CD1-AC67-00DEACB2BE20}"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104" sheetId="39" r:id="rId2"/>
    <sheet name="BCTinhHinhTaiChinh_06105" sheetId="42" r:id="rId3"/>
    <sheet name="GTTSRong_06107" sheetId="36" r:id="rId4"/>
    <sheet name="BCDMDT_06108" sheetId="37" r:id="rId5"/>
    <sheet name="BCLCGT_06262" sheetId="38" r:id="rId6"/>
    <sheet name="BCTaiSan_06027" sheetId="43" r:id="rId7"/>
    <sheet name="BCKetQuaHoatDong_06028" sheetId="29" r:id="rId8"/>
    <sheet name="BCDanhMucDauTu_06029" sheetId="44" r:id="rId9"/>
    <sheet name="Khac_06030" sheetId="32" r:id="rId10"/>
    <sheet name="ThongKePhiGiaoDich_06145" sheetId="46" r:id="rId11"/>
    <sheet name="BCHoatDongVay_06026" sheetId="45" r:id="rId12"/>
  </sheets>
  <definedNames>
    <definedName name="_xlnm._FilterDatabase" localSheetId="8" hidden="1">BCDanhMucDauTu_06029!$A$18:$J$18</definedName>
    <definedName name="_xlnm._FilterDatabase" localSheetId="4" hidden="1">BCDMDT_06108!$A$16:$G$16</definedName>
    <definedName name="_xlnm._FilterDatabase" localSheetId="7" hidden="1">BCKetQuaHoatDong_06028!$A$18:$H$89</definedName>
    <definedName name="_xlnm._FilterDatabase" localSheetId="5" hidden="1">BCLCGT_06262!$A$17:$F$64</definedName>
    <definedName name="_xlnm._FilterDatabase" localSheetId="6" hidden="1">BCTaiSan_06027!$A$19:$H$19</definedName>
    <definedName name="_xlnm._FilterDatabase" localSheetId="1" hidden="1">BCThuNhap_06104!$A$16:$G$77</definedName>
    <definedName name="_xlnm._FilterDatabase" localSheetId="2" hidden="1">BCTinhHinhTaiChinh_06105!$A$16:$H$120</definedName>
    <definedName name="_xlnm._FilterDatabase" localSheetId="3" hidden="1">GTTSRong_06107!$A$18:$F$18</definedName>
    <definedName name="_xlnm._FilterDatabase" localSheetId="9" hidden="1">Khac_06030!$A$18:$F$18</definedName>
    <definedName name="addlogo">INDEX(#REF!,MATCH(#REF!,#REF!,0))</definedName>
    <definedName name="_xlnm.Print_Area" localSheetId="6">BCTaiSan_06027!$A$1:$F$122</definedName>
    <definedName name="_xlnm.Print_Area" localSheetId="2">BCTinhHinhTaiChinh_06105!$A$1:$F$138</definedName>
    <definedName name="_xlnm.Print_Area" localSheetId="3">GTTSRong_06107!$A$1:$F$41</definedName>
    <definedName name="_xlnm.Print_Area" localSheetId="0">TONGQUAN!$A$1:$K$34</definedName>
    <definedName name="_xlnm.Print_Titles" localSheetId="8">BCDanhMucDauTu_06029!$18:$18</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BCThuNhap_06104!$16:$17</definedName>
    <definedName name="_xlnm.Print_Titles" localSheetId="2">BCTinhHinhTaiChinh_06105!$16:$16</definedName>
    <definedName name="_xlnm.Print_Titles" localSheetId="9">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B14" i="39" l="1"/>
  <c r="B12" i="39"/>
  <c r="B10" i="39"/>
  <c r="B13" i="39"/>
  <c r="B11" i="39"/>
  <c r="B9" i="39"/>
  <c r="B8" i="39"/>
  <c r="B7" i="39"/>
  <c r="A5" i="39"/>
  <c r="E17" i="38" l="1"/>
  <c r="D17" i="38"/>
  <c r="B14" i="38"/>
  <c r="B12" i="38"/>
  <c r="B10" i="38"/>
  <c r="B13" i="38"/>
  <c r="B11" i="38"/>
  <c r="B9" i="38"/>
  <c r="B8" i="38"/>
  <c r="B7" i="38"/>
  <c r="A4" i="38"/>
  <c r="C13" i="37" l="1"/>
  <c r="C11" i="37"/>
  <c r="C9" i="37"/>
  <c r="C12" i="37"/>
  <c r="C10" i="37"/>
  <c r="C8" i="37"/>
  <c r="C7" i="37"/>
  <c r="C6" i="37"/>
  <c r="A4" i="37"/>
  <c r="D14" i="36" l="1"/>
  <c r="D12" i="36"/>
  <c r="D10" i="36"/>
  <c r="D13" i="36"/>
  <c r="D11" i="36"/>
  <c r="D9" i="36"/>
  <c r="D8" i="36"/>
  <c r="D7" i="36"/>
  <c r="A5" i="36"/>
  <c r="F18" i="36"/>
  <c r="E18" i="36"/>
  <c r="D66" i="32" l="1"/>
  <c r="D65" i="32"/>
  <c r="A65" i="32"/>
  <c r="A64" i="32"/>
  <c r="D54" i="32"/>
  <c r="D53" i="32"/>
  <c r="A54" i="32"/>
  <c r="A53" i="32"/>
  <c r="C14" i="32"/>
  <c r="C12" i="32"/>
  <c r="C10" i="32"/>
  <c r="C13" i="32"/>
  <c r="C11" i="32"/>
  <c r="C9" i="32"/>
  <c r="C8" i="32"/>
  <c r="C7" i="32"/>
  <c r="A5" i="32"/>
  <c r="D107" i="29" l="1"/>
  <c r="D106" i="29"/>
  <c r="A106" i="29"/>
  <c r="A105" i="29"/>
  <c r="C14" i="29"/>
  <c r="C12" i="29"/>
  <c r="C10" i="29"/>
  <c r="C13" i="29"/>
  <c r="C11" i="29"/>
  <c r="C9" i="29"/>
  <c r="A5" i="29"/>
  <c r="C8" i="29"/>
  <c r="C7" i="29"/>
  <c r="D64" i="32" l="1"/>
  <c r="D105" i="29"/>
</calcChain>
</file>

<file path=xl/sharedStrings.xml><?xml version="1.0" encoding="utf-8"?>
<sst xmlns="http://schemas.openxmlformats.org/spreadsheetml/2006/main" count="2166" uniqueCount="1704">
  <si>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</si>
  <si>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</si>
  <si>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</si>
  <si>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</si>
  <si>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</si>
  <si>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</si>
  <si>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</si>
  <si>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</si>
  <si>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</si>
  <si>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</si>
  <si>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</si>
  <si>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</si>
  <si>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</si>
  <si>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</si>
  <si>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</si>
  <si>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</si>
  <si>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</si>
  <si>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</si>
  <si>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</si>
  <si>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</si>
  <si>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</si>
  <si>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</si>
  <si>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</si>
  <si>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</si>
  <si>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</si>
  <si>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</si>
  <si>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</si>
  <si>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</si>
  <si>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</si>
  <si>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</si>
  <si>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</si>
  <si>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</si>
  <si>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</si>
  <si>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</si>
  <si>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</si>
  <si>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</si>
  <si>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</si>
  <si>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</si>
  <si>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</si>
  <si>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</si>
  <si>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</si>
  <si>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</si>
  <si>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</si>
  <si>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</si>
  <si>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</si>
  <si>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</si>
  <si>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</si>
  <si>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</si>
  <si>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</si>
  <si>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</si>
  <si>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</si>
  <si>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</si>
  <si>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</si>
  <si>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</si>
  <si>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</si>
  <si>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</si>
  <si>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</si>
  <si>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</si>
  <si>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</si>
  <si>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</si>
  <si>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</si>
  <si>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</si>
  <si>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</si>
  <si>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</si>
  <si>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</si>
  <si>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</si>
  <si>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</si>
  <si>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</si>
  <si>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</si>
  <si>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</si>
  <si>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</si>
  <si>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</si>
  <si>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</si>
  <si>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</si>
  <si>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</si>
  <si>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</si>
  <si>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</si>
  <si>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</si>
  <si>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</si>
  <si>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</si>
  <si>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</si>
  <si>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</si>
  <si>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</si>
  <si>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</si>
  <si>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</si>
  <si>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</si>
  <si>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</si>
  <si>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</si>
  <si>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</si>
  <si>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</si>
  <si>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</si>
  <si>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</si>
  <si>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</si>
  <si>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</si>
  <si>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</si>
  <si>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</si>
  <si>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</si>
  <si>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</si>
  <si>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</si>
  <si>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</si>
  <si>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</si>
  <si>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</si>
  <si>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</si>
  <si>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</si>
  <si>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</si>
  <si>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</si>
  <si>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</si>
  <si>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</si>
  <si>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</si>
  <si>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</si>
  <si>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</si>
  <si>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</si>
  <si>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</si>
  <si>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</si>
  <si>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</si>
  <si>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</si>
  <si>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</si>
  <si>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</si>
  <si>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</si>
  <si>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</si>
  <si>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</si>
  <si>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</si>
  <si>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</si>
  <si>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</si>
  <si>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</si>
  <si>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</si>
  <si>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</si>
  <si>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</si>
  <si>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</si>
  <si>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</si>
  <si>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</si>
  <si>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</si>
  <si>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</si>
  <si>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</si>
  <si>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</si>
  <si>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</si>
  <si>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</si>
  <si>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</si>
  <si>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</si>
  <si>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</si>
  <si>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</si>
  <si>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</si>
  <si>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</si>
  <si>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</si>
  <si>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</si>
  <si>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</si>
  <si>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</si>
  <si>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</si>
  <si>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</si>
  <si>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</si>
  <si>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</si>
  <si>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</si>
  <si>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</si>
  <si>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</si>
  <si>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</si>
  <si>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</si>
  <si>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</si>
  <si>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</si>
  <si>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</si>
  <si>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</si>
  <si>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</si>
  <si>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</si>
  <si>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</si>
  <si>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</si>
  <si>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</si>
  <si>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</si>
  <si>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</si>
  <si>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</si>
  <si>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</si>
  <si>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</si>
  <si>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</si>
  <si>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</si>
  <si>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</si>
  <si>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</si>
  <si>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</si>
  <si>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</si>
  <si>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</si>
  <si>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</si>
  <si>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</si>
  <si>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</si>
  <si>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</si>
  <si>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</si>
  <si>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</si>
  <si>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</si>
  <si>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</si>
  <si>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</si>
  <si>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</si>
  <si>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</si>
  <si>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</si>
  <si>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</si>
  <si>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</si>
  <si>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</si>
  <si>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</si>
  <si>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</si>
  <si>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</si>
  <si>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</si>
  <si>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</si>
  <si>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</si>
  <si>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</si>
  <si>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</si>
  <si>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</si>
  <si>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</si>
  <si>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</si>
  <si>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</si>
  <si>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</si>
  <si>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</si>
  <si>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</si>
  <si>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</si>
  <si>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</si>
  <si>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</si>
  <si>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</si>
  <si>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</si>
  <si>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</si>
  <si>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</si>
  <si>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</si>
  <si>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</si>
  <si>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</si>
  <si>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</si>
  <si>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</si>
  <si>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</si>
  <si>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</si>
  <si>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</si>
  <si>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</si>
  <si>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</si>
  <si>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</si>
  <si>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</si>
  <si>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</si>
  <si>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</si>
  <si>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</si>
  <si>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</si>
  <si>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</si>
  <si>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</si>
  <si>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</si>
  <si>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</si>
  <si>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</si>
  <si>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</si>
  <si>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</si>
  <si>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</si>
  <si>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</si>
  <si>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</si>
  <si>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</si>
  <si>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</si>
  <si>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</si>
  <si>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</si>
  <si>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</si>
  <si>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</si>
  <si>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</si>
  <si>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</si>
  <si>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</si>
  <si>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</si>
  <si>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</si>
  <si>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</si>
  <si>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</si>
  <si>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</si>
  <si>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</si>
  <si>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</si>
  <si>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</si>
  <si>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</si>
  <si>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</si>
  <si>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</si>
  <si>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</si>
  <si>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</si>
  <si>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</si>
  <si>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</si>
  <si>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</si>
  <si>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</si>
  <si>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</si>
  <si>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</si>
  <si>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</si>
  <si>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</si>
  <si>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</si>
  <si>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</si>
  <si>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</si>
  <si>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</si>
  <si>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</si>
  <si>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</si>
  <si>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</si>
  <si>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</si>
  <si>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</si>
  <si>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</si>
  <si>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</si>
  <si>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</si>
  <si>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</si>
  <si>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</si>
  <si>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</si>
  <si>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</si>
  <si>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</si>
  <si>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</si>
  <si>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</si>
  <si>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</si>
  <si>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</si>
  <si>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</si>
  <si>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</si>
  <si>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</si>
  <si>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</si>
  <si>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</si>
  <si>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</si>
  <si>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</si>
  <si>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</si>
  <si>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</si>
  <si>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</si>
  <si>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</si>
  <si>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</si>
  <si>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</si>
  <si>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</si>
  <si>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</si>
  <si>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</si>
  <si>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</si>
  <si>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</si>
  <si>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</si>
  <si>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</si>
  <si>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</si>
  <si>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</si>
  <si>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</si>
  <si>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</si>
  <si>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</si>
  <si>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</si>
  <si>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</si>
  <si>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</si>
  <si>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</si>
  <si>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</si>
  <si>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</si>
  <si>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</si>
  <si>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</si>
  <si>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</si>
  <si>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</si>
  <si>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</si>
  <si>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</si>
  <si>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</si>
  <si>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</si>
  <si>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</si>
  <si>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</si>
  <si>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</si>
  <si>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</si>
  <si>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</si>
  <si>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</si>
  <si>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</si>
  <si>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</si>
  <si>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</si>
  <si>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</si>
  <si>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</si>
  <si>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</si>
  <si>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</si>
  <si>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</si>
  <si>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</si>
  <si>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</si>
  <si>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</si>
  <si>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</si>
  <si>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</si>
  <si>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</si>
  <si>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</si>
  <si>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</si>
  <si>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</si>
  <si>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</si>
  <si>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</si>
  <si>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</si>
  <si>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</si>
  <si>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</si>
  <si>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</si>
  <si>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</si>
  <si>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</si>
  <si>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</si>
  <si>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</si>
  <si>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</si>
  <si>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</si>
  <si>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</si>
  <si>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</si>
  <si>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</si>
  <si>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</si>
  <si>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</si>
  <si>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</si>
  <si>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</si>
  <si>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</si>
  <si>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</si>
  <si>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</si>
  <si>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</si>
  <si>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</si>
  <si>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</si>
  <si>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</si>
  <si>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</si>
  <si>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</si>
  <si>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</si>
  <si>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</si>
  <si>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</si>
  <si>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</si>
  <si>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</si>
  <si>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</si>
  <si>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</si>
  <si>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</si>
  <si>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</si>
  <si>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</si>
  <si>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</si>
  <si>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</si>
  <si>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</si>
  <si>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</si>
  <si>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</si>
  <si>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</si>
  <si>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</si>
  <si>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</si>
  <si>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</si>
  <si>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</si>
  <si>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</si>
  <si>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</si>
  <si>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</si>
  <si>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</si>
  <si>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</si>
  <si>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</si>
  <si>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</si>
  <si>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</si>
  <si>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</si>
  <si>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</si>
  <si>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</si>
  <si>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</si>
  <si>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</si>
  <si>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</si>
  <si>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</si>
  <si>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</si>
  <si>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</si>
  <si>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</si>
  <si>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</si>
  <si>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</si>
  <si>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</si>
  <si>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</si>
  <si>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</si>
  <si>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</si>
  <si>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</si>
  <si>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</si>
  <si>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</si>
  <si>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</si>
  <si>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</si>
  <si>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</si>
  <si>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</si>
  <si>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</si>
  <si>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</si>
  <si>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</si>
  <si>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</si>
  <si>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</si>
  <si>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</si>
  <si>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</si>
  <si>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</si>
  <si>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</si>
  <si>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</si>
  <si>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</si>
  <si>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</si>
  <si>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</si>
  <si>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</si>
  <si>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</si>
  <si>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</si>
  <si>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</si>
  <si>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</si>
  <si>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</si>
  <si>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</si>
  <si>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</si>
  <si>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</si>
  <si>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</si>
  <si>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</si>
  <si>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</si>
  <si>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</si>
  <si>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</si>
  <si>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</si>
  <si>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</si>
  <si>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</si>
  <si>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</si>
  <si>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</si>
  <si>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</si>
  <si>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</si>
  <si>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</si>
  <si>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</si>
  <si>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</si>
  <si>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</si>
  <si>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</si>
  <si>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</si>
  <si>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</si>
  <si>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</si>
  <si>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</si>
  <si>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</si>
  <si>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</si>
  <si>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</si>
  <si>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</si>
  <si>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</si>
  <si>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</si>
  <si>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</si>
  <si>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</si>
  <si>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</si>
  <si>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</si>
  <si>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</si>
  <si>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</si>
  <si>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</si>
  <si>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</si>
  <si>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</si>
  <si>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</si>
  <si>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</si>
  <si>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</si>
  <si>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</si>
  <si>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</si>
  <si>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</si>
  <si>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</si>
  <si>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</si>
  <si>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</si>
  <si>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</si>
  <si>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</si>
  <si>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</si>
  <si>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</si>
  <si>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</si>
  <si>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</si>
  <si>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</si>
  <si>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</si>
  <si>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</si>
  <si>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</si>
  <si>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</si>
  <si>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</si>
  <si>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</si>
  <si>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</si>
  <si>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</si>
  <si>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</si>
  <si>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</si>
  <si>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</si>
  <si>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</si>
  <si>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</si>
  <si>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</si>
  <si>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</si>
  <si>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</si>
  <si>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</si>
  <si>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</si>
  <si>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</si>
  <si>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</si>
  <si>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</si>
  <si>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</si>
  <si>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</si>
  <si>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</si>
  <si>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</si>
  <si>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</si>
  <si>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</si>
  <si>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</si>
  <si>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</si>
  <si>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</si>
  <si>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</si>
  <si>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</si>
  <si>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</si>
  <si>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</si>
  <si>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</si>
  <si>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</si>
  <si>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</si>
  <si>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</si>
  <si>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</si>
  <si>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</si>
  <si>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</si>
  <si>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</si>
  <si>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</si>
  <si>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</si>
  <si>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</si>
  <si>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</si>
  <si>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</si>
  <si>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</si>
  <si>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</si>
  <si>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</si>
  <si>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</si>
  <si>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</si>
  <si>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</si>
  <si>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</si>
  <si>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</si>
  <si>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</si>
  <si>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</si>
  <si>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</si>
  <si>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</si>
  <si>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</si>
  <si>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</si>
  <si>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</si>
  <si>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</si>
  <si>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</si>
  <si>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</si>
  <si>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</si>
  <si>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</si>
  <si>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</si>
  <si>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</si>
  <si>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</si>
  <si>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</si>
  <si>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</si>
  <si>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</si>
  <si>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</si>
  <si>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</si>
  <si>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</si>
  <si>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</si>
  <si>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</si>
  <si>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</si>
  <si>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</si>
  <si>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</si>
  <si>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</si>
  <si>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</si>
  <si>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</si>
  <si>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</si>
  <si>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</si>
  <si>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</si>
  <si>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</si>
  <si>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</si>
  <si>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</si>
  <si>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</si>
  <si>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</si>
  <si>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</si>
  <si>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</si>
  <si>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</si>
  <si>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</si>
  <si>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</si>
  <si>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</si>
  <si>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</si>
  <si>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</si>
  <si>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</si>
  <si>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</si>
  <si>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</si>
  <si>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</si>
  <si>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</si>
  <si>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</si>
  <si>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</si>
  <si>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</si>
  <si>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</si>
  <si>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</si>
  <si>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</si>
  <si>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</si>
  <si>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</si>
  <si>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</si>
  <si>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</si>
  <si>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</si>
  <si>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</si>
  <si>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</si>
  <si>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</si>
  <si>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</si>
  <si>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</si>
  <si>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</si>
  <si>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</si>
  <si>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</si>
  <si>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</si>
  <si>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</si>
  <si>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</si>
  <si>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</si>
  <si>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</si>
  <si>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</si>
  <si>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</si>
  <si>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</si>
  <si>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</si>
  <si>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</si>
  <si>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</si>
  <si>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</si>
  <si>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</si>
  <si>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</si>
  <si>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</si>
  <si>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</si>
  <si>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</si>
  <si>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</si>
  <si>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</si>
  <si>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</si>
  <si>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</si>
  <si>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</si>
  <si>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</si>
  <si>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</si>
  <si>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</si>
  <si>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</si>
  <si>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</si>
  <si>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</si>
  <si>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</si>
  <si>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</si>
  <si>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</si>
  <si>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</si>
  <si>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</si>
  <si>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</si>
  <si>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</si>
  <si>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</si>
  <si>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</si>
  <si>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</si>
  <si>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</si>
  <si>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</si>
  <si>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</si>
  <si>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</si>
  <si>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</si>
  <si>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</si>
  <si>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</si>
  <si>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</si>
  <si>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</si>
  <si>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</si>
  <si>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</si>
  <si>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</si>
  <si>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</si>
  <si>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</si>
  <si>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</si>
  <si>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</si>
  <si>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</si>
  <si>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</si>
  <si>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</si>
  <si>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</si>
  <si>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</si>
  <si>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</si>
  <si>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</si>
  <si>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</si>
  <si>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</si>
  <si>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</si>
  <si>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</si>
  <si>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</si>
  <si>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</si>
  <si>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</si>
  <si>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</si>
  <si>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</si>
  <si>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</si>
  <si>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</si>
  <si>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</si>
  <si>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</si>
  <si>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</si>
  <si>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</si>
  <si>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</si>
  <si>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</si>
  <si>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</si>
  <si>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Giao dịch chứng khoán không niêm yết bao gồm cổ phiếu chưa niêm yết, trái phiếu chưa niêm yết, chứng chỉ tiền gửi và giao dịch ngoài sàn.
Unlisted securities trading includes unlisted equities, unlisted bonds. certificates of deposits and trade off exchange.</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</si>
  <si>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</si>
  <si>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</si>
  <si>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</si>
  <si>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</si>
  <si>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</si>
  <si>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</si>
  <si>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</si>
  <si>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</si>
  <si>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</si>
  <si>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</si>
  <si>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</si>
  <si>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</si>
  <si>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</si>
  <si>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</si>
  <si>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</si>
  <si>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</si>
  <si>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</si>
  <si>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</si>
  <si>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</si>
  <si>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BID</t>
  </si>
  <si>
    <t>2246.1</t>
  </si>
  <si>
    <t>2</t>
  </si>
  <si>
    <t>BSI</t>
  </si>
  <si>
    <t>2246.2</t>
  </si>
  <si>
    <t>3</t>
  </si>
  <si>
    <t>CTD</t>
  </si>
  <si>
    <t>2246.3</t>
  </si>
  <si>
    <t>4</t>
  </si>
  <si>
    <t>CTG</t>
  </si>
  <si>
    <t>2246.4</t>
  </si>
  <si>
    <t>5</t>
  </si>
  <si>
    <t>DCM</t>
  </si>
  <si>
    <t>2246.5</t>
  </si>
  <si>
    <t>6</t>
  </si>
  <si>
    <t>DGC</t>
  </si>
  <si>
    <t>2246.6</t>
  </si>
  <si>
    <t>7</t>
  </si>
  <si>
    <t>DGW</t>
  </si>
  <si>
    <t>2246.7</t>
  </si>
  <si>
    <t>8</t>
  </si>
  <si>
    <t>DHC</t>
  </si>
  <si>
    <t>2246.8</t>
  </si>
  <si>
    <t>9</t>
  </si>
  <si>
    <t>DIG</t>
  </si>
  <si>
    <t>2246.9</t>
  </si>
  <si>
    <t>10</t>
  </si>
  <si>
    <t>DPG</t>
  </si>
  <si>
    <t>2246.10</t>
  </si>
  <si>
    <t>11</t>
  </si>
  <si>
    <t>DRC</t>
  </si>
  <si>
    <t>2246.11</t>
  </si>
  <si>
    <t>12</t>
  </si>
  <si>
    <t>DXG</t>
  </si>
  <si>
    <t>2246.12</t>
  </si>
  <si>
    <t>13</t>
  </si>
  <si>
    <t>DXS</t>
  </si>
  <si>
    <t>2246.13</t>
  </si>
  <si>
    <t>14</t>
  </si>
  <si>
    <t>FPT</t>
  </si>
  <si>
    <t>2246.14</t>
  </si>
  <si>
    <t>15</t>
  </si>
  <si>
    <t>FRT</t>
  </si>
  <si>
    <t>2246.15</t>
  </si>
  <si>
    <t>16</t>
  </si>
  <si>
    <t>GEX</t>
  </si>
  <si>
    <t>2246.16</t>
  </si>
  <si>
    <t>17</t>
  </si>
  <si>
    <t>GMD</t>
  </si>
  <si>
    <t>2246.17</t>
  </si>
  <si>
    <t>18</t>
  </si>
  <si>
    <t>HAH</t>
  </si>
  <si>
    <t>2246.18</t>
  </si>
  <si>
    <t>19</t>
  </si>
  <si>
    <t>HDG</t>
  </si>
  <si>
    <t>2246.19</t>
  </si>
  <si>
    <t>20</t>
  </si>
  <si>
    <t>HPG</t>
  </si>
  <si>
    <t>2246.20</t>
  </si>
  <si>
    <t>21</t>
  </si>
  <si>
    <t>HSG</t>
  </si>
  <si>
    <t>2246.21</t>
  </si>
  <si>
    <t>22</t>
  </si>
  <si>
    <t>IDC</t>
  </si>
  <si>
    <t>2246.22</t>
  </si>
  <si>
    <t>23</t>
  </si>
  <si>
    <t>KDH</t>
  </si>
  <si>
    <t>2246.23</t>
  </si>
  <si>
    <t>24</t>
  </si>
  <si>
    <t>LHG</t>
  </si>
  <si>
    <t>2246.24</t>
  </si>
  <si>
    <t>25</t>
  </si>
  <si>
    <t>LTG</t>
  </si>
  <si>
    <t>2246.25</t>
  </si>
  <si>
    <t>26</t>
  </si>
  <si>
    <t>MBB</t>
  </si>
  <si>
    <t>2246.26</t>
  </si>
  <si>
    <t>27</t>
  </si>
  <si>
    <t>MSN</t>
  </si>
  <si>
    <t>2246.27</t>
  </si>
  <si>
    <t>28</t>
  </si>
  <si>
    <t>MWG</t>
  </si>
  <si>
    <t>2246.28</t>
  </si>
  <si>
    <t>29</t>
  </si>
  <si>
    <t>NKG</t>
  </si>
  <si>
    <t>2246.29</t>
  </si>
  <si>
    <t>30</t>
  </si>
  <si>
    <t>NLG</t>
  </si>
  <si>
    <t>2246.30</t>
  </si>
  <si>
    <t>31</t>
  </si>
  <si>
    <t>NT2</t>
  </si>
  <si>
    <t>2246.31</t>
  </si>
  <si>
    <t>32</t>
  </si>
  <si>
    <t>NTL</t>
  </si>
  <si>
    <t>2246.32</t>
  </si>
  <si>
    <t>33</t>
  </si>
  <si>
    <t>PC1</t>
  </si>
  <si>
    <t>2246.33</t>
  </si>
  <si>
    <t>34</t>
  </si>
  <si>
    <t>PDR</t>
  </si>
  <si>
    <t>2246.34</t>
  </si>
  <si>
    <t>35</t>
  </si>
  <si>
    <t>PET</t>
  </si>
  <si>
    <t>2246.35</t>
  </si>
  <si>
    <t>36</t>
  </si>
  <si>
    <t>PNJ</t>
  </si>
  <si>
    <t>2246.36</t>
  </si>
  <si>
    <t>37</t>
  </si>
  <si>
    <t>PTB</t>
  </si>
  <si>
    <t>2246.37</t>
  </si>
  <si>
    <t>38</t>
  </si>
  <si>
    <t>PVD</t>
  </si>
  <si>
    <t>2246.38</t>
  </si>
  <si>
    <t>39</t>
  </si>
  <si>
    <t>PVS</t>
  </si>
  <si>
    <t>2246.39</t>
  </si>
  <si>
    <t>40</t>
  </si>
  <si>
    <t>SSI</t>
  </si>
  <si>
    <t>2246.40</t>
  </si>
  <si>
    <t>41</t>
  </si>
  <si>
    <t>STB</t>
  </si>
  <si>
    <t>2246.41</t>
  </si>
  <si>
    <t>42</t>
  </si>
  <si>
    <t>SZC</t>
  </si>
  <si>
    <t>2246.42</t>
  </si>
  <si>
    <t>43</t>
  </si>
  <si>
    <t>TCB</t>
  </si>
  <si>
    <t>2246.43</t>
  </si>
  <si>
    <t>44</t>
  </si>
  <si>
    <t>TCH</t>
  </si>
  <si>
    <t>2246.44</t>
  </si>
  <si>
    <t>45</t>
  </si>
  <si>
    <t>TV2</t>
  </si>
  <si>
    <t>2246.45</t>
  </si>
  <si>
    <t>46</t>
  </si>
  <si>
    <t>VCG</t>
  </si>
  <si>
    <t>2246.46</t>
  </si>
  <si>
    <t>47</t>
  </si>
  <si>
    <t>VCI</t>
  </si>
  <si>
    <t>2246.47</t>
  </si>
  <si>
    <t>48</t>
  </si>
  <si>
    <t>VDS</t>
  </si>
  <si>
    <t>2246.48</t>
  </si>
  <si>
    <t>49</t>
  </si>
  <si>
    <t>VEA</t>
  </si>
  <si>
    <t>2246.49</t>
  </si>
  <si>
    <t>50</t>
  </si>
  <si>
    <t>VGC</t>
  </si>
  <si>
    <t>2246.50</t>
  </si>
  <si>
    <t>51</t>
  </si>
  <si>
    <t>VGS</t>
  </si>
  <si>
    <t>2246.51</t>
  </si>
  <si>
    <t>52</t>
  </si>
  <si>
    <t>VHM</t>
  </si>
  <si>
    <t>2246.52</t>
  </si>
  <si>
    <t>53</t>
  </si>
  <si>
    <t>VND</t>
  </si>
  <si>
    <t>2246.53</t>
  </si>
  <si>
    <t>54</t>
  </si>
  <si>
    <t>VRE</t>
  </si>
  <si>
    <t>2246.54</t>
  </si>
  <si>
    <t>55</t>
  </si>
  <si>
    <t>VTP</t>
  </si>
  <si>
    <t>2246.55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</si>
  <si>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</si>
  <si>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</si>
  <si>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</si>
  <si>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</si>
  <si>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</si>
  <si>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</si>
  <si>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</si>
  <si>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</si>
  <si>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</si>
  <si>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</si>
  <si>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</si>
  <si>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</si>
  <si>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</si>
  <si>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</si>
  <si>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</si>
  <si>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</si>
  <si>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</si>
  <si>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KDH12101</t>
  </si>
  <si>
    <t>2251.2.1</t>
  </si>
  <si>
    <t>TỔNG
	TOTAL</t>
  </si>
  <si>
    <t>2252</t>
  </si>
  <si>
    <t>V</t>
  </si>
  <si>
    <t>CÁC LOẠI CHỨNG KHOÁN KHÁC
	OTHER SECURITIES</t>
  </si>
  <si>
    <t>2253</t>
  </si>
  <si>
    <t>1</t>
  </si>
  <si>
    <t>Quyền mua chứng khoán
Investment - Rights</t>
  </si>
  <si>
    <t>2253.1</t>
  </si>
  <si>
    <t>1.1</t>
  </si>
  <si>
    <t>DAT XANH GROUP JSC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</si>
  <si>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</si>
  <si>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</si>
  <si>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</si>
  <si>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</si>
  <si>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</si>
  <si>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</si>
  <si>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</si>
  <si>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</si>
  <si>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</si>
  <si>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</si>
  <si>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</si>
  <si>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</si>
  <si>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</si>
  <si>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</si>
  <si>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</si>
  <si>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</si>
  <si>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</si>
  <si>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</si>
  <si>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</si>
  <si>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</si>
  <si>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</si>
  <si>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</si>
  <si>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</si>
  <si>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</si>
  <si>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</si>
  <si>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</si>
  <si>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</si>
  <si>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</si>
  <si>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</si>
  <si>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</si>
  <si>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</si>
  <si>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</si>
  <si>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</si>
  <si>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</si>
  <si>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</si>
  <si>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</si>
  <si>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</si>
  <si>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</si>
  <si>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</si>
  <si>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</si>
  <si>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</si>
  <si>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</si>
  <si>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</si>
  <si>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</si>
  <si>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</si>
  <si>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</si>
  <si>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</si>
  <si>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</si>
  <si>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</si>
  <si>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</si>
  <si>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</si>
  <si>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</si>
  <si>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</si>
  <si>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</si>
  <si>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</si>
  <si>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</si>
  <si>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</si>
  <si>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</si>
  <si>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</si>
  <si>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</si>
  <si>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</si>
  <si>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</si>
  <si>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</si>
  <si>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</si>
  <si>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</si>
  <si>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</si>
  <si>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</si>
  <si>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</si>
  <si>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BID</t>
  </si>
  <si>
    <t>4030.1</t>
  </si>
  <si>
    <t>2</t>
  </si>
  <si>
    <t>BSI</t>
  </si>
  <si>
    <t>4030.2</t>
  </si>
  <si>
    <t>3</t>
  </si>
  <si>
    <t>CTD</t>
  </si>
  <si>
    <t>4030.3</t>
  </si>
  <si>
    <t>4</t>
  </si>
  <si>
    <t>CTG</t>
  </si>
  <si>
    <t>4030.4</t>
  </si>
  <si>
    <t>5</t>
  </si>
  <si>
    <t>DCM</t>
  </si>
  <si>
    <t>4030.5</t>
  </si>
  <si>
    <t>6</t>
  </si>
  <si>
    <t>DGC</t>
  </si>
  <si>
    <t>4030.6</t>
  </si>
  <si>
    <t>7</t>
  </si>
  <si>
    <t>DGW</t>
  </si>
  <si>
    <t>4030.7</t>
  </si>
  <si>
    <t>8</t>
  </si>
  <si>
    <t>DHC</t>
  </si>
  <si>
    <t>4030.8</t>
  </si>
  <si>
    <t>9</t>
  </si>
  <si>
    <t>DIG</t>
  </si>
  <si>
    <t>4030.9</t>
  </si>
  <si>
    <t>10</t>
  </si>
  <si>
    <t>DPG</t>
  </si>
  <si>
    <t>4030.10</t>
  </si>
  <si>
    <t>11</t>
  </si>
  <si>
    <t>DRC</t>
  </si>
  <si>
    <t>4030.11</t>
  </si>
  <si>
    <t>12</t>
  </si>
  <si>
    <t>DXG</t>
  </si>
  <si>
    <t>4030.12</t>
  </si>
  <si>
    <t>13</t>
  </si>
  <si>
    <t>DXS</t>
  </si>
  <si>
    <t>4030.13</t>
  </si>
  <si>
    <t>14</t>
  </si>
  <si>
    <t>FPT</t>
  </si>
  <si>
    <t>4030.14</t>
  </si>
  <si>
    <t>15</t>
  </si>
  <si>
    <t>FRT</t>
  </si>
  <si>
    <t>4030.15</t>
  </si>
  <si>
    <t>16</t>
  </si>
  <si>
    <t>GEX</t>
  </si>
  <si>
    <t>4030.16</t>
  </si>
  <si>
    <t>17</t>
  </si>
  <si>
    <t>GMD</t>
  </si>
  <si>
    <t>4030.17</t>
  </si>
  <si>
    <t>18</t>
  </si>
  <si>
    <t>HAH</t>
  </si>
  <si>
    <t>4030.18</t>
  </si>
  <si>
    <t>19</t>
  </si>
  <si>
    <t>HDG</t>
  </si>
  <si>
    <t>4030.19</t>
  </si>
  <si>
    <t>20</t>
  </si>
  <si>
    <t>HPG</t>
  </si>
  <si>
    <t>4030.20</t>
  </si>
  <si>
    <t>21</t>
  </si>
  <si>
    <t>HSG</t>
  </si>
  <si>
    <t>4030.21</t>
  </si>
  <si>
    <t>22</t>
  </si>
  <si>
    <t>IDC</t>
  </si>
  <si>
    <t>4030.22</t>
  </si>
  <si>
    <t>23</t>
  </si>
  <si>
    <t>KDH</t>
  </si>
  <si>
    <t>4030.23</t>
  </si>
  <si>
    <t>24</t>
  </si>
  <si>
    <t>LHG</t>
  </si>
  <si>
    <t>4030.24</t>
  </si>
  <si>
    <t>25</t>
  </si>
  <si>
    <t>LTG</t>
  </si>
  <si>
    <t>4030.25</t>
  </si>
  <si>
    <t>26</t>
  </si>
  <si>
    <t>MBB</t>
  </si>
  <si>
    <t>4030.26</t>
  </si>
  <si>
    <t>27</t>
  </si>
  <si>
    <t>MSN</t>
  </si>
  <si>
    <t>4030.27</t>
  </si>
  <si>
    <t>28</t>
  </si>
  <si>
    <t>MWG</t>
  </si>
  <si>
    <t>4030.28</t>
  </si>
  <si>
    <t>29</t>
  </si>
  <si>
    <t>NKG</t>
  </si>
  <si>
    <t>4030.29</t>
  </si>
  <si>
    <t>30</t>
  </si>
  <si>
    <t>NLG</t>
  </si>
  <si>
    <t>4030.30</t>
  </si>
  <si>
    <t>31</t>
  </si>
  <si>
    <t>NT2</t>
  </si>
  <si>
    <t>4030.31</t>
  </si>
  <si>
    <t>32</t>
  </si>
  <si>
    <t>NTL</t>
  </si>
  <si>
    <t>4030.32</t>
  </si>
  <si>
    <t>33</t>
  </si>
  <si>
    <t>PC1</t>
  </si>
  <si>
    <t>4030.33</t>
  </si>
  <si>
    <t>34</t>
  </si>
  <si>
    <t>PDR</t>
  </si>
  <si>
    <t>4030.34</t>
  </si>
  <si>
    <t>35</t>
  </si>
  <si>
    <t>PET</t>
  </si>
  <si>
    <t>4030.35</t>
  </si>
  <si>
    <t>36</t>
  </si>
  <si>
    <t>PNJ</t>
  </si>
  <si>
    <t>4030.36</t>
  </si>
  <si>
    <t>37</t>
  </si>
  <si>
    <t>PTB</t>
  </si>
  <si>
    <t>4030.37</t>
  </si>
  <si>
    <t>38</t>
  </si>
  <si>
    <t>PVD</t>
  </si>
  <si>
    <t>4030.38</t>
  </si>
  <si>
    <t>39</t>
  </si>
  <si>
    <t>PVS</t>
  </si>
  <si>
    <t>4030.39</t>
  </si>
  <si>
    <t>40</t>
  </si>
  <si>
    <t>SSI</t>
  </si>
  <si>
    <t>4030.40</t>
  </si>
  <si>
    <t>41</t>
  </si>
  <si>
    <t>STB</t>
  </si>
  <si>
    <t>4030.41</t>
  </si>
  <si>
    <t>42</t>
  </si>
  <si>
    <t>SZC</t>
  </si>
  <si>
    <t>4030.42</t>
  </si>
  <si>
    <t>43</t>
  </si>
  <si>
    <t>TCB</t>
  </si>
  <si>
    <t>4030.43</t>
  </si>
  <si>
    <t>44</t>
  </si>
  <si>
    <t>TCH</t>
  </si>
  <si>
    <t>4030.44</t>
  </si>
  <si>
    <t>45</t>
  </si>
  <si>
    <t>TV2</t>
  </si>
  <si>
    <t>4030.45</t>
  </si>
  <si>
    <t>46</t>
  </si>
  <si>
    <t>VCG</t>
  </si>
  <si>
    <t>4030.46</t>
  </si>
  <si>
    <t>47</t>
  </si>
  <si>
    <t>VCI</t>
  </si>
  <si>
    <t>4030.47</t>
  </si>
  <si>
    <t>48</t>
  </si>
  <si>
    <t>VDS</t>
  </si>
  <si>
    <t>4030.48</t>
  </si>
  <si>
    <t>49</t>
  </si>
  <si>
    <t>VEA</t>
  </si>
  <si>
    <t>4030.49</t>
  </si>
  <si>
    <t>50</t>
  </si>
  <si>
    <t>VGC</t>
  </si>
  <si>
    <t>4030.50</t>
  </si>
  <si>
    <t>51</t>
  </si>
  <si>
    <t>VGS</t>
  </si>
  <si>
    <t>4030.51</t>
  </si>
  <si>
    <t>52</t>
  </si>
  <si>
    <t>VHM</t>
  </si>
  <si>
    <t>4030.52</t>
  </si>
  <si>
    <t>53</t>
  </si>
  <si>
    <t>VND</t>
  </si>
  <si>
    <t>4030.53</t>
  </si>
  <si>
    <t>54</t>
  </si>
  <si>
    <t>VRE</t>
  </si>
  <si>
    <t>4030.54</t>
  </si>
  <si>
    <t>55</t>
  </si>
  <si>
    <t>VTP</t>
  </si>
  <si>
    <t>4030.55</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</si>
  <si>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</si>
  <si>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</si>
  <si>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</si>
  <si>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</si>
  <si>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</si>
  <si>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</si>
  <si>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</si>
  <si>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</si>
  <si>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</si>
  <si>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</si>
  <si>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</si>
  <si>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</si>
  <si>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</si>
  <si>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</si>
  <si>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</si>
  <si>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</si>
  <si>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</si>
  <si>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</si>
  <si>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1</t>
  </si>
  <si>
    <t>Trái phiếu niêm yết
Listed bonds</t>
  </si>
  <si>
    <t>4035.1</t>
  </si>
  <si>
    <t>2</t>
  </si>
  <si>
    <t>Trái phiếu không niêm yết 
Unlisted bonds</t>
  </si>
  <si>
    <t>4035.2</t>
  </si>
  <si>
    <t>2.1</t>
  </si>
  <si>
    <t>KDH12101</t>
  </si>
  <si>
    <t>4035.2.1</t>
  </si>
  <si>
    <t>TỔNG
TOTAL</t>
  </si>
  <si>
    <t>4036</t>
  </si>
  <si>
    <t>IV</t>
  </si>
  <si>
    <t>CÁC LOẠI CHỨNG KHOÁN KHÁC
OTHER SECURITIES</t>
  </si>
  <si>
    <t>4037</t>
  </si>
  <si>
    <t>...</t>
  </si>
  <si>
    <t>...</t>
  </si>
  <si>
    <t>...</t>
  </si>
  <si>
    <t>...</t>
  </si>
  <si>
    <t>...</t>
  </si>
  <si>
    <t>...</t>
  </si>
  <si>
    <t>1</t>
  </si>
  <si>
    <t>Quyền mua 
Rights</t>
  </si>
  <si>
    <t>4037.1</t>
  </si>
  <si>
    <t>1.1</t>
  </si>
  <si>
    <t>DAT XANH GROUP JSC -RIGHTS</t>
  </si>
  <si>
    <t>4037.1.1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</si>
  <si>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</si>
  <si>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</si>
  <si>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</si>
  <si>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</si>
  <si>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</si>
  <si>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</si>
  <si>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</si>
  <si>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</si>
  <si>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</si>
  <si>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</si>
  <si>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</si>
  <si>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</si>
  <si>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</si>
  <si>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</si>
  <si>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</si>
  <si>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</si>
  <si>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</si>
  <si>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</si>
  <si>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</si>
  <si>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</si>
  <si>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</si>
  <si>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</si>
  <si>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</si>
  <si>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</si>
  <si>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</si>
  <si>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</si>
  <si>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</si>
  <si>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</si>
  <si>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</si>
  <si>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</si>
  <si>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</si>
  <si>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</si>
  <si>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</si>
  <si>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</si>
  <si>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</si>
  <si>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</si>
  <si>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</si>
  <si>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</si>
  <si>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</si>
  <si>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</si>
  <si>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</si>
  <si>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</si>
  <si>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</si>
  <si>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</si>
  <si>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</si>
  <si>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</si>
  <si>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</si>
  <si>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</si>
  <si>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</si>
  <si>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</si>
  <si>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</si>
  <si>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</si>
  <si>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</si>
  <si>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</si>
  <si>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</si>
  <si>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</si>
  <si>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</si>
  <si>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</si>
  <si>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</si>
  <si>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</si>
  <si>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</si>
  <si>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</si>
  <si>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</si>
  <si>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</si>
  <si>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</si>
  <si>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</si>
  <si>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</si>
  <si>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</si>
  <si>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</si>
  <si>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3</t>
  </si>
  <si>
    <t>Công cụ chuyển nhượng…
Transferable instruments…</t>
  </si>
  <si>
    <t>4045</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</si>
  <si>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</si>
  <si>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</si>
  <si>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</si>
  <si>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</si>
  <si>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</si>
  <si>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</si>
  <si>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</si>
  <si>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</si>
  <si>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</si>
  <si>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</si>
  <si>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</si>
  <si>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</si>
  <si>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</si>
  <si>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</si>
  <si>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</si>
  <si>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</si>
  <si>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</si>
  <si>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</si>
  <si>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</si>
  <si>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</si>
  <si>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</si>
  <si>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</si>
  <si>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</si>
  <si>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</si>
  <si>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</si>
  <si>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</si>
  <si>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</si>
  <si>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</si>
  <si>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</si>
  <si>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</si>
  <si>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</si>
  <si>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</si>
  <si>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</si>
  <si>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</si>
  <si>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</si>
  <si>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</si>
  <si>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</si>
  <si>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</si>
  <si>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</si>
  <si>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</si>
  <si>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</si>
  <si>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</si>
  <si>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</si>
  <si>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</si>
  <si>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</si>
  <si>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</si>
  <si>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</si>
  <si>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</si>
  <si>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</si>
  <si>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</si>
  <si>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</si>
  <si>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</si>
  <si>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</si>
  <si>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</si>
  <si>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</si>
  <si>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</si>
  <si>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</si>
  <si>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</si>
  <si>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</si>
  <si>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</si>
  <si>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</si>
  <si>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</si>
  <si>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</si>
  <si>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</si>
  <si>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</si>
  <si>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</si>
  <si>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</si>
  <si>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</si>
  <si>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</si>
  <si>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</si>
  <si>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</si>
  <si>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</si>
  <si>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</si>
  <si>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</si>
  <si>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</si>
  <si>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</si>
  <si>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</si>
  <si>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</si>
  <si>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</si>
  <si>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</si>
  <si>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</si>
  <si>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</si>
  <si>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</si>
  <si>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</si>
  <si>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</si>
  <si>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</si>
  <si>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</si>
  <si>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</si>
  <si>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</si>
  <si>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</si>
  <si>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</si>
  <si>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</si>
  <si>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</si>
  <si>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</si>
  <si>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</si>
  <si>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</si>
  <si>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</si>
  <si>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</si>
  <si>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</si>
  <si>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</si>
  <si>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</si>
  <si>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</si>
  <si>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</si>
  <si>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</si>
  <si>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</si>
  <si>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</si>
  <si>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</si>
  <si>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</si>
  <si>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</si>
  <si>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</si>
  <si>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</si>
  <si>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</si>
  <si>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</si>
  <si>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</si>
  <si>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</si>
  <si>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</si>
  <si>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</si>
  <si>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</si>
  <si>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</si>
  <si>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</si>
  <si>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</si>
  <si>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</si>
  <si>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</si>
  <si>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</si>
  <si>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</si>
  <si>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</si>
  <si>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</si>
  <si>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</si>
  <si>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</si>
  <si>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</si>
  <si>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</si>
  <si>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</si>
  <si>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</si>
  <si>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</si>
  <si>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</si>
  <si>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</si>
  <si>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</si>
  <si>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</si>
  <si>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</si>
  <si>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</si>
  <si>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</si>
  <si>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</si>
  <si>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</si>
  <si>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</si>
  <si>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</si>
  <si>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</si>
  <si>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</si>
  <si>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</si>
  <si>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</si>
  <si>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</si>
  <si>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</si>
  <si>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</si>
  <si>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</si>
  <si>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</si>
  <si>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</si>
  <si>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</si>
  <si>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</si>
  <si>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</si>
  <si>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</si>
  <si>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</si>
  <si>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</si>
  <si>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</si>
  <si>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</si>
  <si>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</si>
  <si>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</si>
  <si>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</si>
  <si>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</si>
  <si>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</si>
  <si>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</si>
  <si>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</si>
  <si>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</si>
  <si>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</si>
  <si>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</si>
  <si>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</si>
  <si>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</si>
  <si>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</si>
  <si>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</si>
  <si>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</si>
  <si>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</si>
  <si>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</si>
  <si>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</si>
  <si>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</si>
  <si>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</si>
  <si>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</si>
  <si>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</si>
  <si>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</si>
  <si>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</si>
  <si>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</si>
  <si>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</si>
  <si>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</si>
  <si>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</si>
  <si>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</si>
  <si>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</si>
  <si>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</si>
  <si>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</si>
  <si>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</si>
  <si>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</si>
  <si>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</si>
  <si>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</si>
  <si>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</si>
  <si>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</si>
  <si>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</si>
  <si>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</si>
  <si>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</si>
  <si>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</si>
  <si>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</si>
  <si>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</si>
  <si>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</si>
  <si>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</si>
  <si>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</si>
  <si>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</si>
  <si>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</si>
  <si>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</si>
  <si>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</si>
  <si>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</si>
  <si>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</si>
  <si>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</si>
  <si>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</si>
  <si>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</si>
  <si>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</si>
  <si>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</si>
  <si>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</si>
  <si>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</si>
  <si>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</si>
  <si>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</si>
  <si>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</si>
  <si>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</si>
  <si>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</si>
  <si>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</si>
  <si>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</si>
  <si>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</si>
  <si>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</si>
  <si>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</si>
  <si>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</si>
  <si>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</si>
  <si>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</si>
  <si>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</si>
  <si>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</si>
  <si>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</si>
  <si>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</si>
  <si>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</si>
  <si>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</si>
  <si>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</si>
  <si>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</si>
  <si>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</si>
  <si>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</si>
  <si>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</si>
  <si>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</si>
  <si>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</si>
  <si>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</si>
  <si>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</si>
  <si>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</si>
  <si>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</si>
  <si>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</si>
  <si>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</si>
  <si>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</si>
  <si>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</si>
  <si>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</si>
  <si>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</si>
  <si>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</si>
  <si>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</si>
  <si>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</si>
  <si>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</si>
  <si>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</si>
  <si>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</si>
  <si>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</si>
  <si>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</si>
  <si>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</si>
  <si>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</si>
  <si>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</si>
  <si>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</si>
  <si>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</si>
  <si>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</si>
  <si>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</si>
  <si>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</si>
  <si>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</si>
  <si>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</si>
  <si>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</si>
  <si>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</si>
  <si>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</si>
  <si>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</si>
  <si>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</si>
  <si>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</si>
  <si>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</si>
  <si>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</si>
  <si>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</si>
  <si>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</si>
  <si>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</si>
  <si>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</si>
  <si>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</si>
  <si>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</si>
  <si>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</si>
  <si>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</si>
  <si>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</si>
  <si>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</si>
  <si>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</si>
  <si>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</si>
  <si>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</si>
  <si>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</si>
  <si>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</si>
  <si>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</si>
  <si>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</si>
  <si>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</si>
  <si>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</si>
  <si>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</si>
  <si>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</si>
  <si>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</si>
  <si>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</si>
  <si>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</si>
  <si>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</si>
  <si>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</si>
  <si>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</si>
  <si>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</si>
  <si>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</si>
  <si>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</si>
  <si>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</si>
  <si>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</si>
  <si>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</si>
  <si>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</si>
  <si>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</si>
  <si>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</si>
  <si>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</si>
  <si>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</si>
  <si>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</si>
  <si>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</si>
  <si>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</si>
  <si>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</si>
  <si>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</si>
  <si>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</si>
  <si>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</si>
  <si>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</si>
  <si>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</si>
  <si>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</si>
  <si>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</si>
  <si>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</si>
  <si>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</si>
  <si>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</si>
  <si>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</si>
  <si>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</si>
  <si>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</si>
  <si>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</si>
  <si>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</si>
  <si>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</si>
  <si>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</si>
  <si>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</si>
  <si>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</si>
  <si>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</si>
  <si>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</si>
  <si>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</si>
  <si>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</si>
  <si>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</si>
  <si>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</si>
  <si>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</si>
  <si>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</si>
  <si>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</si>
  <si>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</si>
  <si>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</si>
  <si>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</si>
  <si>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</si>
  <si>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</si>
  <si>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</si>
  <si>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</si>
  <si>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</si>
  <si>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</si>
  <si>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</si>
  <si>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</si>
  <si>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</si>
  <si>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</si>
  <si>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</si>
  <si>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</si>
  <si>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</si>
  <si>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</si>
  <si>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</si>
  <si>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</si>
  <si>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</si>
  <si>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</si>
  <si>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</si>
  <si>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</si>
  <si>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</si>
  <si>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</si>
  <si>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</si>
  <si>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</si>
  <si>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</si>
  <si>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</si>
  <si>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</si>
  <si>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</si>
  <si>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</si>
  <si>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</si>
  <si>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</si>
  <si>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</si>
  <si>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</si>
  <si>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</si>
  <si>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</si>
  <si>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0.00% - 0.45%</t>
  </si>
  <si>
    <t>Không/No</t>
  </si>
  <si>
    <t>0.00% - 0.45%</t>
  </si>
  <si>
    <t>Không/No</t>
  </si>
  <si>
    <t>0.00% - 0.45%</t>
  </si>
  <si>
    <t>Không/No</t>
  </si>
  <si>
    <t>0.00% - 0.45%</t>
  </si>
  <si>
    <t>Không/No</t>
  </si>
  <si>
    <t>0.00% - 0.45%</t>
  </si>
  <si>
    <t>Không/No</t>
  </si>
  <si>
    <t>0.00% - 0.45%</t>
  </si>
  <si>
    <t>Tổng/Total</t>
  </si>
  <si>
    <t>Tại ngày 31 tháng 12 năm 2023
/ As at 31 Dec 2023</t>
  </si>
  <si>
    <t>Năm 2023
/ Year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</si>
  <si>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</si>
  <si>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</si>
  <si>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</si>
  <si>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</si>
  <si>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Vũ Quang Phan</t>
  </si>
  <si>
    <t>Lê Hoàng Anh</t>
  </si>
  <si>
    <t>Quyền Giám đốc nghiệp vụ hỗ trợ đầu tư</t>
  </si>
  <si>
    <t>Ngày 31 tháng 12 năm 2023
 As at 31 Dec 2023</t>
  </si>
  <si>
    <t>Ngày 31 tháng 12 năm 2022
 As at 31 Dec 2022</t>
  </si>
  <si>
    <t>Năm 2023
Year 2023</t>
  </si>
  <si>
    <t>Năm 2022
Year 2022</t>
  </si>
  <si>
    <t>Nguyễn Thu Ngọc</t>
  </si>
  <si>
    <t>Ninh Thị Tuệ Minh</t>
  </si>
  <si>
    <t>Kế toán Quỹ</t>
  </si>
  <si>
    <t>Trưởng phòng Kế toán Quỹ</t>
  </si>
  <si>
    <t>DC Dynamic Securities Fund(DCDS)</t>
  </si>
  <si>
    <t>Công ty Cổ phần Chứng khoán SSI
SSI Securities Corporation</t>
  </si>
  <si>
    <t>Công ty cổ phần chứng khoán Thành phố Hồ Chí Minh
Ho Chi Minh City Securities Corporation</t>
  </si>
  <si>
    <t>Công ty cổ phần chứng khoán Rồng Việt
Viet Dragon Securities Corporation</t>
  </si>
  <si>
    <t>Công ty cổ phần chứng khoán KIS Việt Nam
KIS Vietnam Securities Corporation</t>
  </si>
  <si>
    <t>Công ty Cổ phần Chứng khoán Vietcap
Vietcap Securities Joint Stock Company</t>
  </si>
  <si>
    <t>Ngày 08 tháng 03 năm 2024</t>
  </si>
  <si>
    <t>08 Mar 2024</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</si>
  <si>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</si>
  <si>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Phó phòng Dịch vụ nghiệp vụ Giám sát Quỹ</t>
  </si>
  <si>
    <t>Công ty cổ phần chứng khoán Bảo Việt
Bao Viet Securities Joint Stock Company</t>
  </si>
  <si>
    <t>(*) Bắt đầu từ năm 2023, chỉ tiêu Tỷ lệ chi phí /Giá trị tài sản ròng trung bình trong kỳ (%) được tính trên cơ sở Tỷ lệ chi phí hoạt động/ Giá trị tài sản ròng trung bình trong kỳ (%).
Since 2023, Item Expense/Average NAV (%) is calculated based on Operating Expense/Average NAV for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</si>
</sst>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3">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xf numFmtId="9" fontId="1" fillId="0" borderId="0" applyFont="0" applyFill="0" applyBorder="0" applyAlignment="0" applyProtection="0"/>
  </cellStyleXfs>
  <cellXfs count="334">
    <xf numFmtId="0" fontId="0" fillId="0" borderId="0" xfId="0"/>
    <xf numFmtId="0" fontId="4" fillId="3" borderId="0" xfId="0" applyFont="1" applyFill="1"/>
    <xf numFmtId="0" fontId="5" fillId="3" borderId="0" xfId="0" applyFont="1" applyFill="1"/>
    <xf numFmtId="0" fontId="4" fillId="3" borderId="0" xfId="0" applyFont="1" applyFill="1" applyBorder="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13" fillId="3" borderId="9" xfId="0" applyFont="1" applyFill="1" applyBorder="1" applyAlignment="1">
      <alignment horizontal="center" vertical="center"/>
    </xf>
    <xf numFmtId="0" fontId="5" fillId="0" borderId="0" xfId="0" applyFont="1" applyFill="1"/>
    <xf numFmtId="164" fontId="6" fillId="3" borderId="9" xfId="0" applyNumberFormat="1" applyFont="1" applyFill="1" applyBorder="1" applyAlignment="1">
      <alignment horizontal="right" vertical="center" wrapText="1"/>
    </xf>
    <xf numFmtId="0" fontId="6" fillId="3" borderId="9" xfId="0" applyFont="1" applyFill="1" applyBorder="1" applyAlignment="1">
      <alignment horizontal="center" vertical="center"/>
    </xf>
    <xf numFmtId="0" fontId="6" fillId="3" borderId="8" xfId="0" applyFont="1" applyFill="1" applyBorder="1" applyAlignment="1">
      <alignment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0" fontId="7" fillId="3" borderId="9" xfId="0" applyFont="1" applyFill="1" applyBorder="1" applyAlignment="1">
      <alignment horizontal="left" vertical="center" wrapText="1"/>
    </xf>
    <xf numFmtId="49" fontId="7" fillId="3" borderId="9" xfId="0" applyNumberFormat="1" applyFont="1" applyFill="1" applyBorder="1" applyAlignment="1">
      <alignment horizontal="center" vertical="center"/>
    </xf>
    <xf numFmtId="164" fontId="14" fillId="3" borderId="9" xfId="5" applyNumberFormat="1" applyFont="1" applyFill="1" applyBorder="1" applyAlignment="1" applyProtection="1">
      <alignment horizontal="right" vertical="center" wrapText="1"/>
      <protection locked="0"/>
    </xf>
    <xf numFmtId="0" fontId="6" fillId="3" borderId="0" xfId="0" applyFont="1" applyFill="1" applyBorder="1" applyAlignment="1">
      <alignment vertical="center" wrapText="1"/>
    </xf>
    <xf numFmtId="164" fontId="6" fillId="3" borderId="0" xfId="0" applyNumberFormat="1" applyFont="1" applyFill="1" applyBorder="1" applyAlignment="1">
      <alignment horizontal="right" vertical="center" wrapText="1"/>
    </xf>
    <xf numFmtId="0" fontId="13" fillId="3" borderId="0" xfId="0" applyFont="1" applyFill="1" applyBorder="1" applyAlignment="1">
      <alignment vertical="center"/>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164" fontId="13" fillId="3" borderId="9" xfId="0" applyNumberFormat="1" applyFont="1" applyFill="1" applyBorder="1" applyAlignment="1">
      <alignment horizontal="right" vertical="center" wrapText="1"/>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3" borderId="9" xfId="4" applyNumberFormat="1" applyFont="1" applyFill="1" applyBorder="1" applyAlignment="1" applyProtection="1">
      <alignment horizontal="left" vertical="center" wrapText="1"/>
    </xf>
    <xf numFmtId="49" fontId="13" fillId="3" borderId="9" xfId="0" applyNumberFormat="1" applyFont="1" applyFill="1" applyBorder="1" applyAlignment="1">
      <alignment horizontal="center" vertical="center" wrapText="1"/>
    </xf>
    <xf numFmtId="0" fontId="7" fillId="3" borderId="9" xfId="4" applyNumberFormat="1" applyFont="1" applyFill="1" applyBorder="1" applyAlignment="1" applyProtection="1">
      <alignment horizontal="left" vertical="center" wrapText="1"/>
    </xf>
    <xf numFmtId="49" fontId="6" fillId="3" borderId="9" xfId="0" applyNumberFormat="1" applyFont="1" applyFill="1" applyBorder="1" applyAlignment="1">
      <alignment horizontal="center" vertical="center" wrapText="1"/>
    </xf>
    <xf numFmtId="0" fontId="7" fillId="3" borderId="9" xfId="6" applyFont="1" applyFill="1" applyBorder="1" applyAlignment="1">
      <alignment vertical="center" wrapText="1"/>
    </xf>
    <xf numFmtId="49" fontId="12" fillId="3" borderId="9" xfId="0" applyNumberFormat="1" applyFont="1" applyFill="1" applyBorder="1" applyAlignment="1">
      <alignment horizontal="center" vertical="center" wrapText="1"/>
    </xf>
    <xf numFmtId="0" fontId="9" fillId="3" borderId="9" xfId="4" applyNumberFormat="1" applyFont="1" applyFill="1" applyBorder="1" applyAlignment="1" applyProtection="1">
      <alignment horizontal="left" vertical="center" wrapText="1"/>
    </xf>
    <xf numFmtId="0" fontId="9" fillId="3" borderId="9" xfId="6" applyFont="1" applyFill="1" applyBorder="1" applyAlignment="1">
      <alignment vertical="center" wrapText="1"/>
    </xf>
    <xf numFmtId="0" fontId="9" fillId="3" borderId="9" xfId="6" applyNumberFormat="1" applyFont="1" applyFill="1" applyBorder="1" applyAlignment="1">
      <alignment vertical="center" wrapText="1"/>
    </xf>
    <xf numFmtId="0" fontId="13" fillId="3" borderId="0" xfId="0" applyFont="1" applyFill="1" applyBorder="1" applyAlignment="1">
      <alignment vertical="center" wrapText="1"/>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5" fontId="13" fillId="3" borderId="9" xfId="0" applyNumberFormat="1" applyFont="1" applyFill="1" applyBorder="1" applyAlignment="1">
      <alignment horizontal="right" vertical="center" wrapText="1"/>
    </xf>
    <xf numFmtId="0" fontId="6" fillId="3" borderId="0" xfId="0" applyNumberFormat="1" applyFont="1" applyFill="1" applyAlignment="1">
      <alignment vertical="center"/>
    </xf>
    <xf numFmtId="167" fontId="8"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7"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9" fillId="3" borderId="0" xfId="17" applyFont="1" applyFill="1" applyAlignment="1">
      <alignment horizontal="center" vertical="center"/>
    </xf>
    <xf numFmtId="167" fontId="7" fillId="3" borderId="0" xfId="20" applyNumberFormat="1" applyFont="1" applyFill="1" applyProtection="1"/>
    <xf numFmtId="0" fontId="8" fillId="3" borderId="0" xfId="18" applyFont="1" applyFill="1" applyAlignment="1">
      <alignment horizontal="center" vertical="top"/>
    </xf>
    <xf numFmtId="0" fontId="8" fillId="3" borderId="0" xfId="18" applyFont="1" applyFill="1" applyAlignment="1">
      <alignment horizontal="left" vertical="top"/>
    </xf>
    <xf numFmtId="0" fontId="13" fillId="3" borderId="0" xfId="18" applyFont="1" applyFill="1" applyAlignment="1">
      <alignment horizontal="center"/>
    </xf>
    <xf numFmtId="0" fontId="13" fillId="3" borderId="0" xfId="18" applyFont="1" applyFill="1"/>
    <xf numFmtId="167" fontId="13" fillId="2" borderId="9" xfId="22" applyNumberFormat="1" applyFont="1" applyFill="1" applyBorder="1" applyAlignment="1" applyProtection="1">
      <alignment horizontal="center" vertical="center" wrapText="1"/>
    </xf>
    <xf numFmtId="49" fontId="13" fillId="3" borderId="13" xfId="17" applyNumberFormat="1" applyFont="1" applyFill="1" applyBorder="1" applyAlignment="1">
      <alignment horizontal="center" vertical="center" wrapText="1"/>
    </xf>
    <xf numFmtId="49" fontId="13" fillId="3" borderId="9" xfId="21" applyNumberFormat="1" applyFont="1" applyFill="1" applyBorder="1" applyAlignment="1" applyProtection="1">
      <alignment horizontal="center" vertical="center" wrapText="1"/>
    </xf>
    <xf numFmtId="49" fontId="13" fillId="3" borderId="13" xfId="21" applyNumberFormat="1" applyFont="1" applyFill="1" applyBorder="1" applyAlignment="1" applyProtection="1">
      <alignment horizontal="center" vertical="center" wrapText="1"/>
    </xf>
    <xf numFmtId="0" fontId="6" fillId="5" borderId="0" xfId="17" applyFont="1"/>
    <xf numFmtId="49" fontId="13" fillId="3" borderId="0" xfId="17" applyNumberFormat="1" applyFont="1" applyFill="1" applyBorder="1" applyAlignment="1">
      <alignment horizontal="center" vertical="center" wrapText="1"/>
    </xf>
    <xf numFmtId="49" fontId="13" fillId="3" borderId="0" xfId="21" applyNumberFormat="1" applyFont="1" applyFill="1" applyBorder="1" applyAlignment="1" applyProtection="1">
      <alignment horizontal="center" vertical="center" wrapText="1"/>
    </xf>
    <xf numFmtId="0" fontId="6" fillId="3" borderId="0" xfId="17" applyFont="1" applyFill="1"/>
    <xf numFmtId="167" fontId="6" fillId="3" borderId="0" xfId="21" applyNumberFormat="1" applyFont="1" applyFill="1" applyProtection="1"/>
    <xf numFmtId="0" fontId="13" fillId="3" borderId="0" xfId="17" applyFont="1" applyFill="1"/>
    <xf numFmtId="167" fontId="6" fillId="3" borderId="0" xfId="21" applyNumberFormat="1" applyFont="1" applyFill="1">
      <protection locked="0"/>
    </xf>
    <xf numFmtId="0" fontId="6" fillId="3" borderId="0" xfId="23" applyFont="1" applyFill="1"/>
    <xf numFmtId="167" fontId="13" fillId="3" borderId="0" xfId="21" applyNumberFormat="1" applyFont="1" applyFill="1" applyBorder="1">
      <protection locked="0"/>
    </xf>
    <xf numFmtId="167" fontId="13" fillId="3" borderId="0" xfId="21" applyNumberFormat="1" applyFont="1" applyFill="1">
      <protection locked="0"/>
    </xf>
    <xf numFmtId="0" fontId="12" fillId="3" borderId="0" xfId="17" applyFont="1" applyFill="1"/>
    <xf numFmtId="167" fontId="12" fillId="3" borderId="0" xfId="21" applyNumberFormat="1" applyFont="1" applyFill="1" applyBorder="1">
      <protection locked="0"/>
    </xf>
    <xf numFmtId="167" fontId="12" fillId="3" borderId="0" xfId="21" applyNumberFormat="1" applyFont="1" applyFill="1">
      <protection locked="0"/>
    </xf>
    <xf numFmtId="167" fontId="6" fillId="3" borderId="0" xfId="21" applyNumberFormat="1" applyFont="1" applyFill="1" applyBorder="1">
      <protection locked="0"/>
    </xf>
    <xf numFmtId="167" fontId="6" fillId="3" borderId="8" xfId="21" applyNumberFormat="1" applyFont="1" applyFill="1" applyBorder="1">
      <protection locked="0"/>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horizontal="center" vertical="center" wrapText="1"/>
    </xf>
    <xf numFmtId="0" fontId="6" fillId="3" borderId="0" xfId="0" applyFont="1" applyFill="1" applyAlignment="1">
      <alignment vertical="center" wrapText="1"/>
    </xf>
    <xf numFmtId="0" fontId="13" fillId="3" borderId="0"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9" fillId="3" borderId="0" xfId="11" applyFont="1" applyFill="1" applyAlignment="1">
      <alignment horizontal="center" vertical="center"/>
    </xf>
    <xf numFmtId="0" fontId="15"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167" fontId="13" fillId="3" borderId="0" xfId="21" applyNumberFormat="1" applyFont="1" applyFill="1" applyAlignment="1">
      <alignment horizontal="left" vertical="center"/>
      <protection locked="0"/>
    </xf>
    <xf numFmtId="0" fontId="7" fillId="3" borderId="0" xfId="17" applyFont="1" applyFill="1" applyAlignment="1">
      <alignment horizontal="left" vertical="top"/>
    </xf>
    <xf numFmtId="4" fontId="7" fillId="3" borderId="0" xfId="17" quotePrefix="1" applyNumberFormat="1" applyFont="1" applyFill="1" applyAlignment="1">
      <alignment horizontal="left"/>
    </xf>
    <xf numFmtId="4" fontId="7" fillId="3" borderId="0" xfId="17" applyNumberFormat="1" applyFont="1" applyFill="1" applyAlignment="1">
      <alignment horizontal="left"/>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6" fillId="0" borderId="0" xfId="0" applyFont="1"/>
    <xf numFmtId="0" fontId="6" fillId="3" borderId="8" xfId="23" applyFont="1" applyFill="1" applyBorder="1"/>
    <xf numFmtId="0" fontId="6" fillId="3" borderId="0" xfId="23" applyFont="1" applyFill="1" applyAlignment="1">
      <alignment horizontal="left"/>
    </xf>
    <xf numFmtId="167" fontId="6" fillId="5" borderId="0" xfId="21" applyNumberFormat="1" applyFont="1" applyProtection="1"/>
    <xf numFmtId="0" fontId="20"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1" fillId="8" borderId="19" xfId="0" applyNumberFormat="1" applyFont="1" applyFill="1" applyBorder="1" applyAlignment="1" applyProtection="1">
      <alignment horizontal="left" vertical="center" wrapText="1"/>
      <protection locked="0"/>
    </xf>
    <xf numFmtId="4" fontId="22" fillId="9" borderId="20" xfId="0" applyNumberFormat="1" applyFont="1" applyFill="1" applyBorder="1" applyAlignment="1" applyProtection="1">
      <alignment horizontal="center" vertical="center" wrapText="1"/>
      <protection locked="0"/>
    </xf>
    <xf numFmtId="0" fontId="23" fillId="10" borderId="21" xfId="0" applyNumberFormat="1" applyFont="1" applyFill="1" applyBorder="1" applyAlignment="1" applyProtection="1">
      <alignment horizontal="center" vertical="center" wrapText="1"/>
      <protection locked="0"/>
    </xf>
    <xf numFmtId="10" fontId="24" fillId="11" borderId="22" xfId="0" applyNumberFormat="1" applyFont="1" applyFill="1" applyBorder="1" applyAlignment="1" applyProtection="1">
      <alignment horizontal="right" vertical="center" wrapText="1"/>
      <protection locked="0"/>
    </xf>
    <xf numFmtId="167" fontId="25" fillId="12" borderId="23" xfId="0" applyNumberFormat="1" applyFont="1" applyFill="1" applyBorder="1" applyAlignment="1" applyProtection="1">
      <alignment horizontal="right" vertical="center" wrapText="1"/>
      <protection locked="0"/>
    </xf>
    <xf numFmtId="0" fontId="26" fillId="13" borderId="24" xfId="0" applyNumberFormat="1" applyFont="1" applyFill="1" applyBorder="1" applyAlignment="1" applyProtection="1">
      <alignment horizontal="left" vertical="center" wrapText="1"/>
      <protection locked="0"/>
    </xf>
    <xf numFmtId="0" fontId="27" fillId="14" borderId="25" xfId="0" applyNumberFormat="1" applyFont="1" applyFill="1" applyBorder="1" applyAlignment="1" applyProtection="1">
      <alignment horizontal="center" vertical="center" wrapText="1"/>
      <protection locked="0"/>
    </xf>
    <xf numFmtId="10" fontId="28" fillId="15" borderId="26" xfId="0" applyNumberFormat="1" applyFont="1" applyFill="1" applyBorder="1" applyAlignment="1" applyProtection="1">
      <alignment horizontal="right" vertical="center" wrapText="1"/>
      <protection locked="0"/>
    </xf>
    <xf numFmtId="167" fontId="29" fillId="16" borderId="27" xfId="0" applyNumberFormat="1" applyFont="1" applyFill="1" applyBorder="1" applyAlignment="1" applyProtection="1">
      <alignment horizontal="right" vertical="center" wrapText="1"/>
      <protection locked="0"/>
    </xf>
    <xf numFmtId="165" fontId="30" fillId="17" borderId="28" xfId="0" applyNumberFormat="1" applyFont="1" applyFill="1" applyBorder="1" applyAlignment="1" applyProtection="1">
      <alignment horizontal="right" vertical="center" wrapText="1"/>
      <protection locked="0"/>
    </xf>
    <xf numFmtId="37" fontId="31" fillId="18" borderId="29" xfId="0" applyNumberFormat="1" applyFont="1" applyFill="1" applyBorder="1" applyAlignment="1" applyProtection="1">
      <alignment horizontal="right" vertical="center" wrapText="1"/>
      <protection locked="0"/>
    </xf>
    <xf numFmtId="10" fontId="6" fillId="0" borderId="0" xfId="24" applyNumberFormat="1" applyFont="1" applyFill="1"/>
    <xf numFmtId="4" fontId="22" fillId="0" borderId="20" xfId="0" applyNumberFormat="1" applyFont="1" applyFill="1" applyBorder="1" applyAlignment="1" applyProtection="1">
      <alignment horizontal="center" vertical="center" wrapText="1"/>
      <protection locked="0"/>
    </xf>
    <xf numFmtId="167" fontId="25" fillId="0" borderId="23" xfId="0" applyNumberFormat="1" applyFont="1" applyFill="1" applyBorder="1" applyAlignment="1" applyProtection="1">
      <alignment horizontal="right" vertical="center" wrapText="1"/>
      <protection locked="0"/>
    </xf>
    <xf numFmtId="10" fontId="24" fillId="0" borderId="22" xfId="0" applyNumberFormat="1" applyFont="1" applyFill="1" applyBorder="1" applyAlignment="1" applyProtection="1">
      <alignment horizontal="right" vertical="center" wrapText="1"/>
      <protection locked="0"/>
    </xf>
    <xf numFmtId="0" fontId="6" fillId="0" borderId="0" xfId="17" applyFont="1" applyFill="1"/>
    <xf numFmtId="4" fontId="21" fillId="0" borderId="20" xfId="0" applyNumberFormat="1" applyFont="1" applyFill="1" applyBorder="1" applyAlignment="1" applyProtection="1">
      <alignment horizontal="center" vertical="center" wrapText="1"/>
      <protection locked="0"/>
    </xf>
    <xf numFmtId="10" fontId="28" fillId="0" borderId="26" xfId="0" applyNumberFormat="1" applyFont="1" applyFill="1" applyBorder="1" applyAlignment="1" applyProtection="1">
      <alignment horizontal="right" vertical="center" wrapText="1"/>
      <protection locked="0"/>
    </xf>
    <xf numFmtId="4" fontId="7" fillId="9" borderId="20" xfId="0" applyNumberFormat="1" applyFont="1" applyFill="1" applyBorder="1" applyAlignment="1" applyProtection="1">
      <alignment horizontal="center"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quotePrefix="1" applyFont="1" applyFill="1" applyAlignment="1">
      <alignment horizontal="left" vertical="center" wrapText="1"/>
    </xf>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2" borderId="12"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3" borderId="0" xfId="0" applyFont="1" applyFill="1" applyAlignment="1">
      <alignment horizontal="center" vertical="center"/>
    </xf>
    <xf numFmtId="0" fontId="6" fillId="3" borderId="0" xfId="0" applyFont="1" applyFill="1" applyBorder="1" applyAlignment="1">
      <alignment horizontal="center" vertical="center" wrapText="1"/>
    </xf>
    <xf numFmtId="0" fontId="13" fillId="3" borderId="0" xfId="0" applyFont="1" applyFill="1" applyBorder="1" applyAlignment="1">
      <alignment horizontal="center" vertical="center" wrapText="1"/>
    </xf>
    <xf numFmtId="0" fontId="6"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0" xfId="0" applyFont="1" applyFill="1" applyAlignment="1">
      <alignment horizontal="center" vertical="center" wrapText="1"/>
    </xf>
    <xf numFmtId="0" fontId="6" fillId="3" borderId="0" xfId="0" applyFont="1" applyFill="1" applyAlignment="1">
      <alignment vertical="center" wrapText="1"/>
    </xf>
    <xf numFmtId="0" fontId="10" fillId="3" borderId="0" xfId="0" applyFont="1" applyFill="1" applyBorder="1" applyAlignment="1">
      <alignmen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8"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9" fillId="3" borderId="0" xfId="17" applyFont="1" applyFill="1" applyAlignment="1">
      <alignment horizontal="right" vertical="center" wrapText="1"/>
    </xf>
    <xf numFmtId="0" fontId="18" fillId="3" borderId="0" xfId="17" applyFont="1" applyFill="1" applyAlignment="1">
      <alignment horizontal="right" vertical="center" wrapText="1"/>
    </xf>
    <xf numFmtId="0" fontId="8" fillId="3" borderId="0" xfId="18" applyFont="1" applyFill="1" applyAlignment="1">
      <alignment horizontal="center" vertical="center" wrapText="1"/>
    </xf>
    <xf numFmtId="0" fontId="9" fillId="3" borderId="0" xfId="19" applyFont="1" applyFill="1" applyAlignment="1">
      <alignment horizontal="center" vertical="center"/>
    </xf>
    <xf numFmtId="0" fontId="10" fillId="3" borderId="0" xfId="17" applyFont="1" applyFill="1" applyAlignment="1">
      <alignment horizontal="left" vertical="top" wrapText="1"/>
    </xf>
    <xf numFmtId="0" fontId="16" fillId="3" borderId="0" xfId="17" applyFont="1" applyFill="1" applyAlignment="1">
      <alignment horizontal="left" vertical="top" wrapText="1"/>
    </xf>
    <xf numFmtId="0" fontId="7" fillId="3" borderId="0" xfId="17" applyFont="1" applyFill="1" applyAlignment="1">
      <alignment horizontal="left" vertical="top" wrapText="1"/>
    </xf>
    <xf numFmtId="0" fontId="17" fillId="3" borderId="0" xfId="17" applyFont="1" applyFill="1" applyAlignment="1">
      <alignment horizontal="left" vertical="top" wrapText="1"/>
    </xf>
    <xf numFmtId="0" fontId="6" fillId="3" borderId="0" xfId="17" applyFont="1" applyFill="1" applyAlignment="1">
      <alignment horizontal="left" vertical="top" wrapText="1"/>
    </xf>
    <xf numFmtId="0" fontId="15" fillId="3" borderId="0" xfId="17" applyFont="1" applyFill="1" applyAlignment="1">
      <alignment horizontal="left" vertical="top" wrapText="1"/>
    </xf>
    <xf numFmtId="0" fontId="7" fillId="3" borderId="0" xfId="17" applyFont="1" applyFill="1" applyAlignment="1">
      <alignment horizontal="left" vertical="top"/>
    </xf>
    <xf numFmtId="4" fontId="7" fillId="3" borderId="0" xfId="17" quotePrefix="1" applyNumberFormat="1" applyFont="1" applyFill="1" applyAlignment="1">
      <alignment horizontal="left"/>
    </xf>
    <xf numFmtId="4" fontId="7" fillId="3" borderId="0" xfId="17" applyNumberFormat="1" applyFont="1" applyFill="1" applyAlignment="1">
      <alignment horizontal="left"/>
    </xf>
    <xf numFmtId="167" fontId="13" fillId="2" borderId="12" xfId="22" applyNumberFormat="1" applyFont="1" applyFill="1" applyBorder="1" applyAlignment="1" applyProtection="1">
      <alignment horizontal="center" vertical="center" wrapText="1"/>
    </xf>
    <xf numFmtId="167" fontId="13" fillId="2" borderId="13" xfId="22" applyNumberFormat="1" applyFont="1" applyFill="1" applyBorder="1" applyAlignment="1" applyProtection="1">
      <alignment horizontal="center" vertical="center" wrapText="1"/>
    </xf>
    <xf numFmtId="167" fontId="13" fillId="2" borderId="10" xfId="22" applyNumberFormat="1" applyFont="1" applyFill="1" applyBorder="1" applyAlignment="1" applyProtection="1">
      <alignment horizontal="center" vertical="center" wrapText="1"/>
    </xf>
    <xf numFmtId="167" fontId="13" fillId="2" borderId="17" xfId="22" applyNumberFormat="1" applyFont="1" applyFill="1" applyBorder="1" applyAlignment="1" applyProtection="1">
      <alignment horizontal="center" vertical="center" wrapText="1"/>
    </xf>
    <xf numFmtId="167" fontId="13" fillId="2" borderId="11" xfId="22" applyNumberFormat="1" applyFont="1" applyFill="1" applyBorder="1" applyAlignment="1" applyProtection="1">
      <alignment horizontal="center" vertical="center" wrapText="1"/>
    </xf>
    <xf numFmtId="49" fontId="6" fillId="3" borderId="0" xfId="17" applyNumberFormat="1" applyFont="1" applyFill="1" applyBorder="1" applyAlignment="1">
      <alignment horizontal="left" vertical="center" wrapText="1"/>
    </xf>
    <xf numFmtId="0" fontId="13" fillId="3" borderId="5" xfId="17" applyFont="1" applyFill="1" applyBorder="1" applyAlignment="1">
      <alignment horizontal="left" vertical="center"/>
    </xf>
    <xf numFmtId="0" fontId="13" fillId="3" borderId="0" xfId="17" applyFont="1" applyFill="1" applyAlignment="1">
      <alignment horizontal="left" vertical="center"/>
    </xf>
    <xf numFmtId="167" fontId="13" fillId="3" borderId="0" xfId="21" applyNumberFormat="1" applyFont="1" applyFill="1" applyAlignment="1">
      <alignment horizontal="left" vertical="center"/>
      <protection locked="0"/>
    </xf>
    <xf numFmtId="0" fontId="6" fillId="3" borderId="0" xfId="17" applyFont="1" applyFill="1" applyAlignment="1">
      <alignment horizontal="left" vertical="center"/>
    </xf>
    <xf numFmtId="167" fontId="6" fillId="3" borderId="0" xfId="21" applyNumberFormat="1" applyFont="1" applyFill="1" applyAlignment="1">
      <alignment horizontal="left" vertical="center"/>
      <protection locked="0"/>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62"/>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93"/>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30"/>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4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08"/>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7" zoomScaleSheetLayoutView="100" workbookViewId="0">
      <selection activeCell="C22" sqref="C22"/>
    </sheetView>
  </sheetViews>
  <sheetFormatPr defaultColWidth="9.109375" defaultRowHeight="13.2"/>
  <cols>
    <col min="1" max="2" width="9.109375" style="162"/>
    <col min="3" max="3" width="30.109375" style="162" customWidth="1"/>
    <col min="4" max="4" width="30.88671875" style="162" customWidth="1"/>
    <col min="5" max="5" width="21.109375" style="162" customWidth="1"/>
    <col min="6" max="9" width="9.109375" style="162"/>
    <col min="10" max="10" width="11.88671875" style="162" customWidth="1"/>
    <col min="11" max="11" width="15" style="162" customWidth="1"/>
    <col min="12" max="16384" width="9.109375" style="162"/>
  </cols>
  <sheetData>
    <row r="1" spans="1:11">
      <c r="A1" s="161" t="s">
        <v>0</v>
      </c>
      <c r="C1" s="258" t="s">
        <v>1675</v>
      </c>
      <c r="D1" s="259"/>
    </row>
    <row r="2" spans="1:11">
      <c r="C2" s="163" t="s">
        <v>1676</v>
      </c>
      <c r="D2" s="164"/>
    </row>
    <row r="3" spans="1:11">
      <c r="D3" s="165"/>
    </row>
    <row r="4" spans="1:11">
      <c r="A4" s="161" t="s">
        <v>1</v>
      </c>
      <c r="D4" s="165"/>
    </row>
    <row r="5" spans="1:11" ht="15" customHeight="1">
      <c r="C5" s="166" t="s">
        <v>2</v>
      </c>
      <c r="D5" s="262" t="s">
        <v>1677</v>
      </c>
      <c r="E5" s="262"/>
      <c r="F5" s="262"/>
      <c r="G5" s="262"/>
      <c r="H5" s="262"/>
      <c r="I5" s="262"/>
    </row>
    <row r="6" spans="1:11">
      <c r="C6" s="156" t="s">
        <v>15</v>
      </c>
      <c r="D6" s="261" t="s">
        <v>1678</v>
      </c>
      <c r="E6" s="261"/>
      <c r="F6" s="261"/>
      <c r="G6" s="261"/>
      <c r="H6" s="261"/>
      <c r="I6" s="261"/>
    </row>
    <row r="7" spans="1:11">
      <c r="C7" s="167" t="s">
        <v>3</v>
      </c>
      <c r="D7" s="262" t="s">
        <v>1679</v>
      </c>
      <c r="E7" s="262"/>
      <c r="F7" s="262"/>
      <c r="G7" s="262"/>
      <c r="H7" s="262"/>
      <c r="I7" s="262"/>
    </row>
    <row r="8" spans="1:11" ht="15" customHeight="1">
      <c r="C8" s="159" t="s">
        <v>4</v>
      </c>
      <c r="D8" s="261" t="s">
        <v>1680</v>
      </c>
      <c r="E8" s="261"/>
      <c r="F8" s="261"/>
      <c r="G8" s="261"/>
      <c r="H8" s="261"/>
      <c r="I8" s="261"/>
    </row>
    <row r="9" spans="1:11" ht="15" customHeight="1">
      <c r="C9" s="167" t="s">
        <v>5</v>
      </c>
      <c r="D9" s="262" t="s">
        <v>696</v>
      </c>
      <c r="E9" s="262"/>
      <c r="F9" s="262"/>
      <c r="G9" s="262"/>
      <c r="H9" s="262"/>
      <c r="I9" s="262"/>
    </row>
    <row r="10" spans="1:11" ht="15" customHeight="1">
      <c r="C10" s="168" t="s">
        <v>6</v>
      </c>
      <c r="D10" s="261" t="s">
        <v>1692</v>
      </c>
      <c r="E10" s="261"/>
      <c r="F10" s="261"/>
      <c r="G10" s="261"/>
      <c r="H10" s="261"/>
      <c r="I10" s="261"/>
    </row>
    <row r="11" spans="1:11">
      <c r="C11" s="169" t="s">
        <v>7</v>
      </c>
      <c r="D11" s="262" t="s">
        <v>1698</v>
      </c>
      <c r="E11" s="262"/>
      <c r="F11" s="262"/>
      <c r="G11" s="262"/>
      <c r="H11" s="262"/>
      <c r="I11" s="262"/>
    </row>
    <row r="12" spans="1:11">
      <c r="C12" s="5" t="s">
        <v>8</v>
      </c>
      <c r="D12" s="260" t="s">
        <v>1699</v>
      </c>
      <c r="E12" s="261"/>
      <c r="F12" s="261"/>
      <c r="G12" s="261"/>
      <c r="H12" s="261"/>
      <c r="I12" s="261"/>
    </row>
    <row r="13" spans="1:11">
      <c r="D13" s="165"/>
    </row>
    <row r="14" spans="1:11">
      <c r="A14" s="161" t="s">
        <v>9</v>
      </c>
      <c r="D14" s="165"/>
    </row>
    <row r="15" spans="1:11">
      <c r="D15" s="165"/>
    </row>
    <row r="16" spans="1:11">
      <c r="C16" s="170" t="s">
        <v>10</v>
      </c>
      <c r="D16" s="171"/>
      <c r="F16" s="170" t="s">
        <v>11</v>
      </c>
      <c r="G16" s="172"/>
      <c r="H16" s="172"/>
      <c r="I16" s="172"/>
      <c r="J16" s="172"/>
      <c r="K16" s="173"/>
    </row>
    <row r="17" spans="3:11">
      <c r="C17" s="174" t="s">
        <v>12</v>
      </c>
      <c r="D17" s="175"/>
      <c r="F17" s="174" t="s">
        <v>13</v>
      </c>
      <c r="G17" s="176"/>
      <c r="H17" s="176"/>
      <c r="I17" s="176"/>
      <c r="J17" s="176"/>
      <c r="K17" s="177"/>
    </row>
    <row r="18" spans="3:11">
      <c r="C18" s="178"/>
      <c r="D18" s="175"/>
      <c r="F18" s="178"/>
      <c r="G18" s="176"/>
      <c r="H18" s="176"/>
      <c r="I18" s="176"/>
      <c r="J18" s="176"/>
      <c r="K18" s="177"/>
    </row>
    <row r="19" spans="3:11">
      <c r="C19" s="179" t="s">
        <v>14</v>
      </c>
      <c r="D19" s="175"/>
      <c r="F19" s="179" t="s">
        <v>1677</v>
      </c>
      <c r="G19" s="176"/>
      <c r="H19" s="176"/>
      <c r="I19" s="176"/>
      <c r="J19" s="176"/>
      <c r="K19" s="177"/>
    </row>
    <row r="20" spans="3:11">
      <c r="C20" s="180" t="s">
        <v>1681</v>
      </c>
      <c r="D20" s="175"/>
      <c r="F20" s="179" t="s">
        <v>1682</v>
      </c>
      <c r="G20" s="176"/>
      <c r="H20" s="176"/>
      <c r="I20" s="176"/>
      <c r="J20" s="176"/>
      <c r="K20" s="177"/>
    </row>
    <row r="21" spans="3:11">
      <c r="C21" s="181" t="s">
        <v>1701</v>
      </c>
      <c r="D21" s="164"/>
      <c r="F21" s="182" t="s">
        <v>1683</v>
      </c>
      <c r="G21" s="183"/>
      <c r="H21" s="183"/>
      <c r="I21" s="183"/>
      <c r="J21" s="183"/>
      <c r="K21" s="184"/>
    </row>
    <row r="22" spans="3:11">
      <c r="D22" s="165"/>
    </row>
    <row r="23" spans="3:11">
      <c r="D23" s="165"/>
    </row>
    <row r="24" spans="3:11">
      <c r="D24" s="165"/>
    </row>
    <row r="25" spans="3:11">
      <c r="D25" s="165"/>
    </row>
    <row r="26" spans="3:11">
      <c r="D26" s="165"/>
    </row>
    <row r="27" spans="3:11">
      <c r="D27" s="165"/>
    </row>
    <row r="28" spans="3:11">
      <c r="D28" s="165"/>
    </row>
    <row r="29" spans="3:11">
      <c r="D29" s="165"/>
    </row>
    <row r="30" spans="3:11">
      <c r="D30" s="165"/>
    </row>
    <row r="31" spans="3:11">
      <c r="D31" s="165"/>
    </row>
    <row r="32" spans="3:11">
      <c r="D32" s="165"/>
    </row>
    <row r="33" spans="4:4">
      <c r="D33" s="165"/>
    </row>
    <row r="34" spans="4:4">
      <c r="D34" s="18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94"/>
  <sheetViews>
    <sheetView view="pageBreakPreview" topLeftCell="A66" zoomScale="85" zoomScaleNormal="100" zoomScaleSheetLayoutView="85" workbookViewId="0">
      <selection activeCell="D18" sqref="D18:E77"/>
    </sheetView>
  </sheetViews>
  <sheetFormatPr defaultColWidth="8.6640625" defaultRowHeight="13.2"/>
  <cols>
    <col min="1" max="1" width="51.88671875" style="200" customWidth="1"/>
    <col min="2" max="2" width="9.6640625" style="200" customWidth="1"/>
    <col min="3" max="3" width="8.6640625" style="200"/>
    <col min="4" max="4" width="30.5546875" style="200" customWidth="1"/>
    <col min="5" max="5" width="30.109375" style="200" customWidth="1"/>
    <col min="6" max="6" width="8.6640625" style="30" customWidth="1"/>
    <col min="7" max="16384" width="8.6640625" style="30"/>
  </cols>
  <sheetData>
    <row r="1" spans="1:5" ht="54.75" customHeight="1">
      <c r="A1" s="264" t="s">
        <v>705</v>
      </c>
      <c r="B1" s="264"/>
      <c r="C1" s="264"/>
      <c r="D1" s="264"/>
      <c r="E1" s="264"/>
    </row>
    <row r="2" spans="1:5" ht="69.75" customHeight="1">
      <c r="A2" s="265" t="s">
        <v>703</v>
      </c>
      <c r="B2" s="265"/>
      <c r="C2" s="265"/>
      <c r="D2" s="265"/>
      <c r="E2" s="265"/>
    </row>
    <row r="3" spans="1:5">
      <c r="A3" s="266" t="s">
        <v>168</v>
      </c>
      <c r="B3" s="266"/>
      <c r="C3" s="266"/>
      <c r="D3" s="266"/>
      <c r="E3" s="266"/>
    </row>
    <row r="4" spans="1:5" ht="31.2" customHeight="1">
      <c r="A4" s="266"/>
      <c r="B4" s="266"/>
      <c r="C4" s="266"/>
      <c r="D4" s="266"/>
      <c r="E4" s="266"/>
    </row>
    <row r="5" spans="1:5" ht="16.95" customHeight="1">
      <c r="A5" s="267" t="str">
        <f>TONGQUAN!C2</f>
        <v>Năm 2023
/ Year 2023</v>
      </c>
      <c r="B5" s="267"/>
      <c r="C5" s="267"/>
      <c r="D5" s="267"/>
      <c r="E5" s="267"/>
    </row>
    <row r="6" spans="1:5" ht="16.95" customHeight="1"/>
    <row r="7" spans="1:5" ht="16.95" customHeight="1">
      <c r="A7" s="192" t="s">
        <v>2</v>
      </c>
      <c r="B7" s="268" t="str">
        <f>TONGQUAN!D5</f>
        <v>Công ty Cổ phần Quản lý Quỹ Đầu tư Dragon Capital Việt Nam</v>
      </c>
      <c r="C7" s="268"/>
      <c r="D7" s="268"/>
      <c r="E7" s="268"/>
    </row>
    <row r="8" spans="1:5" ht="16.95" customHeight="1">
      <c r="A8" s="200" t="s">
        <v>15</v>
      </c>
      <c r="B8" s="263" t="str">
        <f>TONGQUAN!D6</f>
        <v>Dragon Capital Vietfund Management Joint Stock Company</v>
      </c>
      <c r="C8" s="263"/>
      <c r="D8" s="263"/>
      <c r="E8" s="263"/>
    </row>
    <row r="9" spans="1:5" ht="16.95" customHeight="1">
      <c r="A9" s="192" t="s">
        <v>3</v>
      </c>
      <c r="B9" s="268" t="str">
        <f>TONGQUAN!D7</f>
        <v>Ngân hàng TNHH Một thành viên Standard Chartered (Việt Nam)</v>
      </c>
      <c r="C9" s="268"/>
      <c r="D9" s="268"/>
      <c r="E9" s="268"/>
    </row>
    <row r="10" spans="1:5" ht="16.95" customHeight="1">
      <c r="A10" s="200" t="s">
        <v>4</v>
      </c>
      <c r="B10" s="263" t="str">
        <f>TONGQUAN!D8</f>
        <v>Standard Chartered Bank (Vietnam) Limited</v>
      </c>
      <c r="C10" s="263"/>
      <c r="D10" s="263"/>
      <c r="E10" s="263"/>
    </row>
    <row r="11" spans="1:5" ht="16.95" customHeight="1">
      <c r="A11" s="192" t="s">
        <v>5</v>
      </c>
      <c r="B11" s="268" t="str">
        <f>TONGQUAN!D9</f>
        <v>Quỹ Đầu tư Chứng khoán Năng động DC</v>
      </c>
      <c r="C11" s="268"/>
      <c r="D11" s="268"/>
      <c r="E11" s="268"/>
    </row>
    <row r="12" spans="1:5" ht="16.95" customHeight="1">
      <c r="A12" s="200" t="s">
        <v>6</v>
      </c>
      <c r="B12" s="263" t="str">
        <f>TONGQUAN!D10</f>
        <v>DC Dynamic Securities Fund(DCDS)</v>
      </c>
      <c r="C12" s="263"/>
      <c r="D12" s="263"/>
      <c r="E12" s="263"/>
    </row>
    <row r="13" spans="1:5" ht="16.95" customHeight="1">
      <c r="A13" s="192" t="s">
        <v>7</v>
      </c>
      <c r="B13" s="268" t="str">
        <f>TONGQUAN!D11</f>
        <v>Ngày 08 tháng 03 năm 2024</v>
      </c>
      <c r="C13" s="268"/>
      <c r="D13" s="268"/>
      <c r="E13" s="268"/>
    </row>
    <row r="14" spans="1:5" ht="16.95" customHeight="1">
      <c r="A14" s="200" t="s">
        <v>8</v>
      </c>
      <c r="B14" s="263" t="str">
        <f>TONGQUAN!D12</f>
        <v>08 Mar 2024</v>
      </c>
      <c r="C14" s="263"/>
      <c r="D14" s="263"/>
      <c r="E14" s="263"/>
    </row>
    <row r="16" spans="1:5" ht="35.700000000000003" customHeight="1">
      <c r="A16" s="269" t="s">
        <v>169</v>
      </c>
      <c r="B16" s="269" t="s">
        <v>170</v>
      </c>
      <c r="C16" s="269" t="s">
        <v>171</v>
      </c>
      <c r="D16" s="269" t="s">
        <v>1686</v>
      </c>
      <c r="E16" s="269" t="s">
        <v>1687</v>
      </c>
    </row>
    <row r="17" spans="1:7">
      <c r="A17" s="270"/>
      <c r="B17" s="270"/>
      <c r="C17" s="270"/>
      <c r="D17" s="270"/>
      <c r="E17" s="270"/>
    </row>
    <row r="18" spans="1:7" s="38" customFormat="1" ht="26.4">
      <c r="A18" s="61" t="s">
        <v>359</v>
      </c>
      <c r="B18" s="62" t="s">
        <v>172</v>
      </c>
      <c r="C18" s="50"/>
      <c r="D18" s="247">
        <v>372465575175</v>
      </c>
      <c r="E18" s="247">
        <v>-613132069233</v>
      </c>
    </row>
    <row r="19" spans="1:7" ht="26.4">
      <c r="A19" s="63" t="s">
        <v>360</v>
      </c>
      <c r="B19" s="64" t="s">
        <v>173</v>
      </c>
      <c r="C19" s="54"/>
      <c r="D19" s="39">
        <v>21446287000</v>
      </c>
      <c r="E19" s="39">
        <v>17365202500</v>
      </c>
      <c r="G19" s="38"/>
    </row>
    <row r="20" spans="1:7" ht="26.4">
      <c r="A20" s="63" t="s">
        <v>361</v>
      </c>
      <c r="B20" s="64" t="s">
        <v>174</v>
      </c>
      <c r="C20" s="54"/>
      <c r="D20" s="39">
        <v>5741875933</v>
      </c>
      <c r="E20" s="39">
        <v>17530222986</v>
      </c>
      <c r="G20" s="38"/>
    </row>
    <row r="21" spans="1:7" ht="26.4">
      <c r="A21" s="63" t="s">
        <v>291</v>
      </c>
      <c r="B21" s="64" t="s">
        <v>175</v>
      </c>
      <c r="C21" s="54"/>
      <c r="D21" s="39">
        <v>252478465</v>
      </c>
      <c r="E21" s="39">
        <v>1192606383</v>
      </c>
      <c r="G21" s="38"/>
    </row>
    <row r="22" spans="1:7" ht="26.4">
      <c r="A22" s="63" t="s">
        <v>712</v>
      </c>
      <c r="B22" s="64" t="s">
        <v>176</v>
      </c>
      <c r="C22" s="54"/>
      <c r="D22" s="39">
        <v>0</v>
      </c>
      <c r="E22" s="39">
        <v>835328767</v>
      </c>
      <c r="G22" s="38"/>
    </row>
    <row r="23" spans="1:7" ht="26.4">
      <c r="A23" s="65" t="s">
        <v>362</v>
      </c>
      <c r="B23" s="64" t="s">
        <v>287</v>
      </c>
      <c r="C23" s="54"/>
      <c r="D23" s="39">
        <v>5489397468</v>
      </c>
      <c r="E23" s="39">
        <v>15502287836</v>
      </c>
      <c r="G23" s="38"/>
    </row>
    <row r="24" spans="1:7" ht="26.4">
      <c r="A24" s="54" t="s">
        <v>290</v>
      </c>
      <c r="B24" s="64" t="s">
        <v>289</v>
      </c>
      <c r="C24" s="54"/>
      <c r="D24" s="39">
        <v>0</v>
      </c>
      <c r="E24" s="39">
        <v>0</v>
      </c>
      <c r="G24" s="38"/>
    </row>
    <row r="25" spans="1:7" ht="26.4">
      <c r="A25" s="54" t="s">
        <v>292</v>
      </c>
      <c r="B25" s="64" t="s">
        <v>177</v>
      </c>
      <c r="C25" s="54"/>
      <c r="D25" s="39">
        <v>202459819566</v>
      </c>
      <c r="E25" s="39">
        <v>-449654427803</v>
      </c>
      <c r="G25" s="38"/>
    </row>
    <row r="26" spans="1:7" ht="39.6">
      <c r="A26" s="54" t="s">
        <v>293</v>
      </c>
      <c r="B26" s="64" t="s">
        <v>178</v>
      </c>
      <c r="C26" s="54"/>
      <c r="D26" s="39">
        <v>142817592676</v>
      </c>
      <c r="E26" s="39">
        <v>-198373066916</v>
      </c>
      <c r="G26" s="38"/>
    </row>
    <row r="27" spans="1:7" ht="26.4">
      <c r="A27" s="63" t="s">
        <v>363</v>
      </c>
      <c r="B27" s="64" t="s">
        <v>179</v>
      </c>
      <c r="C27" s="54"/>
      <c r="D27" s="39">
        <v>0</v>
      </c>
      <c r="E27" s="39">
        <v>0</v>
      </c>
      <c r="G27" s="38"/>
    </row>
    <row r="28" spans="1:7" ht="26.4">
      <c r="A28" s="54" t="s">
        <v>294</v>
      </c>
      <c r="B28" s="64" t="s">
        <v>180</v>
      </c>
      <c r="C28" s="54"/>
      <c r="D28" s="39">
        <v>0</v>
      </c>
      <c r="E28" s="39">
        <v>0</v>
      </c>
      <c r="G28" s="38"/>
    </row>
    <row r="29" spans="1:7" ht="26.4">
      <c r="A29" s="63" t="s">
        <v>364</v>
      </c>
      <c r="B29" s="64" t="s">
        <v>181</v>
      </c>
      <c r="C29" s="54"/>
      <c r="D29" s="39">
        <v>0</v>
      </c>
      <c r="E29" s="39">
        <v>0</v>
      </c>
      <c r="G29" s="38"/>
    </row>
    <row r="30" spans="1:7" ht="52.8">
      <c r="A30" s="54" t="s">
        <v>365</v>
      </c>
      <c r="B30" s="64" t="s">
        <v>182</v>
      </c>
      <c r="C30" s="54"/>
      <c r="D30" s="39">
        <v>0</v>
      </c>
      <c r="E30" s="39">
        <v>0</v>
      </c>
      <c r="G30" s="38"/>
    </row>
    <row r="31" spans="1:7" s="38" customFormat="1" ht="26.4">
      <c r="A31" s="61" t="s">
        <v>315</v>
      </c>
      <c r="B31" s="62" t="s">
        <v>183</v>
      </c>
      <c r="C31" s="50"/>
      <c r="D31" s="247">
        <v>16285754924</v>
      </c>
      <c r="E31" s="247">
        <v>19348708287</v>
      </c>
    </row>
    <row r="32" spans="1:7" ht="26.4">
      <c r="A32" s="54" t="s">
        <v>184</v>
      </c>
      <c r="B32" s="64" t="s">
        <v>185</v>
      </c>
      <c r="C32" s="54"/>
      <c r="D32" s="39">
        <v>16263254924</v>
      </c>
      <c r="E32" s="39">
        <v>19338708287</v>
      </c>
      <c r="G32" s="38"/>
    </row>
    <row r="33" spans="1:7" ht="26.4">
      <c r="A33" s="54" t="s">
        <v>713</v>
      </c>
      <c r="B33" s="64" t="s">
        <v>186</v>
      </c>
      <c r="C33" s="54"/>
      <c r="D33" s="39">
        <v>16195631005</v>
      </c>
      <c r="E33" s="39">
        <v>19285488371</v>
      </c>
      <c r="G33" s="38"/>
    </row>
    <row r="34" spans="1:7" ht="26.4">
      <c r="A34" s="54" t="s">
        <v>44</v>
      </c>
      <c r="B34" s="64" t="s">
        <v>187</v>
      </c>
      <c r="C34" s="54"/>
      <c r="D34" s="39">
        <v>67623919</v>
      </c>
      <c r="E34" s="39">
        <v>53219916</v>
      </c>
      <c r="G34" s="38"/>
    </row>
    <row r="35" spans="1:7" ht="39.6">
      <c r="A35" s="54" t="s">
        <v>188</v>
      </c>
      <c r="B35" s="64" t="s">
        <v>189</v>
      </c>
      <c r="C35" s="54"/>
      <c r="D35" s="39">
        <v>0</v>
      </c>
      <c r="E35" s="39">
        <v>0</v>
      </c>
      <c r="G35" s="38"/>
    </row>
    <row r="36" spans="1:7" ht="26.4">
      <c r="A36" s="54" t="s">
        <v>190</v>
      </c>
      <c r="B36" s="64" t="s">
        <v>191</v>
      </c>
      <c r="C36" s="54"/>
      <c r="D36" s="39">
        <v>0</v>
      </c>
      <c r="E36" s="39">
        <v>0</v>
      </c>
      <c r="G36" s="38"/>
    </row>
    <row r="37" spans="1:7" ht="66">
      <c r="A37" s="54" t="s">
        <v>192</v>
      </c>
      <c r="B37" s="64" t="s">
        <v>193</v>
      </c>
      <c r="C37" s="54"/>
      <c r="D37" s="39">
        <v>0</v>
      </c>
      <c r="E37" s="39">
        <v>0</v>
      </c>
      <c r="G37" s="38"/>
    </row>
    <row r="38" spans="1:7" ht="26.4">
      <c r="A38" s="63" t="s">
        <v>316</v>
      </c>
      <c r="B38" s="64" t="s">
        <v>194</v>
      </c>
      <c r="C38" s="54"/>
      <c r="D38" s="39">
        <v>22500000</v>
      </c>
      <c r="E38" s="39">
        <v>10000000</v>
      </c>
      <c r="G38" s="38"/>
    </row>
    <row r="39" spans="1:7" s="38" customFormat="1" ht="26.4">
      <c r="A39" s="61" t="s">
        <v>317</v>
      </c>
      <c r="B39" s="62" t="s">
        <v>195</v>
      </c>
      <c r="C39" s="50"/>
      <c r="D39" s="53">
        <v>29419021143</v>
      </c>
      <c r="E39" s="53">
        <v>33331048039</v>
      </c>
    </row>
    <row r="40" spans="1:7" ht="26.4">
      <c r="A40" s="54" t="s">
        <v>366</v>
      </c>
      <c r="B40" s="64" t="s">
        <v>196</v>
      </c>
      <c r="C40" s="54"/>
      <c r="D40" s="39">
        <v>26545352339</v>
      </c>
      <c r="E40" s="39">
        <v>30361846097</v>
      </c>
      <c r="G40" s="38"/>
    </row>
    <row r="41" spans="1:7" ht="26.4">
      <c r="A41" s="54" t="s">
        <v>197</v>
      </c>
      <c r="B41" s="64" t="s">
        <v>198</v>
      </c>
      <c r="C41" s="54"/>
      <c r="D41" s="39">
        <v>1144596424</v>
      </c>
      <c r="E41" s="39">
        <v>1067645501</v>
      </c>
      <c r="G41" s="38"/>
    </row>
    <row r="42" spans="1:7" ht="26.4">
      <c r="A42" s="58" t="s">
        <v>25</v>
      </c>
      <c r="B42" s="66" t="s">
        <v>199</v>
      </c>
      <c r="C42" s="54"/>
      <c r="D42" s="39">
        <v>544661766</v>
      </c>
      <c r="E42" s="39">
        <v>622807094</v>
      </c>
      <c r="G42" s="38"/>
    </row>
    <row r="43" spans="1:7" ht="26.4">
      <c r="A43" s="58" t="s">
        <v>26</v>
      </c>
      <c r="B43" s="66" t="s">
        <v>200</v>
      </c>
      <c r="C43" s="54"/>
      <c r="D43" s="39">
        <v>465615000</v>
      </c>
      <c r="E43" s="39">
        <v>349015000</v>
      </c>
      <c r="G43" s="38"/>
    </row>
    <row r="44" spans="1:7" ht="52.8">
      <c r="A44" s="58" t="s">
        <v>716</v>
      </c>
      <c r="B44" s="66" t="s">
        <v>201</v>
      </c>
      <c r="C44" s="54"/>
      <c r="D44" s="39">
        <v>134319658</v>
      </c>
      <c r="E44" s="39">
        <v>95823407</v>
      </c>
      <c r="G44" s="38"/>
    </row>
    <row r="45" spans="1:7" ht="26.4">
      <c r="A45" s="54" t="s">
        <v>202</v>
      </c>
      <c r="B45" s="64" t="s">
        <v>203</v>
      </c>
      <c r="C45" s="54"/>
      <c r="D45" s="39">
        <v>599127940</v>
      </c>
      <c r="E45" s="39">
        <v>685087813</v>
      </c>
      <c r="G45" s="38"/>
    </row>
    <row r="46" spans="1:7" ht="26.4">
      <c r="A46" s="54" t="s">
        <v>204</v>
      </c>
      <c r="B46" s="64" t="s">
        <v>205</v>
      </c>
      <c r="C46" s="54"/>
      <c r="D46" s="39">
        <v>374454969</v>
      </c>
      <c r="E46" s="39">
        <v>428179880</v>
      </c>
      <c r="G46" s="38"/>
    </row>
    <row r="47" spans="1:7" ht="26.4">
      <c r="A47" s="54" t="s">
        <v>206</v>
      </c>
      <c r="B47" s="64" t="s">
        <v>207</v>
      </c>
      <c r="C47" s="54"/>
      <c r="D47" s="39">
        <v>158400000</v>
      </c>
      <c r="E47" s="39">
        <v>145200000</v>
      </c>
      <c r="G47" s="38"/>
    </row>
    <row r="48" spans="1:7" ht="26.4">
      <c r="A48" s="54" t="s">
        <v>208</v>
      </c>
      <c r="B48" s="64" t="s">
        <v>209</v>
      </c>
      <c r="C48" s="54"/>
      <c r="D48" s="39">
        <v>0</v>
      </c>
      <c r="E48" s="39">
        <v>0</v>
      </c>
      <c r="G48" s="38"/>
    </row>
    <row r="49" spans="1:7" ht="39.6">
      <c r="A49" s="58" t="s">
        <v>367</v>
      </c>
      <c r="B49" s="66" t="s">
        <v>210</v>
      </c>
      <c r="C49" s="54"/>
      <c r="D49" s="39">
        <v>0</v>
      </c>
      <c r="E49" s="39">
        <v>0</v>
      </c>
      <c r="G49" s="38"/>
    </row>
    <row r="50" spans="1:7" ht="26.4">
      <c r="A50" s="58" t="s">
        <v>368</v>
      </c>
      <c r="B50" s="66" t="s">
        <v>211</v>
      </c>
      <c r="C50" s="54"/>
      <c r="D50" s="39">
        <v>0</v>
      </c>
      <c r="E50" s="39">
        <v>0</v>
      </c>
      <c r="G50" s="38"/>
    </row>
    <row r="51" spans="1:7" ht="26.4">
      <c r="A51" s="54" t="s">
        <v>212</v>
      </c>
      <c r="B51" s="64" t="s">
        <v>213</v>
      </c>
      <c r="C51" s="54"/>
      <c r="D51" s="39">
        <v>27950952</v>
      </c>
      <c r="E51" s="39">
        <v>35094216</v>
      </c>
      <c r="G51" s="38"/>
    </row>
    <row r="52" spans="1:7" ht="26.4">
      <c r="A52" s="63" t="s">
        <v>318</v>
      </c>
      <c r="B52" s="64" t="s">
        <v>214</v>
      </c>
      <c r="C52" s="54"/>
      <c r="D52" s="39">
        <v>207137469</v>
      </c>
      <c r="E52" s="39">
        <v>189942000</v>
      </c>
      <c r="G52" s="38"/>
    </row>
    <row r="53" spans="1:7" ht="26.4">
      <c r="A53" s="54" t="s">
        <v>215</v>
      </c>
      <c r="B53" s="64" t="s">
        <v>216</v>
      </c>
      <c r="C53" s="54"/>
      <c r="D53" s="39">
        <v>0</v>
      </c>
      <c r="E53" s="39">
        <v>0</v>
      </c>
      <c r="G53" s="38"/>
    </row>
    <row r="54" spans="1:7" ht="26.4">
      <c r="A54" s="63" t="s">
        <v>319</v>
      </c>
      <c r="B54" s="64" t="s">
        <v>217</v>
      </c>
      <c r="C54" s="54"/>
      <c r="D54" s="39">
        <v>362001050</v>
      </c>
      <c r="E54" s="39">
        <v>418052532</v>
      </c>
      <c r="G54" s="38"/>
    </row>
    <row r="55" spans="1:7" ht="26.4">
      <c r="A55" s="58" t="s">
        <v>40</v>
      </c>
      <c r="B55" s="66" t="s">
        <v>218</v>
      </c>
      <c r="C55" s="54"/>
      <c r="D55" s="39">
        <v>156000000</v>
      </c>
      <c r="E55" s="39">
        <v>181000000</v>
      </c>
      <c r="G55" s="38"/>
    </row>
    <row r="56" spans="1:7" ht="39.6">
      <c r="A56" s="58" t="s">
        <v>219</v>
      </c>
      <c r="B56" s="66" t="s">
        <v>220</v>
      </c>
      <c r="C56" s="54"/>
      <c r="D56" s="39">
        <v>0</v>
      </c>
      <c r="E56" s="39">
        <v>0</v>
      </c>
      <c r="G56" s="38"/>
    </row>
    <row r="57" spans="1:7" ht="26.4">
      <c r="A57" s="58" t="s">
        <v>221</v>
      </c>
      <c r="B57" s="66" t="s">
        <v>222</v>
      </c>
      <c r="C57" s="54"/>
      <c r="D57" s="39">
        <v>0</v>
      </c>
      <c r="E57" s="39">
        <v>0</v>
      </c>
      <c r="G57" s="38"/>
    </row>
    <row r="58" spans="1:7" ht="26.4">
      <c r="A58" s="67" t="s">
        <v>320</v>
      </c>
      <c r="B58" s="66" t="s">
        <v>223</v>
      </c>
      <c r="C58" s="54"/>
      <c r="D58" s="39">
        <v>94000000</v>
      </c>
      <c r="E58" s="39">
        <v>136633332</v>
      </c>
      <c r="G58" s="38"/>
    </row>
    <row r="59" spans="1:7" ht="26.4">
      <c r="A59" s="58" t="s">
        <v>41</v>
      </c>
      <c r="B59" s="66" t="s">
        <v>224</v>
      </c>
      <c r="C59" s="54"/>
      <c r="D59" s="39">
        <v>0</v>
      </c>
      <c r="E59" s="39">
        <v>0</v>
      </c>
      <c r="G59" s="38"/>
    </row>
    <row r="60" spans="1:7" ht="26.4">
      <c r="A60" s="67" t="s">
        <v>321</v>
      </c>
      <c r="B60" s="66" t="s">
        <v>225</v>
      </c>
      <c r="C60" s="54"/>
      <c r="D60" s="39">
        <v>0</v>
      </c>
      <c r="E60" s="39">
        <v>0</v>
      </c>
      <c r="G60" s="38"/>
    </row>
    <row r="61" spans="1:7" ht="26.4">
      <c r="A61" s="67" t="s">
        <v>322</v>
      </c>
      <c r="B61" s="66" t="s">
        <v>226</v>
      </c>
      <c r="C61" s="54"/>
      <c r="D61" s="39">
        <v>12500000</v>
      </c>
      <c r="E61" s="39">
        <v>7500000</v>
      </c>
      <c r="G61" s="38"/>
    </row>
    <row r="62" spans="1:7" ht="26.4">
      <c r="A62" s="58" t="s">
        <v>48</v>
      </c>
      <c r="B62" s="66" t="s">
        <v>227</v>
      </c>
      <c r="C62" s="54"/>
      <c r="D62" s="39">
        <v>98401050</v>
      </c>
      <c r="E62" s="39">
        <v>91819200</v>
      </c>
      <c r="G62" s="38"/>
    </row>
    <row r="63" spans="1:7" ht="26.4">
      <c r="A63" s="58" t="s">
        <v>42</v>
      </c>
      <c r="B63" s="66" t="s">
        <v>228</v>
      </c>
      <c r="C63" s="54"/>
      <c r="D63" s="39">
        <v>0</v>
      </c>
      <c r="E63" s="39">
        <v>0</v>
      </c>
      <c r="G63" s="38"/>
    </row>
    <row r="64" spans="1:7" ht="26.4">
      <c r="A64" s="58" t="s">
        <v>306</v>
      </c>
      <c r="B64" s="66" t="s">
        <v>229</v>
      </c>
      <c r="C64" s="54"/>
      <c r="D64" s="39">
        <v>0</v>
      </c>
      <c r="E64" s="39">
        <v>0</v>
      </c>
      <c r="G64" s="38"/>
    </row>
    <row r="65" spans="1:7" ht="26.4">
      <c r="A65" s="68" t="s">
        <v>717</v>
      </c>
      <c r="B65" s="66" t="s">
        <v>230</v>
      </c>
      <c r="C65" s="54"/>
      <c r="D65" s="39">
        <v>1100000</v>
      </c>
      <c r="E65" s="39">
        <v>1100000</v>
      </c>
      <c r="G65" s="38"/>
    </row>
    <row r="66" spans="1:7" ht="26.4">
      <c r="A66" s="69" t="s">
        <v>718</v>
      </c>
      <c r="B66" s="66" t="s">
        <v>231</v>
      </c>
      <c r="C66" s="54"/>
      <c r="D66" s="39">
        <v>0</v>
      </c>
      <c r="E66" s="39">
        <v>0</v>
      </c>
      <c r="G66" s="38"/>
    </row>
    <row r="67" spans="1:7" ht="26.4">
      <c r="A67" s="67" t="s">
        <v>323</v>
      </c>
      <c r="B67" s="66" t="s">
        <v>232</v>
      </c>
      <c r="C67" s="54"/>
      <c r="D67" s="39">
        <v>0</v>
      </c>
      <c r="E67" s="39">
        <v>0</v>
      </c>
      <c r="G67" s="38"/>
    </row>
    <row r="68" spans="1:7" ht="26.4">
      <c r="A68" s="58" t="s">
        <v>233</v>
      </c>
      <c r="B68" s="66" t="s">
        <v>234</v>
      </c>
      <c r="C68" s="54"/>
      <c r="D68" s="39">
        <v>0</v>
      </c>
      <c r="E68" s="39">
        <v>0</v>
      </c>
      <c r="G68" s="38"/>
    </row>
    <row r="69" spans="1:7" s="38" customFormat="1" ht="39.6">
      <c r="A69" s="50" t="s">
        <v>235</v>
      </c>
      <c r="B69" s="62" t="s">
        <v>236</v>
      </c>
      <c r="C69" s="50"/>
      <c r="D69" s="247">
        <v>326760799108</v>
      </c>
      <c r="E69" s="247">
        <v>-665811825559</v>
      </c>
    </row>
    <row r="70" spans="1:7" s="38" customFormat="1" ht="26.4">
      <c r="A70" s="50" t="s">
        <v>237</v>
      </c>
      <c r="B70" s="62" t="s">
        <v>238</v>
      </c>
      <c r="C70" s="50"/>
      <c r="D70" s="247">
        <v>0</v>
      </c>
      <c r="E70" s="247">
        <v>0</v>
      </c>
    </row>
    <row r="71" spans="1:7" ht="26.4">
      <c r="A71" s="63" t="s">
        <v>369</v>
      </c>
      <c r="B71" s="64" t="s">
        <v>239</v>
      </c>
      <c r="C71" s="54"/>
      <c r="D71" s="39">
        <v>0</v>
      </c>
      <c r="E71" s="39">
        <v>0</v>
      </c>
      <c r="G71" s="38"/>
    </row>
    <row r="72" spans="1:7" ht="26.4">
      <c r="A72" s="63" t="s">
        <v>324</v>
      </c>
      <c r="B72" s="64" t="s">
        <v>240</v>
      </c>
      <c r="C72" s="54"/>
      <c r="D72" s="39">
        <v>0</v>
      </c>
      <c r="E72" s="39">
        <v>0</v>
      </c>
      <c r="G72" s="38"/>
    </row>
    <row r="73" spans="1:7" s="38" customFormat="1" ht="26.4">
      <c r="A73" s="50" t="s">
        <v>607</v>
      </c>
      <c r="B73" s="62" t="s">
        <v>241</v>
      </c>
      <c r="C73" s="50"/>
      <c r="D73" s="247">
        <v>326760799108</v>
      </c>
      <c r="E73" s="247">
        <v>-665811825559</v>
      </c>
    </row>
    <row r="74" spans="1:7" ht="26.4">
      <c r="A74" s="54" t="s">
        <v>242</v>
      </c>
      <c r="B74" s="64" t="s">
        <v>243</v>
      </c>
      <c r="C74" s="54"/>
      <c r="D74" s="39">
        <v>183943206432</v>
      </c>
      <c r="E74" s="39">
        <v>-467438758643</v>
      </c>
      <c r="G74" s="38"/>
    </row>
    <row r="75" spans="1:7" ht="26.4">
      <c r="A75" s="54" t="s">
        <v>244</v>
      </c>
      <c r="B75" s="64" t="s">
        <v>245</v>
      </c>
      <c r="C75" s="54"/>
      <c r="D75" s="39">
        <v>142817592676</v>
      </c>
      <c r="E75" s="39">
        <v>-198373066916</v>
      </c>
      <c r="G75" s="38"/>
    </row>
    <row r="76" spans="1:7" s="38" customFormat="1" ht="26.4">
      <c r="A76" s="50" t="s">
        <v>246</v>
      </c>
      <c r="B76" s="62" t="s">
        <v>247</v>
      </c>
      <c r="C76" s="50"/>
      <c r="D76" s="247">
        <v>0</v>
      </c>
      <c r="E76" s="247">
        <v>0</v>
      </c>
    </row>
    <row r="77" spans="1:7" s="38" customFormat="1" ht="26.4">
      <c r="A77" s="50" t="s">
        <v>608</v>
      </c>
      <c r="B77" s="62" t="s">
        <v>248</v>
      </c>
      <c r="C77" s="50"/>
      <c r="D77" s="247">
        <v>326760799108</v>
      </c>
      <c r="E77" s="247">
        <v>-665811825559</v>
      </c>
    </row>
    <row r="80" spans="1:7" ht="25.2" customHeight="1">
      <c r="A80" s="195" t="s">
        <v>249</v>
      </c>
      <c r="B80" s="271" t="s">
        <v>250</v>
      </c>
      <c r="C80" s="271"/>
      <c r="D80" s="271"/>
      <c r="E80" s="271"/>
    </row>
    <row r="90" spans="1:5">
      <c r="A90" s="199" t="s">
        <v>621</v>
      </c>
      <c r="B90" s="272" t="s">
        <v>621</v>
      </c>
      <c r="C90" s="272"/>
      <c r="D90" s="272"/>
      <c r="E90" s="47" t="s">
        <v>616</v>
      </c>
    </row>
    <row r="91" spans="1:5" ht="16.95" customHeight="1">
      <c r="A91" s="201" t="s">
        <v>1688</v>
      </c>
      <c r="B91" s="273" t="s">
        <v>1689</v>
      </c>
      <c r="C91" s="273"/>
      <c r="D91" s="273"/>
      <c r="E91" s="201" t="s">
        <v>1682</v>
      </c>
    </row>
    <row r="92" spans="1:5" ht="16.95" customHeight="1">
      <c r="A92" s="202" t="s">
        <v>1690</v>
      </c>
      <c r="B92" s="272" t="s">
        <v>1691</v>
      </c>
      <c r="C92" s="272"/>
      <c r="D92" s="272"/>
      <c r="E92" s="202" t="s">
        <v>1683</v>
      </c>
    </row>
    <row r="93" spans="1:5">
      <c r="A93" s="70"/>
      <c r="B93" s="47"/>
      <c r="C93" s="47"/>
      <c r="D93" s="70"/>
      <c r="E93" s="47"/>
    </row>
    <row r="94" spans="1:5">
      <c r="A94" s="47"/>
      <c r="B94" s="47"/>
      <c r="C94" s="47"/>
      <c r="D94" s="47"/>
      <c r="E94" s="47"/>
    </row>
  </sheetData>
  <mergeCells count="21">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B8:E8"/>
    <mergeCell ref="A1:E1"/>
    <mergeCell ref="A2:E2"/>
    <mergeCell ref="A3:E4"/>
    <mergeCell ref="A5:E5"/>
    <mergeCell ref="B7:E7"/>
  </mergeCells>
  <printOptions horizontalCentered="1"/>
  <pageMargins left="0.3" right="0.3" top="0.75" bottom="0.5" header="0.3" footer="0.3"/>
  <pageSetup paperSize="9" scale="74"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38"/>
  <sheetViews>
    <sheetView view="pageBreakPreview" topLeftCell="A101" zoomScale="55" zoomScaleNormal="100" zoomScaleSheetLayoutView="55" workbookViewId="0">
      <selection activeCell="A16" sqref="A16:F120"/>
    </sheetView>
  </sheetViews>
  <sheetFormatPr defaultColWidth="8.6640625" defaultRowHeight="13.2"/>
  <cols>
    <col min="1" max="1" width="7.109375" style="15" customWidth="1"/>
    <col min="2" max="2" width="84" style="15" customWidth="1"/>
    <col min="3" max="3" width="10.5546875" style="15" customWidth="1"/>
    <col min="4" max="4" width="15.109375" style="15" customWidth="1"/>
    <col min="5" max="5" width="28.6640625" style="15" customWidth="1"/>
    <col min="6" max="6" width="28" style="15" bestFit="1" customWidth="1"/>
    <col min="7" max="7" width="8.6640625" style="1"/>
    <col min="8" max="16384" width="8.6640625" style="30"/>
  </cols>
  <sheetData>
    <row r="1" spans="1:6" ht="65.25" customHeight="1">
      <c r="A1" s="264" t="s">
        <v>700</v>
      </c>
      <c r="B1" s="264"/>
      <c r="C1" s="264"/>
      <c r="D1" s="264"/>
      <c r="E1" s="264"/>
      <c r="F1" s="264"/>
    </row>
    <row r="2" spans="1:6" ht="64.5" customHeight="1">
      <c r="A2" s="265" t="s">
        <v>701</v>
      </c>
      <c r="B2" s="265"/>
      <c r="C2" s="265"/>
      <c r="D2" s="265"/>
      <c r="E2" s="265"/>
      <c r="F2" s="265"/>
    </row>
    <row r="3" spans="1:6" ht="31.2" customHeight="1">
      <c r="A3" s="266" t="s">
        <v>251</v>
      </c>
      <c r="B3" s="266"/>
      <c r="C3" s="266"/>
      <c r="D3" s="266"/>
      <c r="E3" s="266"/>
      <c r="F3" s="266"/>
    </row>
    <row r="4" spans="1:6" ht="6" customHeight="1"/>
    <row r="5" spans="1:6" ht="16.95" customHeight="1">
      <c r="A5" s="267" t="str">
        <f>TONGQUAN!C1</f>
        <v>Tại ngày 31 tháng 12 năm 2023
/ As at 31 Dec 2023</v>
      </c>
      <c r="B5" s="267"/>
      <c r="C5" s="267"/>
      <c r="D5" s="267"/>
      <c r="E5" s="267"/>
      <c r="F5" s="267"/>
    </row>
    <row r="6" spans="1:6" ht="16.95" customHeight="1"/>
    <row r="7" spans="1:6" ht="16.95" customHeight="1">
      <c r="A7" s="193" t="s">
        <v>2</v>
      </c>
      <c r="C7" s="268" t="str">
        <f>TONGQUAN!D5</f>
        <v>Công ty Cổ phần Quản lý Quỹ Đầu tư Dragon Capital Việt Nam</v>
      </c>
      <c r="D7" s="268"/>
      <c r="E7" s="268"/>
      <c r="F7" s="268"/>
    </row>
    <row r="8" spans="1:6" ht="16.95" customHeight="1">
      <c r="A8" s="15" t="s">
        <v>15</v>
      </c>
      <c r="C8" s="263" t="str">
        <f>TONGQUAN!D6</f>
        <v>Dragon Capital Vietfund Management Joint Stock Company</v>
      </c>
      <c r="D8" s="263"/>
      <c r="E8" s="263"/>
      <c r="F8" s="263"/>
    </row>
    <row r="9" spans="1:6" ht="16.95" customHeight="1">
      <c r="A9" s="193" t="s">
        <v>3</v>
      </c>
      <c r="C9" s="268" t="str">
        <f>TONGQUAN!D7</f>
        <v>Ngân hàng TNHH Một thành viên Standard Chartered (Việt Nam)</v>
      </c>
      <c r="D9" s="268"/>
      <c r="E9" s="268"/>
      <c r="F9" s="268"/>
    </row>
    <row r="10" spans="1:6" ht="16.95" customHeight="1">
      <c r="A10" s="15" t="s">
        <v>4</v>
      </c>
      <c r="C10" s="263" t="str">
        <f>TONGQUAN!D8</f>
        <v>Standard Chartered Bank (Vietnam) Limited</v>
      </c>
      <c r="D10" s="263"/>
      <c r="E10" s="263"/>
      <c r="F10" s="263"/>
    </row>
    <row r="11" spans="1:6" ht="16.95" customHeight="1">
      <c r="A11" s="193" t="s">
        <v>5</v>
      </c>
      <c r="C11" s="268" t="str">
        <f>TONGQUAN!D9</f>
        <v>Quỹ Đầu tư Chứng khoán Năng động DC</v>
      </c>
      <c r="D11" s="268"/>
      <c r="E11" s="268"/>
      <c r="F11" s="268"/>
    </row>
    <row r="12" spans="1:6" ht="16.95" customHeight="1">
      <c r="A12" s="15" t="s">
        <v>6</v>
      </c>
      <c r="C12" s="263" t="str">
        <f>TONGQUAN!D10</f>
        <v>DC Dynamic Securities Fund(DCDS)</v>
      </c>
      <c r="D12" s="263"/>
      <c r="E12" s="263"/>
      <c r="F12" s="263"/>
    </row>
    <row r="13" spans="1:6" ht="16.95" customHeight="1">
      <c r="A13" s="193" t="s">
        <v>7</v>
      </c>
      <c r="C13" s="268" t="str">
        <f>TONGQUAN!D11</f>
        <v>Ngày 08 tháng 03 năm 2024</v>
      </c>
      <c r="D13" s="268"/>
      <c r="E13" s="268"/>
      <c r="F13" s="268"/>
    </row>
    <row r="14" spans="1:6" ht="16.95" customHeight="1">
      <c r="A14" s="15" t="s">
        <v>8</v>
      </c>
      <c r="C14" s="263" t="str">
        <f>TONGQUAN!D12</f>
        <v>08 Mar 2024</v>
      </c>
      <c r="D14" s="263"/>
      <c r="E14" s="263"/>
      <c r="F14" s="263"/>
    </row>
    <row r="15" spans="1:6" ht="16.95" customHeight="1"/>
    <row r="16" spans="1:6" ht="46.95" customHeight="1">
      <c r="A16" s="31" t="s">
        <v>252</v>
      </c>
      <c r="B16" s="31" t="s">
        <v>169</v>
      </c>
      <c r="C16" s="31" t="s">
        <v>170</v>
      </c>
      <c r="D16" s="31" t="s">
        <v>171</v>
      </c>
      <c r="E16" s="31" t="str">
        <f>BCTaiSan_06027!D18</f>
        <v>Ngày 31 tháng 12 năm 2023
 As at 31 Dec 2023</v>
      </c>
      <c r="F16" s="31" t="str">
        <f>BCTaiSan_06027!E18</f>
        <v>Ngày 31 tháng 12 năm 2022
 As at 31 Dec 2022</v>
      </c>
    </row>
    <row r="17" spans="1:8" ht="26.4">
      <c r="A17" s="16" t="s">
        <v>16</v>
      </c>
      <c r="B17" s="71" t="s">
        <v>404</v>
      </c>
      <c r="C17" s="11" t="s">
        <v>16</v>
      </c>
      <c r="D17" s="23"/>
      <c r="E17" s="23"/>
      <c r="F17" s="23"/>
    </row>
    <row r="18" spans="1:8" ht="26.4">
      <c r="A18" s="73" t="s">
        <v>405</v>
      </c>
      <c r="B18" s="74" t="s">
        <v>406</v>
      </c>
      <c r="C18" s="75" t="s">
        <v>407</v>
      </c>
      <c r="D18" s="73"/>
      <c r="E18" s="72">
        <v>59838686129</v>
      </c>
      <c r="F18" s="72">
        <v>75921669347</v>
      </c>
    </row>
    <row r="19" spans="1:8" ht="26.4">
      <c r="A19" s="73" t="s">
        <v>408</v>
      </c>
      <c r="B19" s="74" t="s">
        <v>409</v>
      </c>
      <c r="C19" s="75" t="s">
        <v>410</v>
      </c>
      <c r="D19" s="73"/>
      <c r="E19" s="72">
        <v>59838686129</v>
      </c>
      <c r="F19" s="72">
        <v>75921669347</v>
      </c>
    </row>
    <row r="20" spans="1:8" s="79" customFormat="1" ht="26.4">
      <c r="A20" s="73" t="s">
        <v>411</v>
      </c>
      <c r="B20" s="76" t="s">
        <v>412</v>
      </c>
      <c r="C20" s="77" t="s">
        <v>413</v>
      </c>
      <c r="D20" s="73"/>
      <c r="E20" s="72">
        <v>1448301386</v>
      </c>
      <c r="F20" s="72">
        <v>747083745</v>
      </c>
      <c r="G20" s="78"/>
      <c r="H20" s="30"/>
    </row>
    <row r="21" spans="1:8" s="79" customFormat="1" ht="26.4">
      <c r="A21" s="73" t="s">
        <v>411</v>
      </c>
      <c r="B21" s="76" t="s">
        <v>414</v>
      </c>
      <c r="C21" s="77" t="s">
        <v>415</v>
      </c>
      <c r="D21" s="73"/>
      <c r="E21" s="72">
        <v>136051360</v>
      </c>
      <c r="F21" s="72">
        <v>128376390</v>
      </c>
      <c r="G21" s="78"/>
      <c r="H21" s="30"/>
    </row>
    <row r="22" spans="1:8" s="79" customFormat="1" ht="26.4">
      <c r="A22" s="73" t="s">
        <v>411</v>
      </c>
      <c r="B22" s="76" t="s">
        <v>416</v>
      </c>
      <c r="C22" s="77" t="s">
        <v>417</v>
      </c>
      <c r="D22" s="73"/>
      <c r="E22" s="72">
        <v>58254333383</v>
      </c>
      <c r="F22" s="72">
        <v>75046209212</v>
      </c>
      <c r="G22" s="78"/>
      <c r="H22" s="30"/>
    </row>
    <row r="23" spans="1:8" ht="26.4">
      <c r="A23" s="73" t="s">
        <v>411</v>
      </c>
      <c r="B23" s="76" t="s">
        <v>21</v>
      </c>
      <c r="C23" s="77" t="s">
        <v>418</v>
      </c>
      <c r="D23" s="73"/>
      <c r="E23" s="72">
        <v>0</v>
      </c>
      <c r="F23" s="72">
        <v>0</v>
      </c>
    </row>
    <row r="24" spans="1:8" ht="26.4">
      <c r="A24" s="73" t="s">
        <v>419</v>
      </c>
      <c r="B24" s="74" t="s">
        <v>420</v>
      </c>
      <c r="C24" s="75" t="s">
        <v>421</v>
      </c>
      <c r="D24" s="73"/>
      <c r="E24" s="72">
        <v>0</v>
      </c>
      <c r="F24" s="72">
        <v>0</v>
      </c>
    </row>
    <row r="25" spans="1:8" ht="26.4">
      <c r="A25" s="73" t="s">
        <v>422</v>
      </c>
      <c r="B25" s="74" t="s">
        <v>423</v>
      </c>
      <c r="C25" s="75" t="s">
        <v>424</v>
      </c>
      <c r="D25" s="73"/>
      <c r="E25" s="72">
        <v>1469077080000</v>
      </c>
      <c r="F25" s="72">
        <v>1210013434960</v>
      </c>
    </row>
    <row r="26" spans="1:8" ht="26.4">
      <c r="A26" s="73" t="s">
        <v>425</v>
      </c>
      <c r="B26" s="74" t="s">
        <v>426</v>
      </c>
      <c r="C26" s="75" t="s">
        <v>427</v>
      </c>
      <c r="D26" s="73"/>
      <c r="E26" s="72">
        <v>1469077080000</v>
      </c>
      <c r="F26" s="72">
        <v>1210013434960</v>
      </c>
    </row>
    <row r="27" spans="1:8" ht="26.4">
      <c r="A27" s="73" t="s">
        <v>411</v>
      </c>
      <c r="B27" s="76" t="s">
        <v>707</v>
      </c>
      <c r="C27" s="77" t="s">
        <v>428</v>
      </c>
      <c r="D27" s="73"/>
      <c r="E27" s="72">
        <v>1451817016000</v>
      </c>
      <c r="F27" s="72">
        <v>1049565668100</v>
      </c>
    </row>
    <row r="28" spans="1:8" ht="26.4">
      <c r="A28" s="73" t="s">
        <v>411</v>
      </c>
      <c r="B28" s="76" t="s">
        <v>708</v>
      </c>
      <c r="C28" s="77" t="s">
        <v>429</v>
      </c>
      <c r="D28" s="73"/>
      <c r="E28" s="72">
        <v>0</v>
      </c>
      <c r="F28" s="72">
        <v>0</v>
      </c>
    </row>
    <row r="29" spans="1:8" ht="26.4">
      <c r="A29" s="73" t="s">
        <v>411</v>
      </c>
      <c r="B29" s="76" t="s">
        <v>430</v>
      </c>
      <c r="C29" s="77" t="s">
        <v>431</v>
      </c>
      <c r="D29" s="73"/>
      <c r="E29" s="72">
        <v>0</v>
      </c>
      <c r="F29" s="72">
        <v>49408300000</v>
      </c>
    </row>
    <row r="30" spans="1:8" ht="26.4">
      <c r="A30" s="73" t="s">
        <v>411</v>
      </c>
      <c r="B30" s="76" t="s">
        <v>432</v>
      </c>
      <c r="C30" s="77" t="s">
        <v>433</v>
      </c>
      <c r="D30" s="73"/>
      <c r="E30" s="72">
        <v>15155514000</v>
      </c>
      <c r="F30" s="72">
        <v>111039466860</v>
      </c>
    </row>
    <row r="31" spans="1:8" ht="26.4">
      <c r="A31" s="73" t="s">
        <v>411</v>
      </c>
      <c r="B31" s="76" t="s">
        <v>711</v>
      </c>
      <c r="C31" s="77" t="s">
        <v>434</v>
      </c>
      <c r="D31" s="73"/>
      <c r="E31" s="72">
        <v>0</v>
      </c>
      <c r="F31" s="72">
        <v>0</v>
      </c>
    </row>
    <row r="32" spans="1:8" ht="26.4">
      <c r="A32" s="73" t="s">
        <v>411</v>
      </c>
      <c r="B32" s="76" t="s">
        <v>391</v>
      </c>
      <c r="C32" s="77" t="s">
        <v>435</v>
      </c>
      <c r="D32" s="73"/>
      <c r="E32" s="72">
        <v>0</v>
      </c>
      <c r="F32" s="72">
        <v>0</v>
      </c>
    </row>
    <row r="33" spans="1:6" ht="26.4">
      <c r="A33" s="73" t="s">
        <v>411</v>
      </c>
      <c r="B33" s="76" t="s">
        <v>392</v>
      </c>
      <c r="C33" s="77" t="s">
        <v>436</v>
      </c>
      <c r="D33" s="73"/>
      <c r="E33" s="72">
        <v>2104550000</v>
      </c>
      <c r="F33" s="72">
        <v>0</v>
      </c>
    </row>
    <row r="34" spans="1:6" ht="26.4">
      <c r="A34" s="73" t="s">
        <v>411</v>
      </c>
      <c r="B34" s="76" t="s">
        <v>393</v>
      </c>
      <c r="C34" s="77" t="s">
        <v>437</v>
      </c>
      <c r="D34" s="73"/>
      <c r="E34" s="72">
        <v>0</v>
      </c>
      <c r="F34" s="72">
        <v>0</v>
      </c>
    </row>
    <row r="35" spans="1:6" ht="26.4">
      <c r="A35" s="73" t="s">
        <v>411</v>
      </c>
      <c r="B35" s="76" t="s">
        <v>438</v>
      </c>
      <c r="C35" s="77" t="s">
        <v>439</v>
      </c>
      <c r="D35" s="73"/>
      <c r="E35" s="72">
        <v>0</v>
      </c>
      <c r="F35" s="72">
        <v>0</v>
      </c>
    </row>
    <row r="36" spans="1:6" ht="26.4">
      <c r="A36" s="73" t="s">
        <v>411</v>
      </c>
      <c r="B36" s="76" t="s">
        <v>394</v>
      </c>
      <c r="C36" s="77" t="s">
        <v>440</v>
      </c>
      <c r="D36" s="73"/>
      <c r="E36" s="72">
        <v>0</v>
      </c>
      <c r="F36" s="72">
        <v>0</v>
      </c>
    </row>
    <row r="37" spans="1:6" ht="26.4">
      <c r="A37" s="73" t="s">
        <v>441</v>
      </c>
      <c r="B37" s="74" t="s">
        <v>442</v>
      </c>
      <c r="C37" s="75" t="s">
        <v>443</v>
      </c>
      <c r="D37" s="73"/>
      <c r="E37" s="72">
        <v>0</v>
      </c>
      <c r="F37" s="72">
        <v>0</v>
      </c>
    </row>
    <row r="38" spans="1:6" ht="26.4">
      <c r="A38" s="73" t="s">
        <v>444</v>
      </c>
      <c r="B38" s="74" t="s">
        <v>445</v>
      </c>
      <c r="C38" s="75" t="s">
        <v>446</v>
      </c>
      <c r="D38" s="73"/>
      <c r="E38" s="72">
        <v>30655997123</v>
      </c>
      <c r="F38" s="72">
        <v>42108315411</v>
      </c>
    </row>
    <row r="39" spans="1:6" ht="26.4">
      <c r="A39" s="73" t="s">
        <v>447</v>
      </c>
      <c r="B39" s="74" t="s">
        <v>448</v>
      </c>
      <c r="C39" s="75" t="s">
        <v>449</v>
      </c>
      <c r="D39" s="73"/>
      <c r="E39" s="72">
        <v>28573030000</v>
      </c>
      <c r="F39" s="72">
        <v>36621925000</v>
      </c>
    </row>
    <row r="40" spans="1:6" ht="26.4">
      <c r="A40" s="73" t="s">
        <v>411</v>
      </c>
      <c r="B40" s="76" t="s">
        <v>450</v>
      </c>
      <c r="C40" s="77" t="s">
        <v>451</v>
      </c>
      <c r="D40" s="73"/>
      <c r="E40" s="72">
        <v>0</v>
      </c>
      <c r="F40" s="72">
        <v>0</v>
      </c>
    </row>
    <row r="41" spans="1:6" ht="26.4">
      <c r="A41" s="73" t="s">
        <v>452</v>
      </c>
      <c r="B41" s="74" t="s">
        <v>453</v>
      </c>
      <c r="C41" s="75" t="s">
        <v>454</v>
      </c>
      <c r="D41" s="73"/>
      <c r="E41" s="72">
        <v>2949367123</v>
      </c>
      <c r="F41" s="72">
        <v>6352790411</v>
      </c>
    </row>
    <row r="42" spans="1:6" ht="26.4">
      <c r="A42" s="73" t="s">
        <v>455</v>
      </c>
      <c r="B42" s="74" t="s">
        <v>456</v>
      </c>
      <c r="C42" s="75" t="s">
        <v>457</v>
      </c>
      <c r="D42" s="73"/>
      <c r="E42" s="72">
        <v>866400000</v>
      </c>
      <c r="F42" s="72">
        <v>866400000</v>
      </c>
    </row>
    <row r="43" spans="1:6" ht="26.4">
      <c r="A43" s="73" t="s">
        <v>411</v>
      </c>
      <c r="B43" s="76" t="s">
        <v>395</v>
      </c>
      <c r="C43" s="77" t="s">
        <v>458</v>
      </c>
      <c r="D43" s="73"/>
      <c r="E43" s="72">
        <v>866400000</v>
      </c>
      <c r="F43" s="72">
        <v>866400000</v>
      </c>
    </row>
    <row r="44" spans="1:6" ht="26.4">
      <c r="A44" s="73" t="s">
        <v>411</v>
      </c>
      <c r="B44" s="76" t="s">
        <v>396</v>
      </c>
      <c r="C44" s="77" t="s">
        <v>459</v>
      </c>
      <c r="D44" s="73"/>
      <c r="E44" s="72">
        <v>0</v>
      </c>
      <c r="F44" s="72">
        <v>0</v>
      </c>
    </row>
    <row r="45" spans="1:6" ht="26.4">
      <c r="A45" s="73" t="s">
        <v>411</v>
      </c>
      <c r="B45" s="76" t="s">
        <v>460</v>
      </c>
      <c r="C45" s="77" t="s">
        <v>461</v>
      </c>
      <c r="D45" s="73"/>
      <c r="E45" s="72">
        <v>0</v>
      </c>
      <c r="F45" s="72">
        <v>0</v>
      </c>
    </row>
    <row r="46" spans="1:6" ht="26.4">
      <c r="A46" s="73" t="s">
        <v>411</v>
      </c>
      <c r="B46" s="76" t="s">
        <v>462</v>
      </c>
      <c r="C46" s="77" t="s">
        <v>463</v>
      </c>
      <c r="D46" s="73"/>
      <c r="E46" s="72">
        <v>0</v>
      </c>
      <c r="F46" s="72">
        <v>0</v>
      </c>
    </row>
    <row r="47" spans="1:6" ht="26.4">
      <c r="A47" s="73" t="s">
        <v>411</v>
      </c>
      <c r="B47" s="76" t="s">
        <v>714</v>
      </c>
      <c r="C47" s="77" t="s">
        <v>464</v>
      </c>
      <c r="D47" s="73"/>
      <c r="E47" s="72">
        <v>0</v>
      </c>
      <c r="F47" s="72">
        <v>0</v>
      </c>
    </row>
    <row r="48" spans="1:6" ht="26.4">
      <c r="A48" s="73" t="s">
        <v>411</v>
      </c>
      <c r="B48" s="74" t="s">
        <v>465</v>
      </c>
      <c r="C48" s="75" t="s">
        <v>466</v>
      </c>
      <c r="D48" s="73"/>
      <c r="E48" s="72">
        <v>866400000</v>
      </c>
      <c r="F48" s="72">
        <v>866400000</v>
      </c>
    </row>
    <row r="49" spans="1:8" ht="26.4">
      <c r="A49" s="73" t="s">
        <v>467</v>
      </c>
      <c r="B49" s="74" t="s">
        <v>468</v>
      </c>
      <c r="C49" s="75" t="s">
        <v>469</v>
      </c>
      <c r="D49" s="73"/>
      <c r="E49" s="72">
        <v>2082967123</v>
      </c>
      <c r="F49" s="72">
        <v>5486390411</v>
      </c>
    </row>
    <row r="50" spans="1:8" ht="26.4">
      <c r="A50" s="73" t="s">
        <v>411</v>
      </c>
      <c r="B50" s="76" t="s">
        <v>470</v>
      </c>
      <c r="C50" s="77" t="s">
        <v>471</v>
      </c>
      <c r="D50" s="73"/>
      <c r="E50" s="72">
        <v>1994200000</v>
      </c>
      <c r="F50" s="72">
        <v>2830500000</v>
      </c>
    </row>
    <row r="51" spans="1:8" ht="26.4">
      <c r="A51" s="73" t="s">
        <v>411</v>
      </c>
      <c r="B51" s="76" t="s">
        <v>472</v>
      </c>
      <c r="C51" s="77" t="s">
        <v>473</v>
      </c>
      <c r="D51" s="73"/>
      <c r="E51" s="72">
        <v>88767123</v>
      </c>
      <c r="F51" s="72">
        <v>2655890411</v>
      </c>
    </row>
    <row r="52" spans="1:8" ht="26.4">
      <c r="A52" s="73" t="s">
        <v>411</v>
      </c>
      <c r="B52" s="76" t="s">
        <v>474</v>
      </c>
      <c r="C52" s="77" t="s">
        <v>475</v>
      </c>
      <c r="D52" s="73"/>
      <c r="E52" s="72">
        <v>0</v>
      </c>
      <c r="F52" s="72">
        <v>0</v>
      </c>
    </row>
    <row r="53" spans="1:8" ht="26.4">
      <c r="A53" s="73" t="s">
        <v>411</v>
      </c>
      <c r="B53" s="76" t="s">
        <v>476</v>
      </c>
      <c r="C53" s="77" t="s">
        <v>477</v>
      </c>
      <c r="D53" s="73"/>
      <c r="E53" s="72">
        <v>0</v>
      </c>
      <c r="F53" s="72">
        <v>0</v>
      </c>
    </row>
    <row r="54" spans="1:8" ht="26.4">
      <c r="A54" s="73" t="s">
        <v>411</v>
      </c>
      <c r="B54" s="76" t="s">
        <v>715</v>
      </c>
      <c r="C54" s="77" t="s">
        <v>478</v>
      </c>
      <c r="D54" s="73"/>
      <c r="E54" s="72">
        <v>0</v>
      </c>
      <c r="F54" s="72">
        <v>0</v>
      </c>
    </row>
    <row r="55" spans="1:8" ht="26.4">
      <c r="A55" s="73" t="s">
        <v>411</v>
      </c>
      <c r="B55" s="76" t="s">
        <v>479</v>
      </c>
      <c r="C55" s="77" t="s">
        <v>480</v>
      </c>
      <c r="D55" s="73"/>
      <c r="E55" s="72">
        <v>0</v>
      </c>
      <c r="F55" s="72">
        <v>0</v>
      </c>
    </row>
    <row r="56" spans="1:8" ht="26.4">
      <c r="A56" s="73" t="s">
        <v>481</v>
      </c>
      <c r="B56" s="74" t="s">
        <v>482</v>
      </c>
      <c r="C56" s="75" t="s">
        <v>483</v>
      </c>
      <c r="D56" s="73"/>
      <c r="E56" s="72">
        <v>0</v>
      </c>
      <c r="F56" s="72">
        <v>0</v>
      </c>
    </row>
    <row r="57" spans="1:8" s="79" customFormat="1" ht="26.4">
      <c r="A57" s="73" t="s">
        <v>411</v>
      </c>
      <c r="B57" s="76" t="s">
        <v>484</v>
      </c>
      <c r="C57" s="77" t="s">
        <v>485</v>
      </c>
      <c r="D57" s="73"/>
      <c r="E57" s="72">
        <v>0</v>
      </c>
      <c r="F57" s="72">
        <v>0</v>
      </c>
      <c r="G57" s="78"/>
      <c r="H57" s="30"/>
    </row>
    <row r="58" spans="1:8" ht="26.4">
      <c r="A58" s="73" t="s">
        <v>411</v>
      </c>
      <c r="B58" s="76" t="s">
        <v>486</v>
      </c>
      <c r="C58" s="77" t="s">
        <v>487</v>
      </c>
      <c r="D58" s="73"/>
      <c r="E58" s="72">
        <v>0</v>
      </c>
      <c r="F58" s="72">
        <v>0</v>
      </c>
    </row>
    <row r="59" spans="1:8" ht="26.4">
      <c r="A59" s="73" t="s">
        <v>411</v>
      </c>
      <c r="B59" s="76" t="s">
        <v>488</v>
      </c>
      <c r="C59" s="77" t="s">
        <v>489</v>
      </c>
      <c r="D59" s="73"/>
      <c r="E59" s="72">
        <v>0</v>
      </c>
      <c r="F59" s="72">
        <v>0</v>
      </c>
    </row>
    <row r="60" spans="1:8" ht="26.4">
      <c r="A60" s="73" t="s">
        <v>490</v>
      </c>
      <c r="B60" s="74" t="s">
        <v>491</v>
      </c>
      <c r="C60" s="75" t="s">
        <v>492</v>
      </c>
      <c r="D60" s="73"/>
      <c r="E60" s="72">
        <v>-866400000</v>
      </c>
      <c r="F60" s="72">
        <v>-866400000</v>
      </c>
    </row>
    <row r="61" spans="1:8" ht="26.4">
      <c r="A61" s="16" t="s">
        <v>411</v>
      </c>
      <c r="B61" s="71" t="s">
        <v>397</v>
      </c>
      <c r="C61" s="11" t="s">
        <v>493</v>
      </c>
      <c r="D61" s="23"/>
      <c r="E61" s="23">
        <v>1559571763252</v>
      </c>
      <c r="F61" s="23">
        <v>1328043419718</v>
      </c>
    </row>
    <row r="62" spans="1:8" ht="26.4">
      <c r="A62" s="16" t="s">
        <v>22</v>
      </c>
      <c r="B62" s="71" t="s">
        <v>494</v>
      </c>
      <c r="C62" s="11" t="s">
        <v>22</v>
      </c>
      <c r="D62" s="23"/>
      <c r="E62" s="23"/>
      <c r="F62" s="23"/>
    </row>
    <row r="63" spans="1:8" ht="26.4">
      <c r="A63" s="73" t="s">
        <v>405</v>
      </c>
      <c r="B63" s="74" t="s">
        <v>495</v>
      </c>
      <c r="C63" s="75" t="s">
        <v>496</v>
      </c>
      <c r="D63" s="73"/>
      <c r="E63" s="72">
        <v>0</v>
      </c>
      <c r="F63" s="72">
        <v>0</v>
      </c>
    </row>
    <row r="64" spans="1:8" ht="26.4">
      <c r="A64" s="73" t="s">
        <v>411</v>
      </c>
      <c r="B64" s="76" t="s">
        <v>497</v>
      </c>
      <c r="C64" s="77" t="s">
        <v>498</v>
      </c>
      <c r="D64" s="73"/>
      <c r="E64" s="72">
        <v>0</v>
      </c>
      <c r="F64" s="72">
        <v>0</v>
      </c>
    </row>
    <row r="65" spans="1:6" ht="26.4">
      <c r="A65" s="73" t="s">
        <v>411</v>
      </c>
      <c r="B65" s="76" t="s">
        <v>499</v>
      </c>
      <c r="C65" s="77" t="s">
        <v>500</v>
      </c>
      <c r="D65" s="73"/>
      <c r="E65" s="72">
        <v>0</v>
      </c>
      <c r="F65" s="72">
        <v>0</v>
      </c>
    </row>
    <row r="66" spans="1:6" ht="26.4">
      <c r="A66" s="73" t="s">
        <v>422</v>
      </c>
      <c r="B66" s="74" t="s">
        <v>501</v>
      </c>
      <c r="C66" s="75" t="s">
        <v>502</v>
      </c>
      <c r="D66" s="73"/>
      <c r="E66" s="72">
        <v>43686305000</v>
      </c>
      <c r="F66" s="72">
        <v>52333345000</v>
      </c>
    </row>
    <row r="67" spans="1:6" ht="26.4">
      <c r="A67" s="73" t="s">
        <v>444</v>
      </c>
      <c r="B67" s="74" t="s">
        <v>503</v>
      </c>
      <c r="C67" s="75" t="s">
        <v>504</v>
      </c>
      <c r="D67" s="73"/>
      <c r="E67" s="72">
        <v>210829151</v>
      </c>
      <c r="F67" s="72">
        <v>309689895</v>
      </c>
    </row>
    <row r="68" spans="1:6" ht="26.4">
      <c r="A68" s="73" t="s">
        <v>411</v>
      </c>
      <c r="B68" s="76" t="s">
        <v>505</v>
      </c>
      <c r="C68" s="77" t="s">
        <v>506</v>
      </c>
      <c r="D68" s="73"/>
      <c r="E68" s="72">
        <v>6835448</v>
      </c>
      <c r="F68" s="72">
        <v>6835448</v>
      </c>
    </row>
    <row r="69" spans="1:6" ht="26.4">
      <c r="A69" s="73" t="s">
        <v>411</v>
      </c>
      <c r="B69" s="76" t="s">
        <v>507</v>
      </c>
      <c r="C69" s="77" t="s">
        <v>508</v>
      </c>
      <c r="D69" s="73"/>
      <c r="E69" s="72">
        <v>203993703</v>
      </c>
      <c r="F69" s="72">
        <v>302854447</v>
      </c>
    </row>
    <row r="70" spans="1:6" ht="26.4">
      <c r="A70" s="73" t="s">
        <v>509</v>
      </c>
      <c r="B70" s="74" t="s">
        <v>510</v>
      </c>
      <c r="C70" s="75" t="s">
        <v>511</v>
      </c>
      <c r="D70" s="73"/>
      <c r="E70" s="72">
        <v>24333177</v>
      </c>
      <c r="F70" s="72">
        <v>9310080</v>
      </c>
    </row>
    <row r="71" spans="1:6" ht="26.4">
      <c r="A71" s="73" t="s">
        <v>512</v>
      </c>
      <c r="B71" s="74" t="s">
        <v>513</v>
      </c>
      <c r="C71" s="75" t="s">
        <v>514</v>
      </c>
      <c r="D71" s="73"/>
      <c r="E71" s="72">
        <v>39925000</v>
      </c>
      <c r="F71" s="72">
        <v>39925000</v>
      </c>
    </row>
    <row r="72" spans="1:6" ht="26.4">
      <c r="A72" s="73" t="s">
        <v>515</v>
      </c>
      <c r="B72" s="74" t="s">
        <v>516</v>
      </c>
      <c r="C72" s="75" t="s">
        <v>517</v>
      </c>
      <c r="D72" s="73"/>
      <c r="E72" s="72">
        <v>260004523</v>
      </c>
      <c r="F72" s="72">
        <v>371568430</v>
      </c>
    </row>
    <row r="73" spans="1:6" ht="26.4">
      <c r="A73" s="73" t="s">
        <v>411</v>
      </c>
      <c r="B73" s="76" t="s">
        <v>400</v>
      </c>
      <c r="C73" s="77" t="s">
        <v>518</v>
      </c>
      <c r="D73" s="73"/>
      <c r="E73" s="72">
        <v>133524523</v>
      </c>
      <c r="F73" s="72">
        <v>158568430</v>
      </c>
    </row>
    <row r="74" spans="1:6" ht="26.4">
      <c r="A74" s="73" t="s">
        <v>411</v>
      </c>
      <c r="B74" s="76" t="s">
        <v>519</v>
      </c>
      <c r="C74" s="77" t="s">
        <v>520</v>
      </c>
      <c r="D74" s="73"/>
      <c r="E74" s="72">
        <v>133524523</v>
      </c>
      <c r="F74" s="72">
        <v>158568430</v>
      </c>
    </row>
    <row r="75" spans="1:6" ht="26.4">
      <c r="A75" s="73" t="s">
        <v>411</v>
      </c>
      <c r="B75" s="76" t="s">
        <v>521</v>
      </c>
      <c r="C75" s="77" t="s">
        <v>522</v>
      </c>
      <c r="D75" s="73"/>
      <c r="E75" s="72">
        <v>0</v>
      </c>
      <c r="F75" s="72">
        <v>0</v>
      </c>
    </row>
    <row r="76" spans="1:6" ht="26.4">
      <c r="A76" s="73" t="s">
        <v>411</v>
      </c>
      <c r="B76" s="76" t="s">
        <v>523</v>
      </c>
      <c r="C76" s="77" t="s">
        <v>524</v>
      </c>
      <c r="D76" s="73"/>
      <c r="E76" s="72">
        <v>102480000</v>
      </c>
      <c r="F76" s="72">
        <v>189000000</v>
      </c>
    </row>
    <row r="77" spans="1:6" ht="26.4">
      <c r="A77" s="73" t="s">
        <v>411</v>
      </c>
      <c r="B77" s="76" t="s">
        <v>525</v>
      </c>
      <c r="C77" s="77" t="s">
        <v>526</v>
      </c>
      <c r="D77" s="73"/>
      <c r="E77" s="72">
        <v>0</v>
      </c>
      <c r="F77" s="72">
        <v>0</v>
      </c>
    </row>
    <row r="78" spans="1:6" ht="26.4">
      <c r="A78" s="73" t="s">
        <v>411</v>
      </c>
      <c r="B78" s="76" t="s">
        <v>527</v>
      </c>
      <c r="C78" s="77" t="s">
        <v>528</v>
      </c>
      <c r="D78" s="73"/>
      <c r="E78" s="72">
        <v>0</v>
      </c>
      <c r="F78" s="72">
        <v>0</v>
      </c>
    </row>
    <row r="79" spans="1:6" ht="26.4">
      <c r="A79" s="73" t="s">
        <v>411</v>
      </c>
      <c r="B79" s="76" t="s">
        <v>529</v>
      </c>
      <c r="C79" s="77" t="s">
        <v>530</v>
      </c>
      <c r="D79" s="73"/>
      <c r="E79" s="72">
        <v>24000000</v>
      </c>
      <c r="F79" s="72">
        <v>24000000</v>
      </c>
    </row>
    <row r="80" spans="1:6" ht="26.4">
      <c r="A80" s="73" t="s">
        <v>411</v>
      </c>
      <c r="B80" s="76" t="s">
        <v>531</v>
      </c>
      <c r="C80" s="77" t="s">
        <v>532</v>
      </c>
      <c r="D80" s="73"/>
      <c r="E80" s="72">
        <v>0</v>
      </c>
      <c r="F80" s="72">
        <v>0</v>
      </c>
    </row>
    <row r="81" spans="1:6" ht="26.4">
      <c r="A81" s="73" t="s">
        <v>411</v>
      </c>
      <c r="B81" s="76" t="s">
        <v>533</v>
      </c>
      <c r="C81" s="77" t="s">
        <v>534</v>
      </c>
      <c r="D81" s="73"/>
      <c r="E81" s="72">
        <v>0</v>
      </c>
      <c r="F81" s="72">
        <v>0</v>
      </c>
    </row>
    <row r="82" spans="1:6" ht="26.4">
      <c r="A82" s="73" t="s">
        <v>535</v>
      </c>
      <c r="B82" s="74" t="s">
        <v>536</v>
      </c>
      <c r="C82" s="75" t="s">
        <v>537</v>
      </c>
      <c r="D82" s="73"/>
      <c r="E82" s="72">
        <v>1448301386</v>
      </c>
      <c r="F82" s="72">
        <v>747083745</v>
      </c>
    </row>
    <row r="83" spans="1:6" ht="26.4">
      <c r="A83" s="73" t="s">
        <v>411</v>
      </c>
      <c r="B83" s="76" t="s">
        <v>398</v>
      </c>
      <c r="C83" s="77" t="s">
        <v>538</v>
      </c>
      <c r="D83" s="73"/>
      <c r="E83" s="72">
        <v>1448301386</v>
      </c>
      <c r="F83" s="72">
        <v>747083745</v>
      </c>
    </row>
    <row r="84" spans="1:6" ht="26.4">
      <c r="A84" s="73" t="s">
        <v>411</v>
      </c>
      <c r="B84" s="76" t="s">
        <v>399</v>
      </c>
      <c r="C84" s="77" t="s">
        <v>539</v>
      </c>
      <c r="D84" s="73"/>
      <c r="E84" s="72">
        <v>0</v>
      </c>
      <c r="F84" s="72">
        <v>0</v>
      </c>
    </row>
    <row r="85" spans="1:6" ht="26.4">
      <c r="A85" s="73" t="s">
        <v>540</v>
      </c>
      <c r="B85" s="74" t="s">
        <v>541</v>
      </c>
      <c r="C85" s="75" t="s">
        <v>542</v>
      </c>
      <c r="D85" s="73"/>
      <c r="E85" s="72">
        <v>4628656017</v>
      </c>
      <c r="F85" s="72">
        <v>10348162724</v>
      </c>
    </row>
    <row r="86" spans="1:6" ht="26.4">
      <c r="A86" s="73" t="s">
        <v>543</v>
      </c>
      <c r="B86" s="74" t="s">
        <v>544</v>
      </c>
      <c r="C86" s="75" t="s">
        <v>545</v>
      </c>
      <c r="D86" s="73"/>
      <c r="E86" s="72">
        <v>2656313886</v>
      </c>
      <c r="F86" s="72">
        <v>2350637319</v>
      </c>
    </row>
    <row r="87" spans="1:6" ht="26.4">
      <c r="A87" s="73" t="s">
        <v>411</v>
      </c>
      <c r="B87" s="76" t="s">
        <v>546</v>
      </c>
      <c r="C87" s="77" t="s">
        <v>547</v>
      </c>
      <c r="D87" s="73"/>
      <c r="E87" s="72">
        <v>2448036416</v>
      </c>
      <c r="F87" s="72">
        <v>2150379709</v>
      </c>
    </row>
    <row r="88" spans="1:6" ht="26.4">
      <c r="A88" s="73" t="s">
        <v>411</v>
      </c>
      <c r="B88" s="76" t="s">
        <v>548</v>
      </c>
      <c r="C88" s="77" t="s">
        <v>549</v>
      </c>
      <c r="D88" s="73"/>
      <c r="E88" s="72">
        <v>105316133</v>
      </c>
      <c r="F88" s="72">
        <v>108210352</v>
      </c>
    </row>
    <row r="89" spans="1:6" ht="26.4">
      <c r="A89" s="73" t="s">
        <v>411</v>
      </c>
      <c r="B89" s="76" t="s">
        <v>25</v>
      </c>
      <c r="C89" s="77" t="s">
        <v>550</v>
      </c>
      <c r="D89" s="73"/>
      <c r="E89" s="72">
        <v>50216133</v>
      </c>
      <c r="F89" s="72">
        <v>44110352</v>
      </c>
    </row>
    <row r="90" spans="1:6" ht="26.4">
      <c r="A90" s="73" t="s">
        <v>411</v>
      </c>
      <c r="B90" s="76" t="s">
        <v>37</v>
      </c>
      <c r="C90" s="77" t="s">
        <v>551</v>
      </c>
      <c r="D90" s="73"/>
      <c r="E90" s="72">
        <v>44100000</v>
      </c>
      <c r="F90" s="72">
        <v>64100000</v>
      </c>
    </row>
    <row r="91" spans="1:6" ht="26.4">
      <c r="A91" s="73" t="s">
        <v>411</v>
      </c>
      <c r="B91" s="76" t="s">
        <v>716</v>
      </c>
      <c r="C91" s="77" t="s">
        <v>552</v>
      </c>
      <c r="D91" s="73"/>
      <c r="E91" s="72">
        <v>11000000</v>
      </c>
      <c r="F91" s="72">
        <v>0</v>
      </c>
    </row>
    <row r="92" spans="1:6" ht="26.4">
      <c r="A92" s="73" t="s">
        <v>411</v>
      </c>
      <c r="B92" s="76" t="s">
        <v>553</v>
      </c>
      <c r="C92" s="77" t="s">
        <v>554</v>
      </c>
      <c r="D92" s="73"/>
      <c r="E92" s="72">
        <v>34523592</v>
      </c>
      <c r="F92" s="72">
        <v>30325868</v>
      </c>
    </row>
    <row r="93" spans="1:6" ht="26.4">
      <c r="A93" s="73" t="s">
        <v>411</v>
      </c>
      <c r="B93" s="76" t="s">
        <v>555</v>
      </c>
      <c r="C93" s="77" t="s">
        <v>556</v>
      </c>
      <c r="D93" s="73"/>
      <c r="E93" s="72">
        <v>55237745</v>
      </c>
      <c r="F93" s="72">
        <v>48521390</v>
      </c>
    </row>
    <row r="94" spans="1:6" ht="26.4">
      <c r="A94" s="73" t="s">
        <v>411</v>
      </c>
      <c r="B94" s="76" t="s">
        <v>557</v>
      </c>
      <c r="C94" s="77" t="s">
        <v>558</v>
      </c>
      <c r="D94" s="73"/>
      <c r="E94" s="72">
        <v>13200000</v>
      </c>
      <c r="F94" s="72">
        <v>13200000</v>
      </c>
    </row>
    <row r="95" spans="1:6" ht="26.4">
      <c r="A95" s="73" t="s">
        <v>411</v>
      </c>
      <c r="B95" s="76" t="s">
        <v>559</v>
      </c>
      <c r="C95" s="77" t="s">
        <v>560</v>
      </c>
      <c r="D95" s="73"/>
      <c r="E95" s="72">
        <v>0</v>
      </c>
      <c r="F95" s="72">
        <v>0</v>
      </c>
    </row>
    <row r="96" spans="1:6" ht="26.4">
      <c r="A96" s="73" t="s">
        <v>411</v>
      </c>
      <c r="B96" s="76" t="s">
        <v>561</v>
      </c>
      <c r="C96" s="77" t="s">
        <v>562</v>
      </c>
      <c r="D96" s="73"/>
      <c r="E96" s="72">
        <v>0</v>
      </c>
      <c r="F96" s="72">
        <v>0</v>
      </c>
    </row>
    <row r="97" spans="1:6" ht="26.4">
      <c r="A97" s="73" t="s">
        <v>183</v>
      </c>
      <c r="B97" s="74" t="s">
        <v>563</v>
      </c>
      <c r="C97" s="75" t="s">
        <v>564</v>
      </c>
      <c r="D97" s="73"/>
      <c r="E97" s="72">
        <v>207174216</v>
      </c>
      <c r="F97" s="72">
        <v>227852829</v>
      </c>
    </row>
    <row r="98" spans="1:6" ht="26.4">
      <c r="A98" s="73" t="s">
        <v>411</v>
      </c>
      <c r="B98" s="76" t="s">
        <v>402</v>
      </c>
      <c r="C98" s="77" t="s">
        <v>565</v>
      </c>
      <c r="D98" s="73"/>
      <c r="E98" s="72">
        <v>23500000</v>
      </c>
      <c r="F98" s="72">
        <v>0</v>
      </c>
    </row>
    <row r="99" spans="1:6" ht="26.4">
      <c r="A99" s="73" t="s">
        <v>411</v>
      </c>
      <c r="B99" s="76" t="s">
        <v>403</v>
      </c>
      <c r="C99" s="77" t="s">
        <v>566</v>
      </c>
      <c r="D99" s="73"/>
      <c r="E99" s="72">
        <v>0</v>
      </c>
      <c r="F99" s="72">
        <v>0</v>
      </c>
    </row>
    <row r="100" spans="1:6" ht="26.4">
      <c r="A100" s="73" t="s">
        <v>411</v>
      </c>
      <c r="B100" s="76" t="s">
        <v>567</v>
      </c>
      <c r="C100" s="77" t="s">
        <v>568</v>
      </c>
      <c r="D100" s="73"/>
      <c r="E100" s="72">
        <v>0</v>
      </c>
      <c r="F100" s="72">
        <v>0</v>
      </c>
    </row>
    <row r="101" spans="1:6" ht="26.4">
      <c r="A101" s="73" t="s">
        <v>411</v>
      </c>
      <c r="B101" s="76" t="s">
        <v>569</v>
      </c>
      <c r="C101" s="77" t="s">
        <v>570</v>
      </c>
      <c r="D101" s="73"/>
      <c r="E101" s="72">
        <v>7191250</v>
      </c>
      <c r="F101" s="72">
        <v>0</v>
      </c>
    </row>
    <row r="102" spans="1:6" ht="26.4">
      <c r="A102" s="73" t="s">
        <v>411</v>
      </c>
      <c r="B102" s="76" t="s">
        <v>401</v>
      </c>
      <c r="C102" s="77" t="s">
        <v>571</v>
      </c>
      <c r="D102" s="73"/>
      <c r="E102" s="72">
        <v>176482966</v>
      </c>
      <c r="F102" s="72">
        <v>227852829</v>
      </c>
    </row>
    <row r="103" spans="1:6" ht="26.4">
      <c r="A103" s="16" t="s">
        <v>411</v>
      </c>
      <c r="B103" s="71" t="s">
        <v>572</v>
      </c>
      <c r="C103" s="11" t="s">
        <v>573</v>
      </c>
      <c r="D103" s="23"/>
      <c r="E103" s="23">
        <v>53161842356</v>
      </c>
      <c r="F103" s="23">
        <v>66737575022</v>
      </c>
    </row>
    <row r="104" spans="1:6" ht="39.6">
      <c r="A104" s="16" t="s">
        <v>28</v>
      </c>
      <c r="B104" s="71" t="s">
        <v>574</v>
      </c>
      <c r="C104" s="11" t="s">
        <v>575</v>
      </c>
      <c r="D104" s="23"/>
      <c r="E104" s="23">
        <v>1506409920896</v>
      </c>
      <c r="F104" s="23">
        <v>1261305844696</v>
      </c>
    </row>
    <row r="105" spans="1:6" ht="26.4">
      <c r="A105" s="73" t="s">
        <v>405</v>
      </c>
      <c r="B105" s="74" t="s">
        <v>576</v>
      </c>
      <c r="C105" s="75" t="s">
        <v>577</v>
      </c>
      <c r="D105" s="73"/>
      <c r="E105" s="72">
        <v>229208425100</v>
      </c>
      <c r="F105" s="72">
        <v>244762721400</v>
      </c>
    </row>
    <row r="106" spans="1:6" ht="26.4">
      <c r="A106" s="73" t="s">
        <v>408</v>
      </c>
      <c r="B106" s="74" t="s">
        <v>578</v>
      </c>
      <c r="C106" s="75" t="s">
        <v>579</v>
      </c>
      <c r="D106" s="73"/>
      <c r="E106" s="72">
        <v>1934438726700</v>
      </c>
      <c r="F106" s="72">
        <v>1891358278900</v>
      </c>
    </row>
    <row r="107" spans="1:6" ht="26.4">
      <c r="A107" s="73" t="s">
        <v>419</v>
      </c>
      <c r="B107" s="74" t="s">
        <v>580</v>
      </c>
      <c r="C107" s="75" t="s">
        <v>581</v>
      </c>
      <c r="D107" s="73"/>
      <c r="E107" s="72">
        <v>-1705230301600</v>
      </c>
      <c r="F107" s="72">
        <v>-1646595557500</v>
      </c>
    </row>
    <row r="108" spans="1:6" ht="26.4">
      <c r="A108" s="73" t="s">
        <v>422</v>
      </c>
      <c r="B108" s="74" t="s">
        <v>582</v>
      </c>
      <c r="C108" s="75" t="s">
        <v>583</v>
      </c>
      <c r="D108" s="73"/>
      <c r="E108" s="72">
        <v>927055382633</v>
      </c>
      <c r="F108" s="72">
        <v>993157809241</v>
      </c>
    </row>
    <row r="109" spans="1:6" ht="26.4">
      <c r="A109" s="73" t="s">
        <v>444</v>
      </c>
      <c r="B109" s="74" t="s">
        <v>584</v>
      </c>
      <c r="C109" s="75" t="s">
        <v>585</v>
      </c>
      <c r="D109" s="73"/>
      <c r="E109" s="72">
        <v>350146113163</v>
      </c>
      <c r="F109" s="72">
        <v>23385314055</v>
      </c>
    </row>
    <row r="110" spans="1:6" ht="26.4">
      <c r="A110" s="73" t="s">
        <v>447</v>
      </c>
      <c r="B110" s="74" t="s">
        <v>586</v>
      </c>
      <c r="C110" s="75" t="s">
        <v>587</v>
      </c>
      <c r="D110" s="73"/>
      <c r="E110" s="72">
        <v>23385314055</v>
      </c>
      <c r="F110" s="72">
        <v>689197139614</v>
      </c>
    </row>
    <row r="111" spans="1:6" ht="26.4">
      <c r="A111" s="73" t="s">
        <v>452</v>
      </c>
      <c r="B111" s="74" t="s">
        <v>588</v>
      </c>
      <c r="C111" s="75" t="s">
        <v>589</v>
      </c>
      <c r="D111" s="73"/>
      <c r="E111" s="72">
        <v>326760799108</v>
      </c>
      <c r="F111" s="72">
        <v>-665811825559</v>
      </c>
    </row>
    <row r="112" spans="1:6" ht="39.6">
      <c r="A112" s="16" t="s">
        <v>29</v>
      </c>
      <c r="B112" s="71" t="s">
        <v>590</v>
      </c>
      <c r="C112" s="11" t="s">
        <v>591</v>
      </c>
      <c r="D112" s="23"/>
      <c r="E112" s="83">
        <v>65722.27</v>
      </c>
      <c r="F112" s="83">
        <v>51531.77</v>
      </c>
    </row>
    <row r="113" spans="1:7" ht="26.4">
      <c r="A113" s="16" t="s">
        <v>30</v>
      </c>
      <c r="B113" s="71" t="s">
        <v>592</v>
      </c>
      <c r="C113" s="11" t="s">
        <v>593</v>
      </c>
      <c r="D113" s="23"/>
      <c r="E113" s="23">
        <v>0</v>
      </c>
      <c r="F113" s="23">
        <v>0</v>
      </c>
    </row>
    <row r="114" spans="1:7" ht="26.4">
      <c r="A114" s="73" t="s">
        <v>405</v>
      </c>
      <c r="B114" s="74" t="s">
        <v>594</v>
      </c>
      <c r="C114" s="75" t="s">
        <v>595</v>
      </c>
      <c r="D114" s="73"/>
      <c r="E114" s="72">
        <v>0</v>
      </c>
      <c r="F114" s="72">
        <v>0</v>
      </c>
    </row>
    <row r="115" spans="1:7" ht="26.4">
      <c r="A115" s="73" t="s">
        <v>422</v>
      </c>
      <c r="B115" s="74" t="s">
        <v>596</v>
      </c>
      <c r="C115" s="75" t="s">
        <v>597</v>
      </c>
      <c r="D115" s="73"/>
      <c r="E115" s="72">
        <v>0</v>
      </c>
      <c r="F115" s="72">
        <v>0</v>
      </c>
    </row>
    <row r="116" spans="1:7" ht="26.4">
      <c r="A116" s="16" t="s">
        <v>31</v>
      </c>
      <c r="B116" s="71" t="s">
        <v>598</v>
      </c>
      <c r="C116" s="11" t="s">
        <v>31</v>
      </c>
      <c r="D116" s="23"/>
      <c r="E116" s="23"/>
      <c r="F116" s="23"/>
    </row>
    <row r="117" spans="1:7" ht="26.4">
      <c r="A117" s="73" t="s">
        <v>405</v>
      </c>
      <c r="B117" s="74" t="s">
        <v>599</v>
      </c>
      <c r="C117" s="75" t="s">
        <v>600</v>
      </c>
      <c r="D117" s="73"/>
      <c r="E117" s="72">
        <v>0</v>
      </c>
      <c r="F117" s="72">
        <v>0</v>
      </c>
    </row>
    <row r="118" spans="1:7" ht="26.4">
      <c r="A118" s="73" t="s">
        <v>422</v>
      </c>
      <c r="B118" s="74" t="s">
        <v>601</v>
      </c>
      <c r="C118" s="75" t="s">
        <v>602</v>
      </c>
      <c r="D118" s="73"/>
      <c r="E118" s="72">
        <v>0</v>
      </c>
      <c r="F118" s="72">
        <v>0</v>
      </c>
    </row>
    <row r="119" spans="1:7" ht="26.4">
      <c r="A119" s="73" t="s">
        <v>444</v>
      </c>
      <c r="B119" s="74" t="s">
        <v>603</v>
      </c>
      <c r="C119" s="75" t="s">
        <v>604</v>
      </c>
      <c r="D119" s="73"/>
      <c r="E119" s="72">
        <v>0</v>
      </c>
      <c r="F119" s="72">
        <v>0</v>
      </c>
    </row>
    <row r="120" spans="1:7" ht="26.4">
      <c r="A120" s="80" t="s">
        <v>509</v>
      </c>
      <c r="B120" s="81" t="s">
        <v>605</v>
      </c>
      <c r="C120" s="75" t="s">
        <v>606</v>
      </c>
      <c r="D120" s="80"/>
      <c r="E120" s="82">
        <v>22920842.510000002</v>
      </c>
      <c r="F120" s="82">
        <v>24476272.140000001</v>
      </c>
    </row>
    <row r="121" spans="1:7" s="38" customFormat="1">
      <c r="A121" s="15"/>
      <c r="B121" s="15"/>
      <c r="C121" s="15"/>
      <c r="D121" s="15"/>
      <c r="E121" s="15"/>
      <c r="F121" s="15"/>
      <c r="G121" s="2"/>
    </row>
    <row r="123" spans="1:7" ht="16.95" customHeight="1">
      <c r="A123" s="271" t="s">
        <v>249</v>
      </c>
      <c r="B123" s="271"/>
      <c r="C123" s="271" t="s">
        <v>250</v>
      </c>
      <c r="D123" s="271"/>
      <c r="E123" s="271"/>
      <c r="F123" s="271"/>
    </row>
    <row r="136" spans="1:6">
      <c r="A136" s="274" t="s">
        <v>612</v>
      </c>
      <c r="B136" s="274"/>
      <c r="C136" s="274" t="s">
        <v>613</v>
      </c>
      <c r="D136" s="274"/>
      <c r="E136" s="274"/>
      <c r="F136" s="15" t="s">
        <v>614</v>
      </c>
    </row>
    <row r="137" spans="1:6" ht="16.95" customHeight="1">
      <c r="A137" s="275" t="s">
        <v>1688</v>
      </c>
      <c r="B137" s="275"/>
      <c r="C137" s="275" t="s">
        <v>1689</v>
      </c>
      <c r="D137" s="275"/>
      <c r="E137" s="275"/>
      <c r="F137" s="197" t="s">
        <v>1682</v>
      </c>
    </row>
    <row r="138" spans="1:6" ht="16.95" customHeight="1">
      <c r="A138" s="274" t="s">
        <v>1690</v>
      </c>
      <c r="B138" s="274"/>
      <c r="C138" s="274" t="s">
        <v>1691</v>
      </c>
      <c r="D138" s="274"/>
      <c r="E138" s="274"/>
      <c r="F138" s="198" t="s">
        <v>1683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41"/>
  <sheetViews>
    <sheetView view="pageBreakPreview" topLeftCell="A21" zoomScale="95" zoomScaleNormal="100" zoomScaleSheetLayoutView="95" workbookViewId="0">
      <selection activeCell="E31" sqref="E31"/>
    </sheetView>
  </sheetViews>
  <sheetFormatPr defaultColWidth="8.6640625" defaultRowHeight="58.5" customHeight="1"/>
  <cols>
    <col min="1" max="1" width="8.6640625" style="15"/>
    <col min="2" max="2" width="6.44140625" style="15" customWidth="1"/>
    <col min="3" max="3" width="51.6640625" style="15" customWidth="1"/>
    <col min="4" max="4" width="12.5546875" style="15" customWidth="1"/>
    <col min="5" max="6" width="34" style="15" customWidth="1"/>
    <col min="7" max="16384" width="8.6640625" style="30"/>
  </cols>
  <sheetData>
    <row r="1" spans="1:6" ht="66.75" customHeight="1">
      <c r="A1" s="264" t="s">
        <v>702</v>
      </c>
      <c r="B1" s="264"/>
      <c r="C1" s="264"/>
      <c r="D1" s="264"/>
      <c r="E1" s="264"/>
      <c r="F1" s="264"/>
    </row>
    <row r="2" spans="1:6" ht="69.75" customHeight="1">
      <c r="A2" s="265" t="s">
        <v>703</v>
      </c>
      <c r="B2" s="265"/>
      <c r="C2" s="265"/>
      <c r="D2" s="265"/>
      <c r="E2" s="265"/>
      <c r="F2" s="265"/>
    </row>
    <row r="3" spans="1:6" ht="58.5" customHeight="1">
      <c r="A3" s="266" t="s">
        <v>356</v>
      </c>
      <c r="B3" s="266"/>
      <c r="C3" s="266"/>
      <c r="D3" s="266"/>
      <c r="E3" s="266"/>
      <c r="F3" s="266"/>
    </row>
    <row r="4" spans="1:6" ht="13.2">
      <c r="A4" s="266"/>
      <c r="B4" s="266"/>
      <c r="C4" s="266"/>
      <c r="D4" s="266"/>
      <c r="E4" s="266"/>
      <c r="F4" s="266"/>
    </row>
    <row r="5" spans="1:6" ht="13.2">
      <c r="A5" s="267" t="str">
        <f>TONGQUAN!C2</f>
        <v>Năm 2023
/ Year 2023</v>
      </c>
      <c r="B5" s="267"/>
      <c r="C5" s="267"/>
      <c r="D5" s="267"/>
      <c r="E5" s="267"/>
      <c r="F5" s="267"/>
    </row>
    <row r="6" spans="1:6" ht="13.2"/>
    <row r="7" spans="1:6" ht="13.2">
      <c r="A7" s="193" t="s">
        <v>2</v>
      </c>
      <c r="B7" s="195"/>
      <c r="D7" s="277" t="str">
        <f>TONGQUAN!D5</f>
        <v>Công ty Cổ phần Quản lý Quỹ Đầu tư Dragon Capital Việt Nam</v>
      </c>
      <c r="E7" s="277"/>
      <c r="F7" s="277"/>
    </row>
    <row r="8" spans="1:6" ht="13.2">
      <c r="A8" s="15" t="s">
        <v>15</v>
      </c>
      <c r="B8" s="195"/>
      <c r="D8" s="276" t="str">
        <f>TONGQUAN!D6</f>
        <v>Dragon Capital Vietfund Management Joint Stock Company</v>
      </c>
      <c r="E8" s="276"/>
      <c r="F8" s="276"/>
    </row>
    <row r="9" spans="1:6" ht="13.2">
      <c r="A9" s="193" t="s">
        <v>3</v>
      </c>
      <c r="B9" s="195"/>
      <c r="D9" s="277" t="str">
        <f>TONGQUAN!D7</f>
        <v>Ngân hàng TNHH Một thành viên Standard Chartered (Việt Nam)</v>
      </c>
      <c r="E9" s="277"/>
      <c r="F9" s="277"/>
    </row>
    <row r="10" spans="1:6" ht="13.2">
      <c r="A10" s="15" t="s">
        <v>4</v>
      </c>
      <c r="B10" s="195"/>
      <c r="D10" s="276" t="str">
        <f>TONGQUAN!D8</f>
        <v>Standard Chartered Bank (Vietnam) Limited</v>
      </c>
      <c r="E10" s="276"/>
      <c r="F10" s="276"/>
    </row>
    <row r="11" spans="1:6" ht="13.2">
      <c r="A11" s="193" t="s">
        <v>5</v>
      </c>
      <c r="B11" s="195"/>
      <c r="D11" s="277" t="str">
        <f>TONGQUAN!D9</f>
        <v>Quỹ Đầu tư Chứng khoán Năng động DC</v>
      </c>
      <c r="E11" s="277"/>
      <c r="F11" s="277"/>
    </row>
    <row r="12" spans="1:6" ht="13.2">
      <c r="A12" s="15" t="s">
        <v>6</v>
      </c>
      <c r="B12" s="195"/>
      <c r="D12" s="276" t="str">
        <f>TONGQUAN!D10</f>
        <v>DC Dynamic Securities Fund(DCDS)</v>
      </c>
      <c r="E12" s="276"/>
      <c r="F12" s="276"/>
    </row>
    <row r="13" spans="1:6" ht="13.2">
      <c r="A13" s="193" t="s">
        <v>7</v>
      </c>
      <c r="B13" s="195"/>
      <c r="D13" s="277" t="str">
        <f>TONGQUAN!D11</f>
        <v>Ngày 08 tháng 03 năm 2024</v>
      </c>
      <c r="E13" s="277"/>
      <c r="F13" s="277"/>
    </row>
    <row r="14" spans="1:6" ht="13.2">
      <c r="A14" s="15" t="s">
        <v>8</v>
      </c>
      <c r="D14" s="276" t="str">
        <f>TONGQUAN!D12</f>
        <v>08 Mar 2024</v>
      </c>
      <c r="E14" s="276"/>
      <c r="F14" s="276"/>
    </row>
    <row r="15" spans="1:6" ht="13.2"/>
    <row r="16" spans="1:6" ht="13.2"/>
    <row r="17" spans="1:6" ht="13.2">
      <c r="A17" s="20"/>
      <c r="B17" s="20"/>
      <c r="C17" s="21"/>
    </row>
    <row r="18" spans="1:6" ht="58.5" customHeight="1">
      <c r="A18" s="279" t="s">
        <v>17</v>
      </c>
      <c r="B18" s="280"/>
      <c r="C18" s="31" t="s">
        <v>357</v>
      </c>
      <c r="D18" s="31" t="s">
        <v>170</v>
      </c>
      <c r="E18" s="31" t="str">
        <f>BCKetQuaHoatDong_06028!D18</f>
        <v>Năm 2023
Year 2023</v>
      </c>
      <c r="F18" s="31" t="str">
        <f>BCKetQuaHoatDong_06028!E18</f>
        <v>Năm 2022
Year 2022</v>
      </c>
    </row>
    <row r="19" spans="1:6" s="38" customFormat="1" ht="26.4">
      <c r="A19" s="37" t="s">
        <v>16</v>
      </c>
      <c r="B19" s="37"/>
      <c r="C19" s="42" t="s">
        <v>151</v>
      </c>
      <c r="D19" s="43" t="s">
        <v>152</v>
      </c>
      <c r="E19" s="247">
        <v>1261305844696</v>
      </c>
      <c r="F19" s="247">
        <v>1641867480749</v>
      </c>
    </row>
    <row r="20" spans="1:6" s="38" customFormat="1" ht="52.8">
      <c r="A20" s="37" t="s">
        <v>22</v>
      </c>
      <c r="B20" s="37"/>
      <c r="C20" s="42" t="s">
        <v>153</v>
      </c>
      <c r="D20" s="43" t="s">
        <v>154</v>
      </c>
      <c r="E20" s="247">
        <v>326760799108</v>
      </c>
      <c r="F20" s="247">
        <v>-665811825559</v>
      </c>
    </row>
    <row r="21" spans="1:6" ht="52.8">
      <c r="A21" s="281"/>
      <c r="B21" s="40" t="s">
        <v>23</v>
      </c>
      <c r="C21" s="44" t="s">
        <v>155</v>
      </c>
      <c r="D21" s="45" t="s">
        <v>156</v>
      </c>
      <c r="E21" s="46">
        <v>326760799108</v>
      </c>
      <c r="F21" s="46">
        <v>-665811825559</v>
      </c>
    </row>
    <row r="22" spans="1:6" ht="52.8">
      <c r="A22" s="282"/>
      <c r="B22" s="40" t="s">
        <v>24</v>
      </c>
      <c r="C22" s="44" t="s">
        <v>314</v>
      </c>
      <c r="D22" s="45" t="s">
        <v>157</v>
      </c>
      <c r="E22" s="46">
        <v>0</v>
      </c>
      <c r="F22" s="46">
        <v>0</v>
      </c>
    </row>
    <row r="23" spans="1:6" s="38" customFormat="1" ht="52.8">
      <c r="A23" s="37" t="s">
        <v>28</v>
      </c>
      <c r="B23" s="37"/>
      <c r="C23" s="42" t="s">
        <v>158</v>
      </c>
      <c r="D23" s="43" t="s">
        <v>159</v>
      </c>
      <c r="E23" s="247">
        <v>-81656722908</v>
      </c>
      <c r="F23" s="247">
        <v>285250189506</v>
      </c>
    </row>
    <row r="24" spans="1:6" ht="26.4">
      <c r="A24" s="281"/>
      <c r="B24" s="40" t="s">
        <v>160</v>
      </c>
      <c r="C24" s="44" t="s">
        <v>161</v>
      </c>
      <c r="D24" s="45" t="s">
        <v>162</v>
      </c>
      <c r="E24" s="46">
        <v>263340163689</v>
      </c>
      <c r="F24" s="46">
        <v>734385200678</v>
      </c>
    </row>
    <row r="25" spans="1:6" ht="26.4">
      <c r="A25" s="282"/>
      <c r="B25" s="40" t="s">
        <v>163</v>
      </c>
      <c r="C25" s="44" t="s">
        <v>164</v>
      </c>
      <c r="D25" s="45" t="s">
        <v>165</v>
      </c>
      <c r="E25" s="46">
        <v>-344996886597</v>
      </c>
      <c r="F25" s="46">
        <v>-449135011172</v>
      </c>
    </row>
    <row r="26" spans="1:6" s="38" customFormat="1" ht="39.6">
      <c r="A26" s="37" t="s">
        <v>29</v>
      </c>
      <c r="B26" s="37"/>
      <c r="C26" s="42" t="s">
        <v>358</v>
      </c>
      <c r="D26" s="43" t="s">
        <v>166</v>
      </c>
      <c r="E26" s="247">
        <v>1506409920896</v>
      </c>
      <c r="F26" s="247">
        <v>1261305844696</v>
      </c>
    </row>
    <row r="27" spans="1:6" s="38" customFormat="1" ht="26.4">
      <c r="A27" s="37" t="s">
        <v>30</v>
      </c>
      <c r="B27" s="37"/>
      <c r="C27" s="42" t="s">
        <v>325</v>
      </c>
      <c r="D27" s="43" t="s">
        <v>167</v>
      </c>
      <c r="E27" s="84">
        <v>65722.27</v>
      </c>
      <c r="F27" s="84">
        <v>51531.77</v>
      </c>
    </row>
    <row r="28" spans="1:6" ht="13.2">
      <c r="A28" s="196"/>
      <c r="B28" s="196"/>
      <c r="C28" s="47"/>
      <c r="D28" s="196"/>
      <c r="E28" s="48"/>
      <c r="F28" s="48"/>
    </row>
    <row r="29" spans="1:6" ht="13.2"/>
    <row r="30" spans="1:6" s="3" customFormat="1" ht="13.2">
      <c r="A30" s="271" t="s">
        <v>249</v>
      </c>
      <c r="B30" s="271"/>
      <c r="C30" s="271"/>
      <c r="D30" s="271" t="s">
        <v>250</v>
      </c>
      <c r="E30" s="271"/>
      <c r="F30" s="271"/>
    </row>
    <row r="31" spans="1:6" s="3" customFormat="1" ht="13.2">
      <c r="A31" s="15"/>
      <c r="B31" s="15"/>
      <c r="C31" s="15"/>
      <c r="D31" s="15"/>
      <c r="E31" s="15"/>
      <c r="F31" s="15"/>
    </row>
    <row r="32" spans="1:6" s="3" customFormat="1" ht="13.2">
      <c r="A32" s="15"/>
      <c r="B32" s="15"/>
      <c r="C32" s="15"/>
      <c r="D32" s="15"/>
      <c r="E32" s="15"/>
      <c r="F32" s="15"/>
    </row>
    <row r="33" spans="1:6" s="3" customFormat="1" ht="13.2">
      <c r="A33" s="15"/>
      <c r="B33" s="15"/>
      <c r="C33" s="15"/>
      <c r="D33" s="15"/>
      <c r="E33" s="15"/>
      <c r="F33" s="15"/>
    </row>
    <row r="34" spans="1:6" s="3" customFormat="1" ht="13.2">
      <c r="A34" s="15"/>
      <c r="B34" s="15"/>
      <c r="C34" s="15"/>
      <c r="D34" s="15"/>
      <c r="E34" s="15"/>
      <c r="F34" s="15"/>
    </row>
    <row r="35" spans="1:6" s="3" customFormat="1" ht="13.2">
      <c r="A35" s="15"/>
      <c r="B35" s="15"/>
      <c r="C35" s="15"/>
      <c r="D35" s="15"/>
      <c r="E35" s="15"/>
      <c r="F35" s="15"/>
    </row>
    <row r="36" spans="1:6" s="3" customFormat="1" ht="13.2">
      <c r="A36" s="15"/>
      <c r="B36" s="15"/>
      <c r="C36" s="15"/>
      <c r="D36" s="15"/>
      <c r="E36" s="15"/>
      <c r="F36" s="15"/>
    </row>
    <row r="37" spans="1:6" s="3" customFormat="1" ht="13.2">
      <c r="A37" s="15"/>
      <c r="B37" s="15"/>
      <c r="C37" s="15"/>
      <c r="D37" s="15"/>
      <c r="E37" s="15"/>
      <c r="F37" s="15"/>
    </row>
    <row r="38" spans="1:6" s="3" customFormat="1" ht="13.2">
      <c r="A38" s="15"/>
      <c r="B38" s="15"/>
      <c r="C38" s="15"/>
      <c r="D38" s="15"/>
      <c r="E38" s="15"/>
      <c r="F38" s="15"/>
    </row>
    <row r="39" spans="1:6" s="3" customFormat="1" ht="13.2">
      <c r="A39" s="278" t="s">
        <v>615</v>
      </c>
      <c r="B39" s="278"/>
      <c r="C39" s="278"/>
      <c r="D39" s="278" t="s">
        <v>612</v>
      </c>
      <c r="E39" s="278"/>
      <c r="F39" s="32" t="s">
        <v>616</v>
      </c>
    </row>
    <row r="40" spans="1:6" s="1" customFormat="1" ht="13.2">
      <c r="A40" s="275" t="s">
        <v>1688</v>
      </c>
      <c r="B40" s="275"/>
      <c r="C40" s="275"/>
      <c r="D40" s="275" t="s">
        <v>1689</v>
      </c>
      <c r="E40" s="275"/>
      <c r="F40" s="197" t="s">
        <v>1682</v>
      </c>
    </row>
    <row r="41" spans="1:6" s="1" customFormat="1" ht="13.2">
      <c r="A41" s="274" t="s">
        <v>1690</v>
      </c>
      <c r="B41" s="274"/>
      <c r="C41" s="274"/>
      <c r="D41" s="283" t="s">
        <v>1691</v>
      </c>
      <c r="E41" s="274"/>
      <c r="F41" s="198" t="s">
        <v>1683</v>
      </c>
    </row>
  </sheetData>
  <mergeCells count="23">
    <mergeCell ref="A41:C41"/>
    <mergeCell ref="D39:E39"/>
    <mergeCell ref="A18:B18"/>
    <mergeCell ref="A21:A22"/>
    <mergeCell ref="A24:A25"/>
    <mergeCell ref="D30:F30"/>
    <mergeCell ref="D40:E40"/>
    <mergeCell ref="A30:C30"/>
    <mergeCell ref="A39:C39"/>
    <mergeCell ref="A40:C40"/>
    <mergeCell ref="D41:E41"/>
    <mergeCell ref="D14:F14"/>
    <mergeCell ref="D8:F8"/>
    <mergeCell ref="A1:F1"/>
    <mergeCell ref="A2:F2"/>
    <mergeCell ref="A3:F4"/>
    <mergeCell ref="A5:F5"/>
    <mergeCell ref="D7:F7"/>
    <mergeCell ref="D9:F9"/>
    <mergeCell ref="D10:F10"/>
    <mergeCell ref="D11:F11"/>
    <mergeCell ref="D12:F12"/>
    <mergeCell ref="D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29"/>
  <sheetViews>
    <sheetView view="pageBreakPreview" topLeftCell="A28" zoomScale="70" zoomScaleNormal="100" zoomScaleSheetLayoutView="70" workbookViewId="0">
      <selection activeCell="J44" sqref="J44"/>
    </sheetView>
  </sheetViews>
  <sheetFormatPr defaultColWidth="8.6640625" defaultRowHeight="13.2"/>
  <cols>
    <col min="1" max="1" width="8.6640625" style="15"/>
    <col min="2" max="2" width="40.33203125" style="15" customWidth="1"/>
    <col min="3" max="3" width="14.33203125" style="15" customWidth="1"/>
    <col min="4" max="7" width="25" style="15" customWidth="1"/>
    <col min="8" max="16384" width="8.6640625" style="30"/>
  </cols>
  <sheetData>
    <row r="1" spans="1:7" ht="57" customHeight="1">
      <c r="A1" s="264" t="s">
        <v>704</v>
      </c>
      <c r="B1" s="264"/>
      <c r="C1" s="264"/>
      <c r="D1" s="264"/>
      <c r="E1" s="264"/>
      <c r="F1" s="264"/>
      <c r="G1" s="264"/>
    </row>
    <row r="2" spans="1:7" ht="69" customHeight="1">
      <c r="A2" s="265" t="s">
        <v>703</v>
      </c>
      <c r="B2" s="265"/>
      <c r="C2" s="265"/>
      <c r="D2" s="265"/>
      <c r="E2" s="265"/>
      <c r="F2" s="265"/>
      <c r="G2" s="265"/>
    </row>
    <row r="3" spans="1:7" ht="33.6" customHeight="1">
      <c r="A3" s="266" t="s">
        <v>370</v>
      </c>
      <c r="B3" s="266"/>
      <c r="C3" s="266"/>
      <c r="D3" s="266"/>
      <c r="E3" s="266"/>
      <c r="F3" s="266"/>
      <c r="G3" s="266"/>
    </row>
    <row r="4" spans="1:7" ht="16.95" customHeight="1">
      <c r="A4" s="267" t="str">
        <f>TONGQUAN!C1</f>
        <v>Tại ngày 31 tháng 12 năm 2023
/ As at 31 Dec 2023</v>
      </c>
      <c r="B4" s="267"/>
      <c r="C4" s="267"/>
      <c r="D4" s="267"/>
      <c r="E4" s="267"/>
      <c r="F4" s="267"/>
      <c r="G4" s="267"/>
    </row>
    <row r="6" spans="1:7" ht="16.95" customHeight="1">
      <c r="A6" s="193" t="s">
        <v>2</v>
      </c>
      <c r="C6" s="285" t="str">
        <f>TONGQUAN!D5</f>
        <v>Công ty Cổ phần Quản lý Quỹ Đầu tư Dragon Capital Việt Nam</v>
      </c>
      <c r="D6" s="285"/>
      <c r="E6" s="285"/>
      <c r="F6" s="285"/>
      <c r="G6" s="285"/>
    </row>
    <row r="7" spans="1:7" ht="16.95" customHeight="1">
      <c r="A7" s="15" t="s">
        <v>15</v>
      </c>
      <c r="C7" s="284" t="str">
        <f>TONGQUAN!D6</f>
        <v>Dragon Capital Vietfund Management Joint Stock Company</v>
      </c>
      <c r="D7" s="284"/>
      <c r="E7" s="284"/>
      <c r="F7" s="284"/>
      <c r="G7" s="284"/>
    </row>
    <row r="8" spans="1:7" ht="16.95" customHeight="1">
      <c r="A8" s="193" t="s">
        <v>3</v>
      </c>
      <c r="C8" s="285" t="str">
        <f>TONGQUAN!D7</f>
        <v>Ngân hàng TNHH Một thành viên Standard Chartered (Việt Nam)</v>
      </c>
      <c r="D8" s="285"/>
      <c r="E8" s="285"/>
      <c r="F8" s="285"/>
      <c r="G8" s="285"/>
    </row>
    <row r="9" spans="1:7" ht="16.95" customHeight="1">
      <c r="A9" s="15" t="s">
        <v>4</v>
      </c>
      <c r="C9" s="284" t="str">
        <f>TONGQUAN!D8</f>
        <v>Standard Chartered Bank (Vietnam) Limited</v>
      </c>
      <c r="D9" s="284"/>
      <c r="E9" s="284"/>
      <c r="F9" s="284"/>
      <c r="G9" s="284"/>
    </row>
    <row r="10" spans="1:7" ht="16.95" customHeight="1">
      <c r="A10" s="193" t="s">
        <v>5</v>
      </c>
      <c r="C10" s="285" t="str">
        <f>TONGQUAN!D9</f>
        <v>Quỹ Đầu tư Chứng khoán Năng động DC</v>
      </c>
      <c r="D10" s="285"/>
      <c r="E10" s="285"/>
      <c r="F10" s="285"/>
      <c r="G10" s="285"/>
    </row>
    <row r="11" spans="1:7" ht="16.95" customHeight="1">
      <c r="A11" s="15" t="s">
        <v>6</v>
      </c>
      <c r="C11" s="284" t="str">
        <f>TONGQUAN!D10</f>
        <v>DC Dynamic Securities Fund(DCDS)</v>
      </c>
      <c r="D11" s="284"/>
      <c r="E11" s="284"/>
      <c r="F11" s="284"/>
      <c r="G11" s="284"/>
    </row>
    <row r="12" spans="1:7" ht="16.95" customHeight="1">
      <c r="A12" s="193" t="s">
        <v>7</v>
      </c>
      <c r="C12" s="285" t="str">
        <f>TONGQUAN!D11</f>
        <v>Ngày 08 tháng 03 năm 2024</v>
      </c>
      <c r="D12" s="285"/>
      <c r="E12" s="285"/>
      <c r="F12" s="285"/>
      <c r="G12" s="285"/>
    </row>
    <row r="13" spans="1:7" ht="16.95" customHeight="1">
      <c r="A13" s="15" t="s">
        <v>8</v>
      </c>
      <c r="C13" s="284" t="str">
        <f>TONGQUAN!D12</f>
        <v>08 Mar 2024</v>
      </c>
      <c r="D13" s="284"/>
      <c r="E13" s="284"/>
      <c r="F13" s="284"/>
      <c r="G13" s="284"/>
    </row>
    <row r="15" spans="1:7">
      <c r="A15" s="25"/>
      <c r="B15" s="25"/>
    </row>
    <row r="16" spans="1:7" ht="66" customHeight="1">
      <c r="A16" s="31" t="s">
        <v>109</v>
      </c>
      <c r="B16" s="31" t="s">
        <v>110</v>
      </c>
      <c r="C16" s="31" t="s">
        <v>19</v>
      </c>
      <c r="D16" s="31" t="s">
        <v>111</v>
      </c>
      <c r="E16" s="31" t="s">
        <v>112</v>
      </c>
      <c r="F16" s="31" t="s">
        <v>113</v>
      </c>
      <c r="G16" s="31" t="s">
        <v>114</v>
      </c>
    </row>
    <row r="17" spans="1:7" ht="39" customHeight="1">
      <c r="A17" s="245" t="s">
        <v>979</v>
      </c>
      <c r="B17" s="244" t="s">
        <v>980</v>
      </c>
      <c r="C17" s="245" t="s">
        <v>981</v>
      </c>
      <c r="D17" s="247"/>
      <c r="E17" s="247"/>
      <c r="F17" s="247"/>
      <c r="G17" s="246"/>
    </row>
    <row r="18" spans="1:7" ht="39" customHeight="1">
      <c r="A18" s="240" t="s">
        <v>982</v>
      </c>
      <c r="B18" s="239" t="s">
        <v>983</v>
      </c>
      <c r="C18" s="241" t="s">
        <v>984</v>
      </c>
      <c r="D18" s="243" t="s">
        <v>985</v>
      </c>
      <c r="E18" s="249" t="s">
        <v>986</v>
      </c>
      <c r="F18" s="243" t="s">
        <v>987</v>
      </c>
      <c r="G18" s="242" t="s">
        <v>988</v>
      </c>
    </row>
    <row r="19" spans="1:7" ht="39" customHeight="1">
      <c r="A19" s="240" t="s">
        <v>989</v>
      </c>
      <c r="B19" s="239" t="s">
        <v>990</v>
      </c>
      <c r="C19" s="241" t="s">
        <v>991</v>
      </c>
      <c r="D19" s="243">
        <v>115738</v>
      </c>
      <c r="E19" s="249">
        <v>43400</v>
      </c>
      <c r="F19" s="243">
        <v>5023029200</v>
      </c>
      <c r="G19" s="242">
        <v>3.2000000000000002E-3</v>
      </c>
    </row>
    <row r="20" spans="1:7" ht="39" customHeight="1">
      <c r="A20" s="240" t="s">
        <v>992</v>
      </c>
      <c r="B20" s="239" t="s">
        <v>993</v>
      </c>
      <c r="C20" s="241" t="s">
        <v>994</v>
      </c>
      <c r="D20" s="243">
        <v>48800</v>
      </c>
      <c r="E20" s="249">
        <v>47500</v>
      </c>
      <c r="F20" s="243">
        <v>2318000000</v>
      </c>
      <c r="G20" s="242">
        <v>1.5E-3</v>
      </c>
    </row>
    <row r="21" spans="1:7" ht="39" customHeight="1">
      <c r="A21" s="240" t="s">
        <v>995</v>
      </c>
      <c r="B21" s="239" t="s">
        <v>996</v>
      </c>
      <c r="C21" s="241" t="s">
        <v>997</v>
      </c>
      <c r="D21" s="243">
        <v>536800</v>
      </c>
      <c r="E21" s="249">
        <v>68800</v>
      </c>
      <c r="F21" s="243">
        <v>36931840000</v>
      </c>
      <c r="G21" s="242">
        <v>2.3699999999999999E-2</v>
      </c>
    </row>
    <row r="22" spans="1:7" ht="39" customHeight="1">
      <c r="A22" s="240" t="s">
        <v>998</v>
      </c>
      <c r="B22" s="239" t="s">
        <v>999</v>
      </c>
      <c r="C22" s="241" t="s">
        <v>1000</v>
      </c>
      <c r="D22" s="243">
        <v>526026</v>
      </c>
      <c r="E22" s="249">
        <v>27100</v>
      </c>
      <c r="F22" s="243">
        <v>14255304600</v>
      </c>
      <c r="G22" s="242">
        <v>9.1000000000000004E-3</v>
      </c>
    </row>
    <row r="23" spans="1:7" ht="39" customHeight="1">
      <c r="A23" s="240" t="s">
        <v>1001</v>
      </c>
      <c r="B23" s="239" t="s">
        <v>1002</v>
      </c>
      <c r="C23" s="241" t="s">
        <v>1003</v>
      </c>
      <c r="D23" s="243">
        <v>798000</v>
      </c>
      <c r="E23" s="249">
        <v>32400</v>
      </c>
      <c r="F23" s="243">
        <v>25855200000</v>
      </c>
      <c r="G23" s="242">
        <v>1.66E-2</v>
      </c>
    </row>
    <row r="24" spans="1:7" ht="39" customHeight="1">
      <c r="A24" s="240" t="s">
        <v>1004</v>
      </c>
      <c r="B24" s="239" t="s">
        <v>1005</v>
      </c>
      <c r="C24" s="241" t="s">
        <v>1006</v>
      </c>
      <c r="D24" s="243">
        <v>716800</v>
      </c>
      <c r="E24" s="249">
        <v>94400</v>
      </c>
      <c r="F24" s="243">
        <v>67665920000</v>
      </c>
      <c r="G24" s="242">
        <v>4.3400000000000001E-2</v>
      </c>
    </row>
    <row r="25" spans="1:7" ht="39" customHeight="1">
      <c r="A25" s="240" t="s">
        <v>1007</v>
      </c>
      <c r="B25" s="239" t="s">
        <v>1008</v>
      </c>
      <c r="C25" s="241" t="s">
        <v>1009</v>
      </c>
      <c r="D25" s="243">
        <v>726800</v>
      </c>
      <c r="E25" s="249">
        <v>52300</v>
      </c>
      <c r="F25" s="243">
        <v>38011640000</v>
      </c>
      <c r="G25" s="242">
        <v>2.4400000000000002E-2</v>
      </c>
    </row>
    <row r="26" spans="1:7" ht="39" customHeight="1">
      <c r="A26" s="240" t="s">
        <v>1010</v>
      </c>
      <c r="B26" s="239" t="s">
        <v>1011</v>
      </c>
      <c r="C26" s="241" t="s">
        <v>1012</v>
      </c>
      <c r="D26" s="243">
        <v>117000</v>
      </c>
      <c r="E26" s="249">
        <v>38000</v>
      </c>
      <c r="F26" s="243">
        <v>4446000000</v>
      </c>
      <c r="G26" s="242">
        <v>2.8999999999999998E-3</v>
      </c>
    </row>
    <row r="27" spans="1:7" ht="39" customHeight="1">
      <c r="A27" s="240" t="s">
        <v>1013</v>
      </c>
      <c r="B27" s="239" t="s">
        <v>1014</v>
      </c>
      <c r="C27" s="241" t="s">
        <v>1015</v>
      </c>
      <c r="D27" s="243">
        <v>656800</v>
      </c>
      <c r="E27" s="249">
        <v>26750</v>
      </c>
      <c r="F27" s="243">
        <v>17569400000</v>
      </c>
      <c r="G27" s="242">
        <v>1.1299999999999999E-2</v>
      </c>
    </row>
    <row r="28" spans="1:7" ht="39" customHeight="1">
      <c r="A28" s="240" t="s">
        <v>1016</v>
      </c>
      <c r="B28" s="239" t="s">
        <v>1017</v>
      </c>
      <c r="C28" s="241" t="s">
        <v>1018</v>
      </c>
      <c r="D28" s="243">
        <v>576800</v>
      </c>
      <c r="E28" s="249">
        <v>39650</v>
      </c>
      <c r="F28" s="243">
        <v>22870120000</v>
      </c>
      <c r="G28" s="242">
        <v>1.47E-2</v>
      </c>
    </row>
    <row r="29" spans="1:7" ht="39" customHeight="1">
      <c r="A29" s="240" t="s">
        <v>1019</v>
      </c>
      <c r="B29" s="239" t="s">
        <v>1020</v>
      </c>
      <c r="C29" s="241" t="s">
        <v>1021</v>
      </c>
      <c r="D29" s="243">
        <v>281600</v>
      </c>
      <c r="E29" s="249">
        <v>26500</v>
      </c>
      <c r="F29" s="243">
        <v>7462400000</v>
      </c>
      <c r="G29" s="242">
        <v>4.7999999999999996E-3</v>
      </c>
    </row>
    <row r="30" spans="1:7" ht="39" customHeight="1">
      <c r="A30" s="240" t="s">
        <v>1022</v>
      </c>
      <c r="B30" s="239" t="s">
        <v>1023</v>
      </c>
      <c r="C30" s="241" t="s">
        <v>1024</v>
      </c>
      <c r="D30" s="243">
        <v>1511000</v>
      </c>
      <c r="E30" s="249">
        <v>19350</v>
      </c>
      <c r="F30" s="243">
        <v>29237850000</v>
      </c>
      <c r="G30" s="242">
        <v>1.8700000000000001E-2</v>
      </c>
    </row>
    <row r="31" spans="1:7" ht="39" customHeight="1">
      <c r="A31" s="240" t="s">
        <v>1025</v>
      </c>
      <c r="B31" s="239" t="s">
        <v>1026</v>
      </c>
      <c r="C31" s="241" t="s">
        <v>1027</v>
      </c>
      <c r="D31" s="243">
        <v>669806</v>
      </c>
      <c r="E31" s="249">
        <v>7500</v>
      </c>
      <c r="F31" s="243">
        <v>5023545000</v>
      </c>
      <c r="G31" s="242">
        <v>3.2000000000000002E-3</v>
      </c>
    </row>
    <row r="32" spans="1:7" ht="39" customHeight="1">
      <c r="A32" s="240" t="s">
        <v>1028</v>
      </c>
      <c r="B32" s="239" t="s">
        <v>1029</v>
      </c>
      <c r="C32" s="241" t="s">
        <v>1030</v>
      </c>
      <c r="D32" s="243">
        <v>2048045</v>
      </c>
      <c r="E32" s="249">
        <v>96100</v>
      </c>
      <c r="F32" s="243">
        <v>196817124500</v>
      </c>
      <c r="G32" s="242">
        <v>0.12620000000000001</v>
      </c>
    </row>
    <row r="33" spans="1:7" ht="39" customHeight="1">
      <c r="A33" s="240" t="s">
        <v>1031</v>
      </c>
      <c r="B33" s="239" t="s">
        <v>1032</v>
      </c>
      <c r="C33" s="241" t="s">
        <v>1033</v>
      </c>
      <c r="D33" s="243">
        <v>256800</v>
      </c>
      <c r="E33" s="249">
        <v>107000</v>
      </c>
      <c r="F33" s="243">
        <v>27477600000</v>
      </c>
      <c r="G33" s="242">
        <v>1.7600000000000001E-2</v>
      </c>
    </row>
    <row r="34" spans="1:7" ht="39" customHeight="1">
      <c r="A34" s="240" t="s">
        <v>1034</v>
      </c>
      <c r="B34" s="239" t="s">
        <v>1035</v>
      </c>
      <c r="C34" s="241" t="s">
        <v>1036</v>
      </c>
      <c r="D34" s="243">
        <v>568000</v>
      </c>
      <c r="E34" s="249">
        <v>23600</v>
      </c>
      <c r="F34" s="243">
        <v>13404800000</v>
      </c>
      <c r="G34" s="242">
        <v>8.6E-3</v>
      </c>
    </row>
    <row r="35" spans="1:7" ht="39" customHeight="1">
      <c r="A35" s="240" t="s">
        <v>1037</v>
      </c>
      <c r="B35" s="239" t="s">
        <v>1038</v>
      </c>
      <c r="C35" s="241" t="s">
        <v>1039</v>
      </c>
      <c r="D35" s="243">
        <v>751200</v>
      </c>
      <c r="E35" s="249">
        <v>70500</v>
      </c>
      <c r="F35" s="243">
        <v>52959600000</v>
      </c>
      <c r="G35" s="242">
        <v>3.4000000000000002E-2</v>
      </c>
    </row>
    <row r="36" spans="1:7" ht="39" customHeight="1">
      <c r="A36" s="240" t="s">
        <v>1040</v>
      </c>
      <c r="B36" s="239" t="s">
        <v>1041</v>
      </c>
      <c r="C36" s="241" t="s">
        <v>1042</v>
      </c>
      <c r="D36" s="243">
        <v>168000</v>
      </c>
      <c r="E36" s="249">
        <v>37600</v>
      </c>
      <c r="F36" s="243">
        <v>6316800000</v>
      </c>
      <c r="G36" s="242">
        <v>4.1000000000000003E-3</v>
      </c>
    </row>
    <row r="37" spans="1:7" ht="39" customHeight="1">
      <c r="A37" s="240" t="s">
        <v>1043</v>
      </c>
      <c r="B37" s="239" t="s">
        <v>1044</v>
      </c>
      <c r="C37" s="241" t="s">
        <v>1045</v>
      </c>
      <c r="D37" s="243">
        <v>466800</v>
      </c>
      <c r="E37" s="249">
        <v>27600</v>
      </c>
      <c r="F37" s="243">
        <v>12883680000</v>
      </c>
      <c r="G37" s="242">
        <v>8.3000000000000001E-3</v>
      </c>
    </row>
    <row r="38" spans="1:7" ht="39" customHeight="1">
      <c r="A38" s="240" t="s">
        <v>1046</v>
      </c>
      <c r="B38" s="239" t="s">
        <v>1047</v>
      </c>
      <c r="C38" s="241" t="s">
        <v>1048</v>
      </c>
      <c r="D38" s="243">
        <v>1468000</v>
      </c>
      <c r="E38" s="249">
        <v>27950</v>
      </c>
      <c r="F38" s="243">
        <v>41030600000</v>
      </c>
      <c r="G38" s="242">
        <v>2.63E-2</v>
      </c>
    </row>
    <row r="39" spans="1:7" ht="39" customHeight="1">
      <c r="A39" s="240" t="s">
        <v>1049</v>
      </c>
      <c r="B39" s="239" t="s">
        <v>1050</v>
      </c>
      <c r="C39" s="241" t="s">
        <v>1051</v>
      </c>
      <c r="D39" s="243">
        <v>1768000</v>
      </c>
      <c r="E39" s="249">
        <v>22800</v>
      </c>
      <c r="F39" s="243">
        <v>40310400000</v>
      </c>
      <c r="G39" s="242">
        <v>2.58E-2</v>
      </c>
    </row>
    <row r="40" spans="1:7" ht="39" customHeight="1">
      <c r="A40" s="240" t="s">
        <v>1052</v>
      </c>
      <c r="B40" s="239" t="s">
        <v>1053</v>
      </c>
      <c r="C40" s="241" t="s">
        <v>1054</v>
      </c>
      <c r="D40" s="243">
        <v>609900</v>
      </c>
      <c r="E40" s="249">
        <v>52100</v>
      </c>
      <c r="F40" s="243">
        <v>31775790000</v>
      </c>
      <c r="G40" s="242">
        <v>2.0400000000000001E-2</v>
      </c>
    </row>
    <row r="41" spans="1:7" ht="39" customHeight="1">
      <c r="A41" s="240" t="s">
        <v>1055</v>
      </c>
      <c r="B41" s="239" t="s">
        <v>1056</v>
      </c>
      <c r="C41" s="241" t="s">
        <v>1057</v>
      </c>
      <c r="D41" s="243">
        <v>508780</v>
      </c>
      <c r="E41" s="249">
        <v>31400</v>
      </c>
      <c r="F41" s="243">
        <v>15975692000</v>
      </c>
      <c r="G41" s="242">
        <v>1.0200000000000001E-2</v>
      </c>
    </row>
    <row r="42" spans="1:7" ht="39" customHeight="1">
      <c r="A42" s="240" t="s">
        <v>1058</v>
      </c>
      <c r="B42" s="239" t="s">
        <v>1059</v>
      </c>
      <c r="C42" s="241" t="s">
        <v>1060</v>
      </c>
      <c r="D42" s="243">
        <v>318700</v>
      </c>
      <c r="E42" s="249">
        <v>30300</v>
      </c>
      <c r="F42" s="243">
        <v>9656610000</v>
      </c>
      <c r="G42" s="242">
        <v>6.1999999999999998E-3</v>
      </c>
    </row>
    <row r="43" spans="1:7" ht="39" customHeight="1">
      <c r="A43" s="240" t="s">
        <v>1061</v>
      </c>
      <c r="B43" s="239" t="s">
        <v>1062</v>
      </c>
      <c r="C43" s="241" t="s">
        <v>1063</v>
      </c>
      <c r="D43" s="243">
        <v>102075</v>
      </c>
      <c r="E43" s="249">
        <v>26200</v>
      </c>
      <c r="F43" s="243">
        <v>2674365000</v>
      </c>
      <c r="G43" s="242">
        <v>1.6999999999999999E-3</v>
      </c>
    </row>
    <row r="44" spans="1:7" ht="39" customHeight="1">
      <c r="A44" s="240" t="s">
        <v>1064</v>
      </c>
      <c r="B44" s="239" t="s">
        <v>1065</v>
      </c>
      <c r="C44" s="241" t="s">
        <v>1066</v>
      </c>
      <c r="D44" s="243">
        <v>1348810</v>
      </c>
      <c r="E44" s="249">
        <v>18650</v>
      </c>
      <c r="F44" s="243">
        <v>25155306500</v>
      </c>
      <c r="G44" s="242">
        <v>1.61E-2</v>
      </c>
    </row>
    <row r="45" spans="1:7" ht="39" customHeight="1">
      <c r="A45" s="240" t="s">
        <v>1067</v>
      </c>
      <c r="B45" s="239" t="s">
        <v>1068</v>
      </c>
      <c r="C45" s="241" t="s">
        <v>1069</v>
      </c>
      <c r="D45" s="243">
        <v>102500</v>
      </c>
      <c r="E45" s="249">
        <v>67000</v>
      </c>
      <c r="F45" s="243">
        <v>6867500000</v>
      </c>
      <c r="G45" s="253">
        <v>4.4000000000000003E-3</v>
      </c>
    </row>
    <row r="46" spans="1:7" ht="39" customHeight="1">
      <c r="A46" s="240" t="s">
        <v>1070</v>
      </c>
      <c r="B46" s="239" t="s">
        <v>1071</v>
      </c>
      <c r="C46" s="241" t="s">
        <v>1072</v>
      </c>
      <c r="D46" s="243">
        <v>2866800</v>
      </c>
      <c r="E46" s="249">
        <v>42800</v>
      </c>
      <c r="F46" s="243">
        <v>122699040000</v>
      </c>
      <c r="G46" s="253">
        <v>7.8700000000000006E-2</v>
      </c>
    </row>
    <row r="47" spans="1:7" ht="39" customHeight="1">
      <c r="A47" s="240" t="s">
        <v>1073</v>
      </c>
      <c r="B47" s="239" t="s">
        <v>1074</v>
      </c>
      <c r="C47" s="241" t="s">
        <v>1075</v>
      </c>
      <c r="D47" s="243">
        <v>1268000</v>
      </c>
      <c r="E47" s="249">
        <v>24650</v>
      </c>
      <c r="F47" s="243">
        <v>31256200000</v>
      </c>
      <c r="G47" s="253">
        <v>0.02</v>
      </c>
    </row>
    <row r="48" spans="1:7" ht="39" customHeight="1">
      <c r="A48" s="240" t="s">
        <v>1076</v>
      </c>
      <c r="B48" s="239" t="s">
        <v>1077</v>
      </c>
      <c r="C48" s="241" t="s">
        <v>1078</v>
      </c>
      <c r="D48" s="243">
        <v>646800</v>
      </c>
      <c r="E48" s="249">
        <v>36650</v>
      </c>
      <c r="F48" s="243">
        <v>23705220000</v>
      </c>
      <c r="G48" s="253">
        <v>1.52E-2</v>
      </c>
    </row>
    <row r="49" spans="1:7" ht="39" customHeight="1">
      <c r="A49" s="240" t="s">
        <v>1079</v>
      </c>
      <c r="B49" s="239" t="s">
        <v>1080</v>
      </c>
      <c r="C49" s="241" t="s">
        <v>1081</v>
      </c>
      <c r="D49" s="243">
        <v>615800</v>
      </c>
      <c r="E49" s="249">
        <v>24500</v>
      </c>
      <c r="F49" s="243">
        <v>15087100000</v>
      </c>
      <c r="G49" s="253">
        <v>9.7000000000000003E-3</v>
      </c>
    </row>
    <row r="50" spans="1:7" ht="39" customHeight="1">
      <c r="A50" s="240" t="s">
        <v>1082</v>
      </c>
      <c r="B50" s="239" t="s">
        <v>1083</v>
      </c>
      <c r="C50" s="241" t="s">
        <v>1084</v>
      </c>
      <c r="D50" s="243">
        <v>178000</v>
      </c>
      <c r="E50" s="249">
        <v>27300</v>
      </c>
      <c r="F50" s="243">
        <v>4859400000</v>
      </c>
      <c r="G50" s="253">
        <v>3.0999999999999999E-3</v>
      </c>
    </row>
    <row r="51" spans="1:7" ht="39" customHeight="1">
      <c r="A51" s="240" t="s">
        <v>1085</v>
      </c>
      <c r="B51" s="239" t="s">
        <v>1086</v>
      </c>
      <c r="C51" s="241" t="s">
        <v>1087</v>
      </c>
      <c r="D51" s="243">
        <v>1181890</v>
      </c>
      <c r="E51" s="249">
        <v>28800</v>
      </c>
      <c r="F51" s="243">
        <v>34038432000</v>
      </c>
      <c r="G51" s="253">
        <v>2.18E-2</v>
      </c>
    </row>
    <row r="52" spans="1:7" ht="39" customHeight="1">
      <c r="A52" s="240" t="s">
        <v>1088</v>
      </c>
      <c r="B52" s="239" t="s">
        <v>1089</v>
      </c>
      <c r="C52" s="241" t="s">
        <v>1090</v>
      </c>
      <c r="D52" s="243">
        <v>966800</v>
      </c>
      <c r="E52" s="249">
        <v>27850</v>
      </c>
      <c r="F52" s="243">
        <v>26925380000</v>
      </c>
      <c r="G52" s="253">
        <v>1.7299999999999999E-2</v>
      </c>
    </row>
    <row r="53" spans="1:7" ht="39" customHeight="1">
      <c r="A53" s="240" t="s">
        <v>1091</v>
      </c>
      <c r="B53" s="239" t="s">
        <v>1092</v>
      </c>
      <c r="C53" s="241" t="s">
        <v>1093</v>
      </c>
      <c r="D53" s="243">
        <v>556500</v>
      </c>
      <c r="E53" s="249">
        <v>27600</v>
      </c>
      <c r="F53" s="243">
        <v>15359400000</v>
      </c>
      <c r="G53" s="253">
        <v>9.7999999999999997E-3</v>
      </c>
    </row>
    <row r="54" spans="1:7" ht="39" customHeight="1">
      <c r="A54" s="240" t="s">
        <v>1094</v>
      </c>
      <c r="B54" s="239" t="s">
        <v>1095</v>
      </c>
      <c r="C54" s="241" t="s">
        <v>1096</v>
      </c>
      <c r="D54" s="243">
        <v>474300</v>
      </c>
      <c r="E54" s="249">
        <v>86000</v>
      </c>
      <c r="F54" s="243">
        <v>40789800000</v>
      </c>
      <c r="G54" s="253">
        <v>2.6200000000000001E-2</v>
      </c>
    </row>
    <row r="55" spans="1:7" ht="39" customHeight="1">
      <c r="A55" s="240" t="s">
        <v>1097</v>
      </c>
      <c r="B55" s="239" t="s">
        <v>1098</v>
      </c>
      <c r="C55" s="241" t="s">
        <v>1099</v>
      </c>
      <c r="D55" s="243">
        <v>294500</v>
      </c>
      <c r="E55" s="249">
        <v>59000</v>
      </c>
      <c r="F55" s="243">
        <v>17375500000</v>
      </c>
      <c r="G55" s="253">
        <v>1.11E-2</v>
      </c>
    </row>
    <row r="56" spans="1:7" ht="39" customHeight="1">
      <c r="A56" s="240" t="s">
        <v>1100</v>
      </c>
      <c r="B56" s="239" t="s">
        <v>1101</v>
      </c>
      <c r="C56" s="241" t="s">
        <v>1102</v>
      </c>
      <c r="D56" s="243">
        <v>1528600</v>
      </c>
      <c r="E56" s="249">
        <v>28300</v>
      </c>
      <c r="F56" s="243">
        <v>43259380000</v>
      </c>
      <c r="G56" s="253">
        <v>2.7699999999999999E-2</v>
      </c>
    </row>
    <row r="57" spans="1:7" ht="39" customHeight="1">
      <c r="A57" s="240" t="s">
        <v>1103</v>
      </c>
      <c r="B57" s="239" t="s">
        <v>1104</v>
      </c>
      <c r="C57" s="241" t="s">
        <v>1105</v>
      </c>
      <c r="D57" s="243">
        <v>881600</v>
      </c>
      <c r="E57" s="249">
        <v>38000</v>
      </c>
      <c r="F57" s="243">
        <v>33500800000</v>
      </c>
      <c r="G57" s="253">
        <v>2.1499999999999998E-2</v>
      </c>
    </row>
    <row r="58" spans="1:7" ht="39" customHeight="1">
      <c r="A58" s="240" t="s">
        <v>1106</v>
      </c>
      <c r="B58" s="239" t="s">
        <v>1107</v>
      </c>
      <c r="C58" s="241" t="s">
        <v>1108</v>
      </c>
      <c r="D58" s="243">
        <v>563000</v>
      </c>
      <c r="E58" s="249">
        <v>32800</v>
      </c>
      <c r="F58" s="243">
        <v>18466400000</v>
      </c>
      <c r="G58" s="253">
        <v>1.18E-2</v>
      </c>
    </row>
    <row r="59" spans="1:7" ht="39" customHeight="1">
      <c r="A59" s="240" t="s">
        <v>1109</v>
      </c>
      <c r="B59" s="239" t="s">
        <v>1110</v>
      </c>
      <c r="C59" s="241" t="s">
        <v>1111</v>
      </c>
      <c r="D59" s="243">
        <v>1566800</v>
      </c>
      <c r="E59" s="249">
        <v>27950</v>
      </c>
      <c r="F59" s="243">
        <v>43792060000</v>
      </c>
      <c r="G59" s="253">
        <v>2.81E-2</v>
      </c>
    </row>
    <row r="60" spans="1:7" ht="39" customHeight="1">
      <c r="A60" s="240" t="s">
        <v>1112</v>
      </c>
      <c r="B60" s="239" t="s">
        <v>1113</v>
      </c>
      <c r="C60" s="241" t="s">
        <v>1114</v>
      </c>
      <c r="D60" s="243">
        <v>468680</v>
      </c>
      <c r="E60" s="249">
        <v>44600</v>
      </c>
      <c r="F60" s="243">
        <v>20903128000</v>
      </c>
      <c r="G60" s="253">
        <v>1.34E-2</v>
      </c>
    </row>
    <row r="61" spans="1:7" ht="39" customHeight="1">
      <c r="A61" s="240" t="s">
        <v>1115</v>
      </c>
      <c r="B61" s="239" t="s">
        <v>1116</v>
      </c>
      <c r="C61" s="241" t="s">
        <v>1117</v>
      </c>
      <c r="D61" s="243">
        <v>317300</v>
      </c>
      <c r="E61" s="249">
        <v>31800</v>
      </c>
      <c r="F61" s="243">
        <v>10090140000</v>
      </c>
      <c r="G61" s="253">
        <v>6.4999999999999997E-3</v>
      </c>
    </row>
    <row r="62" spans="1:7" ht="39" customHeight="1">
      <c r="A62" s="240" t="s">
        <v>1118</v>
      </c>
      <c r="B62" s="239" t="s">
        <v>1119</v>
      </c>
      <c r="C62" s="241" t="s">
        <v>1120</v>
      </c>
      <c r="D62" s="243">
        <v>1668000</v>
      </c>
      <c r="E62" s="249">
        <v>13200</v>
      </c>
      <c r="F62" s="243">
        <v>22017600000</v>
      </c>
      <c r="G62" s="253">
        <v>1.41E-2</v>
      </c>
    </row>
    <row r="63" spans="1:7" ht="39" customHeight="1">
      <c r="A63" s="240" t="s">
        <v>1121</v>
      </c>
      <c r="B63" s="239" t="s">
        <v>1122</v>
      </c>
      <c r="C63" s="241" t="s">
        <v>1123</v>
      </c>
      <c r="D63" s="243">
        <v>206700</v>
      </c>
      <c r="E63" s="249">
        <v>37800</v>
      </c>
      <c r="F63" s="243">
        <v>7813260000</v>
      </c>
      <c r="G63" s="253">
        <v>5.0000000000000001E-3</v>
      </c>
    </row>
    <row r="64" spans="1:7" ht="39" customHeight="1">
      <c r="A64" s="240" t="s">
        <v>1124</v>
      </c>
      <c r="B64" s="239" t="s">
        <v>1125</v>
      </c>
      <c r="C64" s="241" t="s">
        <v>1126</v>
      </c>
      <c r="D64" s="243">
        <v>868000</v>
      </c>
      <c r="E64" s="249">
        <v>24700</v>
      </c>
      <c r="F64" s="243">
        <v>21439600000</v>
      </c>
      <c r="G64" s="253">
        <v>1.37E-2</v>
      </c>
    </row>
    <row r="65" spans="1:7" ht="39" customHeight="1">
      <c r="A65" s="240" t="s">
        <v>1127</v>
      </c>
      <c r="B65" s="239" t="s">
        <v>1128</v>
      </c>
      <c r="C65" s="241" t="s">
        <v>1129</v>
      </c>
      <c r="D65" s="243">
        <v>668000</v>
      </c>
      <c r="E65" s="249">
        <v>42750</v>
      </c>
      <c r="F65" s="243">
        <v>28557000000</v>
      </c>
      <c r="G65" s="253">
        <v>1.83E-2</v>
      </c>
    </row>
    <row r="66" spans="1:7" ht="39" customHeight="1">
      <c r="A66" s="240" t="s">
        <v>1130</v>
      </c>
      <c r="B66" s="239" t="s">
        <v>1131</v>
      </c>
      <c r="C66" s="241" t="s">
        <v>1132</v>
      </c>
      <c r="D66" s="243">
        <v>118000</v>
      </c>
      <c r="E66" s="249">
        <v>17100</v>
      </c>
      <c r="F66" s="243">
        <v>2017800000</v>
      </c>
      <c r="G66" s="253">
        <v>1.2999999999999999E-3</v>
      </c>
    </row>
    <row r="67" spans="1:7" ht="39" customHeight="1">
      <c r="A67" s="240" t="s">
        <v>1133</v>
      </c>
      <c r="B67" s="239" t="s">
        <v>1134</v>
      </c>
      <c r="C67" s="241" t="s">
        <v>1135</v>
      </c>
      <c r="D67" s="243">
        <v>496800</v>
      </c>
      <c r="E67" s="249">
        <v>34400</v>
      </c>
      <c r="F67" s="243">
        <v>17089920000</v>
      </c>
      <c r="G67" s="253">
        <v>1.0999999999999999E-2</v>
      </c>
    </row>
    <row r="68" spans="1:7" ht="39" customHeight="1">
      <c r="A68" s="240" t="s">
        <v>1136</v>
      </c>
      <c r="B68" s="239" t="s">
        <v>1137</v>
      </c>
      <c r="C68" s="241" t="s">
        <v>1138</v>
      </c>
      <c r="D68" s="243">
        <v>153800</v>
      </c>
      <c r="E68" s="249">
        <v>54900</v>
      </c>
      <c r="F68" s="243">
        <v>8443620000</v>
      </c>
      <c r="G68" s="253">
        <v>5.4000000000000003E-3</v>
      </c>
    </row>
    <row r="69" spans="1:7" ht="39" customHeight="1">
      <c r="A69" s="240" t="s">
        <v>1139</v>
      </c>
      <c r="B69" s="239" t="s">
        <v>1140</v>
      </c>
      <c r="C69" s="241" t="s">
        <v>1141</v>
      </c>
      <c r="D69" s="243">
        <v>100000</v>
      </c>
      <c r="E69" s="249">
        <v>23100</v>
      </c>
      <c r="F69" s="243">
        <v>2310000000</v>
      </c>
      <c r="G69" s="253">
        <v>1.5E-3</v>
      </c>
    </row>
    <row r="70" spans="1:7" ht="39" customHeight="1">
      <c r="A70" s="240" t="s">
        <v>1142</v>
      </c>
      <c r="B70" s="239" t="s">
        <v>1143</v>
      </c>
      <c r="C70" s="241" t="s">
        <v>1144</v>
      </c>
      <c r="D70" s="243">
        <v>169500</v>
      </c>
      <c r="E70" s="249">
        <v>43200</v>
      </c>
      <c r="F70" s="243">
        <v>7322400000</v>
      </c>
      <c r="G70" s="253">
        <v>4.7000000000000002E-3</v>
      </c>
    </row>
    <row r="71" spans="1:7" ht="39" customHeight="1">
      <c r="A71" s="240" t="s">
        <v>1145</v>
      </c>
      <c r="B71" s="239" t="s">
        <v>1146</v>
      </c>
      <c r="C71" s="241" t="s">
        <v>1147</v>
      </c>
      <c r="D71" s="243">
        <v>868000</v>
      </c>
      <c r="E71" s="249">
        <v>22250</v>
      </c>
      <c r="F71" s="243">
        <v>19313000000</v>
      </c>
      <c r="G71" s="253">
        <v>1.24E-2</v>
      </c>
    </row>
    <row r="72" spans="1:7" ht="39" customHeight="1">
      <c r="A72" s="240" t="s">
        <v>1148</v>
      </c>
      <c r="B72" s="239" t="s">
        <v>1149</v>
      </c>
      <c r="C72" s="241" t="s">
        <v>1150</v>
      </c>
      <c r="D72" s="243">
        <v>894000</v>
      </c>
      <c r="E72" s="249">
        <v>23300</v>
      </c>
      <c r="F72" s="243">
        <v>20830200000</v>
      </c>
      <c r="G72" s="253">
        <v>1.34E-2</v>
      </c>
    </row>
    <row r="73" spans="1:7" ht="39" customHeight="1">
      <c r="A73" s="240" t="s">
        <v>1151</v>
      </c>
      <c r="B73" s="239" t="s">
        <v>1152</v>
      </c>
      <c r="C73" s="241" t="s">
        <v>1153</v>
      </c>
      <c r="D73" s="243">
        <v>572568</v>
      </c>
      <c r="E73" s="249">
        <v>56900</v>
      </c>
      <c r="F73" s="243">
        <v>32579119200</v>
      </c>
      <c r="G73" s="253">
        <v>2.0899999999999998E-2</v>
      </c>
    </row>
    <row r="74" spans="1:7" ht="39" customHeight="1">
      <c r="A74" s="245"/>
      <c r="B74" s="244" t="s">
        <v>1154</v>
      </c>
      <c r="C74" s="245" t="s">
        <v>1155</v>
      </c>
      <c r="D74" s="247"/>
      <c r="E74" s="247"/>
      <c r="F74" s="247">
        <v>1451817016000</v>
      </c>
      <c r="G74" s="256">
        <v>0.93100000000000005</v>
      </c>
    </row>
    <row r="75" spans="1:7" ht="39" customHeight="1">
      <c r="A75" s="245" t="s">
        <v>1156</v>
      </c>
      <c r="B75" s="244" t="s">
        <v>1157</v>
      </c>
      <c r="C75" s="245" t="s">
        <v>1158</v>
      </c>
      <c r="D75" s="247"/>
      <c r="E75" s="247"/>
      <c r="F75" s="247"/>
      <c r="G75" s="256"/>
    </row>
    <row r="76" spans="1:7" ht="39" customHeight="1">
      <c r="A76" s="245"/>
      <c r="B76" s="244" t="s">
        <v>1159</v>
      </c>
      <c r="C76" s="245" t="s">
        <v>1160</v>
      </c>
      <c r="D76" s="247"/>
      <c r="E76" s="247"/>
      <c r="F76" s="247">
        <v>0</v>
      </c>
      <c r="G76" s="256"/>
    </row>
    <row r="77" spans="1:7" ht="39" customHeight="1">
      <c r="A77" s="245"/>
      <c r="B77" s="244" t="s">
        <v>1161</v>
      </c>
      <c r="C77" s="245" t="s">
        <v>1162</v>
      </c>
      <c r="D77" s="247"/>
      <c r="E77" s="247"/>
      <c r="F77" s="247">
        <v>1451817016000</v>
      </c>
      <c r="G77" s="256">
        <v>0.93100000000000005</v>
      </c>
    </row>
    <row r="78" spans="1:7" ht="39" customHeight="1">
      <c r="A78" s="245" t="s">
        <v>1163</v>
      </c>
      <c r="B78" s="244" t="s">
        <v>1164</v>
      </c>
      <c r="C78" s="245" t="s">
        <v>1165</v>
      </c>
      <c r="D78" s="247"/>
      <c r="E78" s="247"/>
      <c r="F78" s="247"/>
      <c r="G78" s="256"/>
    </row>
    <row r="79" spans="1:7" ht="39" customHeight="1">
      <c r="A79" s="240" t="s">
        <v>1166</v>
      </c>
      <c r="B79" s="239" t="s">
        <v>1167</v>
      </c>
      <c r="C79" s="241" t="s">
        <v>1168</v>
      </c>
      <c r="D79" s="243" t="s">
        <v>1169</v>
      </c>
      <c r="E79" s="249" t="s">
        <v>1170</v>
      </c>
      <c r="F79" s="243" t="s">
        <v>1171</v>
      </c>
      <c r="G79" s="253"/>
    </row>
    <row r="80" spans="1:7" ht="39" customHeight="1">
      <c r="A80" s="240" t="s">
        <v>1172</v>
      </c>
      <c r="B80" s="239" t="s">
        <v>1173</v>
      </c>
      <c r="C80" s="241" t="s">
        <v>1174</v>
      </c>
      <c r="D80" s="243"/>
      <c r="E80" s="249"/>
      <c r="F80" s="243">
        <v>0</v>
      </c>
      <c r="G80" s="253"/>
    </row>
    <row r="81" spans="1:7" ht="39" customHeight="1">
      <c r="A81" s="240" t="s">
        <v>1175</v>
      </c>
      <c r="B81" s="239" t="s">
        <v>1176</v>
      </c>
      <c r="C81" s="241" t="s">
        <v>1177</v>
      </c>
      <c r="D81" s="243"/>
      <c r="E81" s="249"/>
      <c r="F81" s="243">
        <v>15155514000</v>
      </c>
      <c r="G81" s="253">
        <v>9.7000000000000003E-3</v>
      </c>
    </row>
    <row r="82" spans="1:7" ht="39" customHeight="1">
      <c r="A82" s="240" t="s">
        <v>1178</v>
      </c>
      <c r="B82" s="239" t="s">
        <v>1179</v>
      </c>
      <c r="C82" s="241" t="s">
        <v>1180</v>
      </c>
      <c r="D82" s="243">
        <v>15</v>
      </c>
      <c r="E82" s="249">
        <v>1010367600</v>
      </c>
      <c r="F82" s="243">
        <v>15155514000</v>
      </c>
      <c r="G82" s="253">
        <v>9.7000000000000003E-3</v>
      </c>
    </row>
    <row r="83" spans="1:7" ht="39" customHeight="1">
      <c r="A83" s="245"/>
      <c r="B83" s="244" t="s">
        <v>1181</v>
      </c>
      <c r="C83" s="245" t="s">
        <v>1182</v>
      </c>
      <c r="D83" s="247"/>
      <c r="E83" s="247"/>
      <c r="F83" s="247">
        <v>15155514000</v>
      </c>
      <c r="G83" s="256">
        <v>9.7000000000000003E-3</v>
      </c>
    </row>
    <row r="84" spans="1:7" ht="39" customHeight="1">
      <c r="A84" s="245" t="s">
        <v>1183</v>
      </c>
      <c r="B84" s="244" t="s">
        <v>1184</v>
      </c>
      <c r="C84" s="245" t="s">
        <v>1185</v>
      </c>
      <c r="D84" s="247"/>
      <c r="E84" s="247"/>
      <c r="F84" s="247"/>
      <c r="G84" s="256"/>
    </row>
    <row r="85" spans="1:7" ht="39" customHeight="1">
      <c r="A85" s="240" t="s">
        <v>1186</v>
      </c>
      <c r="B85" s="239" t="s">
        <v>1187</v>
      </c>
      <c r="C85" s="241" t="s">
        <v>1188</v>
      </c>
      <c r="D85" s="243" t="s">
        <v>1189</v>
      </c>
      <c r="E85" s="249" t="s">
        <v>1190</v>
      </c>
      <c r="F85" s="243" t="s">
        <v>1191</v>
      </c>
      <c r="G85" s="253"/>
    </row>
    <row r="86" spans="1:7" ht="39" customHeight="1">
      <c r="A86" s="240" t="s">
        <v>1192</v>
      </c>
      <c r="B86" s="239" t="s">
        <v>1193</v>
      </c>
      <c r="C86" s="241" t="s">
        <v>1194</v>
      </c>
      <c r="D86" s="243"/>
      <c r="E86" s="249"/>
      <c r="F86" s="243">
        <v>2104550000</v>
      </c>
      <c r="G86" s="253">
        <v>1.2999999999999999E-3</v>
      </c>
    </row>
    <row r="87" spans="1:7" ht="39" customHeight="1">
      <c r="A87" s="240" t="s">
        <v>1195</v>
      </c>
      <c r="B87" s="239" t="s">
        <v>1196</v>
      </c>
      <c r="C87" s="241" t="s">
        <v>1197</v>
      </c>
      <c r="D87" s="243">
        <v>1718000</v>
      </c>
      <c r="E87" s="249">
        <v>1225</v>
      </c>
      <c r="F87" s="243">
        <v>2104550000</v>
      </c>
      <c r="G87" s="253">
        <v>1.2999999999999999E-3</v>
      </c>
    </row>
    <row r="88" spans="1:7" ht="39" customHeight="1">
      <c r="A88" s="240" t="s">
        <v>1198</v>
      </c>
      <c r="B88" s="239" t="s">
        <v>1199</v>
      </c>
      <c r="C88" s="241" t="s">
        <v>1200</v>
      </c>
      <c r="D88" s="243"/>
      <c r="E88" s="249"/>
      <c r="F88" s="243">
        <v>0</v>
      </c>
      <c r="G88" s="253">
        <v>0</v>
      </c>
    </row>
    <row r="89" spans="1:7" ht="39" customHeight="1">
      <c r="A89" s="245"/>
      <c r="B89" s="244" t="s">
        <v>1201</v>
      </c>
      <c r="C89" s="245" t="s">
        <v>1202</v>
      </c>
      <c r="D89" s="247"/>
      <c r="E89" s="247"/>
      <c r="F89" s="247">
        <v>2104550000</v>
      </c>
      <c r="G89" s="256">
        <v>1.2999999999999999E-3</v>
      </c>
    </row>
    <row r="90" spans="1:7" ht="39" customHeight="1">
      <c r="A90" s="245"/>
      <c r="B90" s="244" t="s">
        <v>1203</v>
      </c>
      <c r="C90" s="245" t="s">
        <v>1204</v>
      </c>
      <c r="D90" s="247"/>
      <c r="E90" s="247"/>
      <c r="F90" s="247">
        <v>1469077080000</v>
      </c>
      <c r="G90" s="256"/>
    </row>
    <row r="91" spans="1:7" ht="39" customHeight="1">
      <c r="A91" s="245" t="s">
        <v>1205</v>
      </c>
      <c r="B91" s="244" t="s">
        <v>1206</v>
      </c>
      <c r="C91" s="245" t="s">
        <v>1207</v>
      </c>
      <c r="D91" s="247"/>
      <c r="E91" s="247"/>
      <c r="F91" s="247"/>
      <c r="G91" s="256"/>
    </row>
    <row r="92" spans="1:7" ht="39" customHeight="1">
      <c r="A92" s="240" t="s">
        <v>1208</v>
      </c>
      <c r="B92" s="239" t="s">
        <v>1209</v>
      </c>
      <c r="C92" s="241" t="s">
        <v>1210</v>
      </c>
      <c r="D92" s="243" t="s">
        <v>1211</v>
      </c>
      <c r="E92" s="249" t="s">
        <v>1212</v>
      </c>
      <c r="F92" s="243" t="s">
        <v>1213</v>
      </c>
      <c r="G92" s="253"/>
    </row>
    <row r="93" spans="1:7" ht="39" customHeight="1">
      <c r="A93" s="240" t="s">
        <v>1214</v>
      </c>
      <c r="B93" s="239" t="s">
        <v>1215</v>
      </c>
      <c r="C93" s="241" t="s">
        <v>1216</v>
      </c>
      <c r="D93" s="243"/>
      <c r="E93" s="249"/>
      <c r="F93" s="243">
        <v>2860600000</v>
      </c>
      <c r="G93" s="253">
        <v>1.8E-3</v>
      </c>
    </row>
    <row r="94" spans="1:7" ht="39" customHeight="1">
      <c r="A94" s="240" t="s">
        <v>1217</v>
      </c>
      <c r="B94" s="239" t="s">
        <v>1218</v>
      </c>
      <c r="C94" s="241" t="s">
        <v>1219</v>
      </c>
      <c r="D94" s="243"/>
      <c r="E94" s="249"/>
      <c r="F94" s="243">
        <v>88767123</v>
      </c>
      <c r="G94" s="253">
        <v>1E-4</v>
      </c>
    </row>
    <row r="95" spans="1:7" ht="42.9" customHeight="1">
      <c r="A95" s="240" t="s">
        <v>1220</v>
      </c>
      <c r="B95" s="239" t="s">
        <v>1221</v>
      </c>
      <c r="C95" s="241" t="s">
        <v>1222</v>
      </c>
      <c r="D95" s="243"/>
      <c r="E95" s="249"/>
      <c r="F95" s="243">
        <v>0</v>
      </c>
      <c r="G95" s="253">
        <v>0</v>
      </c>
    </row>
    <row r="96" spans="1:7" ht="39" customHeight="1">
      <c r="A96" s="240" t="s">
        <v>1223</v>
      </c>
      <c r="B96" s="239" t="s">
        <v>1224</v>
      </c>
      <c r="C96" s="241" t="s">
        <v>1225</v>
      </c>
      <c r="D96" s="243"/>
      <c r="E96" s="249"/>
      <c r="F96" s="243">
        <v>28573030000</v>
      </c>
      <c r="G96" s="253">
        <v>1.83E-2</v>
      </c>
    </row>
    <row r="97" spans="1:7" ht="42.9" customHeight="1">
      <c r="A97" s="240" t="s">
        <v>1226</v>
      </c>
      <c r="B97" s="239" t="s">
        <v>1227</v>
      </c>
      <c r="C97" s="241" t="s">
        <v>1228</v>
      </c>
      <c r="D97" s="243"/>
      <c r="E97" s="249"/>
      <c r="F97" s="243">
        <v>0</v>
      </c>
      <c r="G97" s="253">
        <v>0</v>
      </c>
    </row>
    <row r="98" spans="1:7" ht="39" customHeight="1">
      <c r="A98" s="240" t="s">
        <v>1229</v>
      </c>
      <c r="B98" s="239" t="s">
        <v>1230</v>
      </c>
      <c r="C98" s="241" t="s">
        <v>1231</v>
      </c>
      <c r="D98" s="243"/>
      <c r="E98" s="249"/>
      <c r="F98" s="243">
        <v>-866400000</v>
      </c>
      <c r="G98" s="253">
        <v>-5.9999999999999995E-4</v>
      </c>
    </row>
    <row r="99" spans="1:7" ht="39" customHeight="1">
      <c r="A99" s="240" t="s">
        <v>1232</v>
      </c>
      <c r="B99" s="239" t="s">
        <v>1233</v>
      </c>
      <c r="C99" s="241" t="s">
        <v>1234</v>
      </c>
      <c r="D99" s="243"/>
      <c r="E99" s="249"/>
      <c r="F99" s="243">
        <v>0</v>
      </c>
      <c r="G99" s="253">
        <v>0</v>
      </c>
    </row>
    <row r="100" spans="1:7" ht="39" customHeight="1">
      <c r="A100" s="240"/>
      <c r="B100" s="239" t="s">
        <v>1235</v>
      </c>
      <c r="C100" s="241" t="s">
        <v>1236</v>
      </c>
      <c r="D100" s="243"/>
      <c r="E100" s="249"/>
      <c r="F100" s="243">
        <v>30655997123</v>
      </c>
      <c r="G100" s="253">
        <v>1.9599999999999999E-2</v>
      </c>
    </row>
    <row r="101" spans="1:7" ht="39" customHeight="1">
      <c r="A101" s="245" t="s">
        <v>1237</v>
      </c>
      <c r="B101" s="244" t="s">
        <v>1238</v>
      </c>
      <c r="C101" s="245" t="s">
        <v>1239</v>
      </c>
      <c r="D101" s="247"/>
      <c r="E101" s="247"/>
      <c r="F101" s="247"/>
      <c r="G101" s="256"/>
    </row>
    <row r="102" spans="1:7" ht="39" customHeight="1">
      <c r="A102" s="240" t="s">
        <v>1240</v>
      </c>
      <c r="B102" s="239" t="s">
        <v>1241</v>
      </c>
      <c r="C102" s="241" t="s">
        <v>1242</v>
      </c>
      <c r="D102" s="243"/>
      <c r="E102" s="249"/>
      <c r="F102" s="243">
        <v>59838686129</v>
      </c>
      <c r="G102" s="253">
        <v>3.8399999999999997E-2</v>
      </c>
    </row>
    <row r="103" spans="1:7" ht="39" customHeight="1">
      <c r="A103" s="240" t="s">
        <v>1243</v>
      </c>
      <c r="B103" s="239" t="s">
        <v>1244</v>
      </c>
      <c r="C103" s="241" t="s">
        <v>1245</v>
      </c>
      <c r="D103" s="243" t="s">
        <v>1246</v>
      </c>
      <c r="E103" s="249" t="s">
        <v>1247</v>
      </c>
      <c r="F103" s="243" t="s">
        <v>1248</v>
      </c>
      <c r="G103" s="253"/>
    </row>
    <row r="104" spans="1:7" ht="39" customHeight="1">
      <c r="A104" s="240" t="s">
        <v>1249</v>
      </c>
      <c r="B104" s="239" t="s">
        <v>1250</v>
      </c>
      <c r="C104" s="241" t="s">
        <v>1251</v>
      </c>
      <c r="D104" s="243"/>
      <c r="E104" s="249"/>
      <c r="F104" s="243">
        <v>59838686129</v>
      </c>
      <c r="G104" s="253">
        <v>3.8399999999999997E-2</v>
      </c>
    </row>
    <row r="105" spans="1:7" ht="39" customHeight="1">
      <c r="A105" s="240" t="s">
        <v>1252</v>
      </c>
      <c r="B105" s="239" t="s">
        <v>1253</v>
      </c>
      <c r="C105" s="241" t="s">
        <v>1254</v>
      </c>
      <c r="D105" s="243"/>
      <c r="E105" s="249"/>
      <c r="F105" s="243">
        <v>0</v>
      </c>
      <c r="G105" s="253">
        <v>0</v>
      </c>
    </row>
    <row r="106" spans="1:7" ht="39" customHeight="1">
      <c r="A106" s="240" t="s">
        <v>1255</v>
      </c>
      <c r="B106" s="239" t="s">
        <v>1256</v>
      </c>
      <c r="C106" s="241" t="s">
        <v>1257</v>
      </c>
      <c r="D106" s="243"/>
      <c r="E106" s="249"/>
      <c r="F106" s="243">
        <v>0</v>
      </c>
      <c r="G106" s="253">
        <v>0</v>
      </c>
    </row>
    <row r="107" spans="1:7" ht="39" customHeight="1">
      <c r="A107" s="240" t="s">
        <v>1258</v>
      </c>
      <c r="B107" s="239" t="s">
        <v>1259</v>
      </c>
      <c r="C107" s="241" t="s">
        <v>1260</v>
      </c>
      <c r="D107" s="243"/>
      <c r="E107" s="249"/>
      <c r="F107" s="243">
        <v>0</v>
      </c>
      <c r="G107" s="253">
        <v>0</v>
      </c>
    </row>
    <row r="108" spans="1:7" ht="39" customHeight="1">
      <c r="A108" s="240" t="s">
        <v>1261</v>
      </c>
      <c r="B108" s="239" t="s">
        <v>1262</v>
      </c>
      <c r="C108" s="241" t="s">
        <v>1263</v>
      </c>
      <c r="D108" s="243" t="s">
        <v>1264</v>
      </c>
      <c r="E108" s="249" t="s">
        <v>1265</v>
      </c>
      <c r="F108" s="243" t="s">
        <v>1266</v>
      </c>
      <c r="G108" s="253"/>
    </row>
    <row r="109" spans="1:7" ht="39" customHeight="1">
      <c r="A109" s="240" t="s">
        <v>1267</v>
      </c>
      <c r="B109" s="239" t="s">
        <v>1268</v>
      </c>
      <c r="C109" s="241" t="s">
        <v>1269</v>
      </c>
      <c r="D109" s="243"/>
      <c r="E109" s="249"/>
      <c r="F109" s="243">
        <v>0</v>
      </c>
      <c r="G109" s="253">
        <v>0</v>
      </c>
    </row>
    <row r="110" spans="1:7" ht="39" customHeight="1">
      <c r="A110" s="240" t="s">
        <v>1270</v>
      </c>
      <c r="B110" s="239" t="s">
        <v>1271</v>
      </c>
      <c r="C110" s="241" t="s">
        <v>1272</v>
      </c>
      <c r="D110" s="243" t="s">
        <v>1273</v>
      </c>
      <c r="E110" s="249" t="s">
        <v>1274</v>
      </c>
      <c r="F110" s="243" t="s">
        <v>1275</v>
      </c>
      <c r="G110" s="253"/>
    </row>
    <row r="111" spans="1:7" ht="39" customHeight="1">
      <c r="A111" s="245"/>
      <c r="B111" s="244" t="s">
        <v>1276</v>
      </c>
      <c r="C111" s="245" t="s">
        <v>1277</v>
      </c>
      <c r="D111" s="247"/>
      <c r="E111" s="247"/>
      <c r="F111" s="247">
        <v>59838686129</v>
      </c>
      <c r="G111" s="256">
        <v>3.8399999999999997E-2</v>
      </c>
    </row>
    <row r="112" spans="1:7" ht="39" customHeight="1">
      <c r="A112" s="245" t="s">
        <v>1278</v>
      </c>
      <c r="B112" s="244" t="s">
        <v>1279</v>
      </c>
      <c r="C112" s="245" t="s">
        <v>1280</v>
      </c>
      <c r="D112" s="247"/>
      <c r="E112" s="247"/>
      <c r="F112" s="247">
        <v>1559571763252</v>
      </c>
      <c r="G112" s="256">
        <v>1</v>
      </c>
    </row>
    <row r="113" spans="1:7">
      <c r="C113" s="85"/>
    </row>
    <row r="114" spans="1:7" ht="16.95" customHeight="1">
      <c r="A114" s="32"/>
      <c r="B114" s="195" t="s">
        <v>249</v>
      </c>
      <c r="C114" s="271" t="s">
        <v>250</v>
      </c>
      <c r="D114" s="271"/>
      <c r="E114" s="271"/>
      <c r="F114" s="271"/>
      <c r="G114" s="271"/>
    </row>
    <row r="121" spans="1:7">
      <c r="G121" s="32"/>
    </row>
    <row r="122" spans="1:7">
      <c r="G122" s="32"/>
    </row>
    <row r="123" spans="1:7">
      <c r="G123" s="32"/>
    </row>
    <row r="124" spans="1:7">
      <c r="G124" s="32"/>
    </row>
    <row r="125" spans="1:7">
      <c r="G125" s="32"/>
    </row>
    <row r="126" spans="1:7">
      <c r="A126" s="32"/>
      <c r="B126" s="196" t="s">
        <v>617</v>
      </c>
      <c r="C126" s="274" t="s">
        <v>618</v>
      </c>
      <c r="D126" s="274"/>
      <c r="E126" s="274"/>
      <c r="F126" s="278" t="s">
        <v>612</v>
      </c>
      <c r="G126" s="278"/>
    </row>
    <row r="127" spans="1:7" ht="16.95" customHeight="1">
      <c r="B127" s="197" t="s">
        <v>1688</v>
      </c>
      <c r="C127" s="275" t="s">
        <v>1689</v>
      </c>
      <c r="D127" s="275"/>
      <c r="E127" s="275"/>
      <c r="F127" s="275" t="s">
        <v>1682</v>
      </c>
      <c r="G127" s="275"/>
    </row>
    <row r="128" spans="1:7" ht="16.95" customHeight="1">
      <c r="B128" s="198" t="s">
        <v>1690</v>
      </c>
      <c r="C128" s="274" t="s">
        <v>1691</v>
      </c>
      <c r="D128" s="274"/>
      <c r="E128" s="274"/>
      <c r="F128" s="274" t="s">
        <v>1683</v>
      </c>
      <c r="G128" s="274"/>
    </row>
    <row r="129" spans="1:7">
      <c r="A129" s="49"/>
      <c r="B129" s="32"/>
      <c r="C129" s="32"/>
      <c r="D129" s="32"/>
      <c r="E129" s="49"/>
      <c r="F129" s="32"/>
      <c r="G129" s="32"/>
    </row>
  </sheetData>
  <mergeCells count="19">
    <mergeCell ref="C127:E127"/>
    <mergeCell ref="F127:G127"/>
    <mergeCell ref="C128:E128"/>
    <mergeCell ref="F128:G128"/>
    <mergeCell ref="C114:G114"/>
    <mergeCell ref="C126:E126"/>
    <mergeCell ref="F126:G126"/>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80"/>
  <sheetViews>
    <sheetView view="pageBreakPreview" topLeftCell="A55" zoomScaleNormal="100" zoomScaleSheetLayoutView="100" workbookViewId="0">
      <selection activeCell="A17" sqref="A17:E64"/>
    </sheetView>
  </sheetViews>
  <sheetFormatPr defaultColWidth="8.6640625" defaultRowHeight="13.2"/>
  <cols>
    <col min="1" max="1" width="52.109375" style="15" customWidth="1"/>
    <col min="2" max="2" width="9.44140625" style="15" customWidth="1"/>
    <col min="3" max="3" width="13.88671875" style="15" customWidth="1"/>
    <col min="4" max="4" width="33.5546875" style="15" customWidth="1"/>
    <col min="5" max="5" width="33.109375" style="15" customWidth="1"/>
    <col min="6" max="16384" width="8.6640625" style="30"/>
  </cols>
  <sheetData>
    <row r="1" spans="1:5" ht="55.5" customHeight="1">
      <c r="A1" s="264" t="s">
        <v>710</v>
      </c>
      <c r="B1" s="264"/>
      <c r="C1" s="264"/>
      <c r="D1" s="264"/>
      <c r="E1" s="264"/>
    </row>
    <row r="2" spans="1:5" ht="67.5" customHeight="1">
      <c r="A2" s="265" t="s">
        <v>703</v>
      </c>
      <c r="B2" s="265"/>
      <c r="C2" s="265"/>
      <c r="D2" s="265"/>
      <c r="E2" s="265"/>
    </row>
    <row r="3" spans="1:5" ht="39.450000000000003" customHeight="1">
      <c r="A3" s="266" t="s">
        <v>253</v>
      </c>
      <c r="B3" s="266"/>
      <c r="C3" s="266"/>
      <c r="D3" s="266"/>
      <c r="E3" s="266"/>
    </row>
    <row r="4" spans="1:5" ht="16.95" customHeight="1">
      <c r="A4" s="267" t="str">
        <f>TONGQUAN!C2</f>
        <v>Năm 2023
/ Year 2023</v>
      </c>
      <c r="B4" s="267"/>
      <c r="C4" s="267"/>
      <c r="D4" s="267"/>
      <c r="E4" s="267"/>
    </row>
    <row r="5" spans="1:5" ht="0.45" customHeight="1"/>
    <row r="7" spans="1:5" ht="16.95" customHeight="1">
      <c r="A7" s="192" t="s">
        <v>2</v>
      </c>
      <c r="B7" s="268" t="str">
        <f>TONGQUAN!D5</f>
        <v>Công ty Cổ phần Quản lý Quỹ Đầu tư Dragon Capital Việt Nam</v>
      </c>
      <c r="C7" s="268"/>
      <c r="D7" s="268"/>
      <c r="E7" s="268"/>
    </row>
    <row r="8" spans="1:5" ht="16.95" customHeight="1">
      <c r="A8" s="15" t="s">
        <v>15</v>
      </c>
      <c r="B8" s="263" t="str">
        <f>TONGQUAN!D6</f>
        <v>Dragon Capital Vietfund Management Joint Stock Company</v>
      </c>
      <c r="C8" s="263"/>
      <c r="D8" s="263"/>
      <c r="E8" s="263"/>
    </row>
    <row r="9" spans="1:5" ht="16.95" customHeight="1">
      <c r="A9" s="192" t="s">
        <v>3</v>
      </c>
      <c r="B9" s="268" t="str">
        <f>TONGQUAN!D7</f>
        <v>Ngân hàng TNHH Một thành viên Standard Chartered (Việt Nam)</v>
      </c>
      <c r="C9" s="268"/>
      <c r="D9" s="268"/>
      <c r="E9" s="268"/>
    </row>
    <row r="10" spans="1:5" ht="16.95" customHeight="1">
      <c r="A10" s="15" t="s">
        <v>4</v>
      </c>
      <c r="B10" s="263" t="str">
        <f>TONGQUAN!D8</f>
        <v>Standard Chartered Bank (Vietnam) Limited</v>
      </c>
      <c r="C10" s="263"/>
      <c r="D10" s="263"/>
      <c r="E10" s="263"/>
    </row>
    <row r="11" spans="1:5" ht="16.95" customHeight="1">
      <c r="A11" s="192" t="s">
        <v>5</v>
      </c>
      <c r="B11" s="268" t="str">
        <f>TONGQUAN!D9</f>
        <v>Quỹ Đầu tư Chứng khoán Năng động DC</v>
      </c>
      <c r="C11" s="268"/>
      <c r="D11" s="268"/>
      <c r="E11" s="268"/>
    </row>
    <row r="12" spans="1:5" ht="16.95" customHeight="1">
      <c r="A12" s="15" t="s">
        <v>6</v>
      </c>
      <c r="B12" s="263" t="str">
        <f>TONGQUAN!D10</f>
        <v>DC Dynamic Securities Fund(DCDS)</v>
      </c>
      <c r="C12" s="263"/>
      <c r="D12" s="263"/>
      <c r="E12" s="263"/>
    </row>
    <row r="13" spans="1:5" ht="16.95" customHeight="1">
      <c r="A13" s="192" t="s">
        <v>7</v>
      </c>
      <c r="B13" s="268" t="str">
        <f>TONGQUAN!D11</f>
        <v>Ngày 08 tháng 03 năm 2024</v>
      </c>
      <c r="C13" s="268"/>
      <c r="D13" s="268"/>
      <c r="E13" s="268"/>
    </row>
    <row r="14" spans="1:5" ht="16.95" customHeight="1">
      <c r="A14" s="15" t="s">
        <v>8</v>
      </c>
      <c r="B14" s="263" t="str">
        <f>TONGQUAN!D12</f>
        <v>08 Mar 2024</v>
      </c>
      <c r="C14" s="263"/>
      <c r="D14" s="263"/>
      <c r="E14" s="263"/>
    </row>
    <row r="17" spans="1:6" ht="41.25" customHeight="1">
      <c r="A17" s="31" t="s">
        <v>169</v>
      </c>
      <c r="B17" s="31" t="s">
        <v>170</v>
      </c>
      <c r="C17" s="31" t="s">
        <v>171</v>
      </c>
      <c r="D17" s="31" t="str">
        <f>BCKetQuaHoatDong_06028!D18</f>
        <v>Năm 2023
Year 2023</v>
      </c>
      <c r="E17" s="31" t="str">
        <f>BCKetQuaHoatDong_06028!E18</f>
        <v>Năm 2022
Year 2022</v>
      </c>
    </row>
    <row r="18" spans="1:6" s="38" customFormat="1" ht="26.4">
      <c r="A18" s="50" t="s">
        <v>254</v>
      </c>
      <c r="B18" s="51" t="s">
        <v>16</v>
      </c>
      <c r="C18" s="52"/>
      <c r="D18" s="247"/>
      <c r="E18" s="247"/>
    </row>
    <row r="19" spans="1:6" ht="26.4">
      <c r="A19" s="54" t="s">
        <v>326</v>
      </c>
      <c r="B19" s="194" t="s">
        <v>172</v>
      </c>
      <c r="C19" s="55"/>
      <c r="D19" s="247">
        <v>326760799108</v>
      </c>
      <c r="E19" s="247">
        <v>-665811825559</v>
      </c>
      <c r="F19" s="38"/>
    </row>
    <row r="20" spans="1:6" ht="39.6">
      <c r="A20" s="54" t="s">
        <v>255</v>
      </c>
      <c r="B20" s="194" t="s">
        <v>173</v>
      </c>
      <c r="C20" s="55"/>
      <c r="D20" s="247">
        <v>-142880612676</v>
      </c>
      <c r="E20" s="247">
        <v>198358491916</v>
      </c>
      <c r="F20" s="38"/>
    </row>
    <row r="21" spans="1:6" ht="52.8">
      <c r="A21" s="54" t="s">
        <v>371</v>
      </c>
      <c r="B21" s="194" t="s">
        <v>174</v>
      </c>
      <c r="C21" s="55"/>
      <c r="D21" s="39">
        <v>-142817592676</v>
      </c>
      <c r="E21" s="39">
        <v>198373066916</v>
      </c>
      <c r="F21" s="38"/>
    </row>
    <row r="22" spans="1:6" ht="26.4">
      <c r="A22" s="54" t="s">
        <v>372</v>
      </c>
      <c r="B22" s="194" t="s">
        <v>177</v>
      </c>
      <c r="C22" s="55"/>
      <c r="D22" s="39">
        <v>-63020000</v>
      </c>
      <c r="E22" s="39">
        <v>-14575000</v>
      </c>
      <c r="F22" s="38"/>
    </row>
    <row r="23" spans="1:6" ht="52.8">
      <c r="A23" s="54" t="s">
        <v>256</v>
      </c>
      <c r="B23" s="194" t="s">
        <v>178</v>
      </c>
      <c r="C23" s="55"/>
      <c r="D23" s="247">
        <v>183880186432</v>
      </c>
      <c r="E23" s="247">
        <v>-467453333643</v>
      </c>
      <c r="F23" s="38"/>
    </row>
    <row r="24" spans="1:6" ht="26.4">
      <c r="A24" s="54" t="s">
        <v>373</v>
      </c>
      <c r="B24" s="194" t="s">
        <v>195</v>
      </c>
      <c r="C24" s="55"/>
      <c r="D24" s="39">
        <v>-116246052364</v>
      </c>
      <c r="E24" s="39">
        <v>62423110024</v>
      </c>
      <c r="F24" s="38"/>
    </row>
    <row r="25" spans="1:6" ht="39.6">
      <c r="A25" s="54" t="s">
        <v>257</v>
      </c>
      <c r="B25" s="194" t="s">
        <v>179</v>
      </c>
      <c r="C25" s="55"/>
      <c r="D25" s="39">
        <v>8048895000</v>
      </c>
      <c r="E25" s="39">
        <v>-17934475000</v>
      </c>
      <c r="F25" s="38"/>
    </row>
    <row r="26" spans="1:6" ht="26.4">
      <c r="A26" s="54" t="s">
        <v>258</v>
      </c>
      <c r="B26" s="194" t="s">
        <v>180</v>
      </c>
      <c r="C26" s="55"/>
      <c r="D26" s="39">
        <v>3403423288</v>
      </c>
      <c r="E26" s="39">
        <v>-3651411753</v>
      </c>
      <c r="F26" s="38"/>
    </row>
    <row r="27" spans="1:6" ht="26.4">
      <c r="A27" s="54" t="s">
        <v>327</v>
      </c>
      <c r="B27" s="194" t="s">
        <v>181</v>
      </c>
      <c r="C27" s="55"/>
      <c r="D27" s="39">
        <v>0</v>
      </c>
      <c r="E27" s="39">
        <v>24200</v>
      </c>
      <c r="F27" s="38"/>
    </row>
    <row r="28" spans="1:6" ht="26.4">
      <c r="A28" s="54" t="s">
        <v>374</v>
      </c>
      <c r="B28" s="194" t="s">
        <v>182</v>
      </c>
      <c r="C28" s="55"/>
      <c r="D28" s="39">
        <v>0</v>
      </c>
      <c r="E28" s="39">
        <v>0</v>
      </c>
      <c r="F28" s="38"/>
    </row>
    <row r="29" spans="1:6" ht="39.6">
      <c r="A29" s="54" t="s">
        <v>259</v>
      </c>
      <c r="B29" s="194" t="s">
        <v>183</v>
      </c>
      <c r="C29" s="55"/>
      <c r="D29" s="39">
        <v>-8647040000</v>
      </c>
      <c r="E29" s="39">
        <v>33721725000</v>
      </c>
      <c r="F29" s="38"/>
    </row>
    <row r="30" spans="1:6" ht="52.8">
      <c r="A30" s="54" t="s">
        <v>260</v>
      </c>
      <c r="B30" s="194" t="s">
        <v>185</v>
      </c>
      <c r="C30" s="55"/>
      <c r="D30" s="39">
        <v>-98860744</v>
      </c>
      <c r="E30" s="39">
        <v>-1176620106</v>
      </c>
      <c r="F30" s="38"/>
    </row>
    <row r="31" spans="1:6" ht="39.6">
      <c r="A31" s="54" t="s">
        <v>375</v>
      </c>
      <c r="B31" s="194" t="s">
        <v>189</v>
      </c>
      <c r="C31" s="55"/>
      <c r="D31" s="39">
        <v>0</v>
      </c>
      <c r="E31" s="39">
        <v>0</v>
      </c>
      <c r="F31" s="38"/>
    </row>
    <row r="32" spans="1:6" ht="39.6">
      <c r="A32" s="54" t="s">
        <v>376</v>
      </c>
      <c r="B32" s="194" t="s">
        <v>191</v>
      </c>
      <c r="C32" s="55"/>
      <c r="D32" s="39">
        <v>15023097</v>
      </c>
      <c r="E32" s="39">
        <v>-44225378</v>
      </c>
      <c r="F32" s="38"/>
    </row>
    <row r="33" spans="1:7" ht="39.6">
      <c r="A33" s="54" t="s">
        <v>377</v>
      </c>
      <c r="B33" s="194" t="s">
        <v>193</v>
      </c>
      <c r="C33" s="55"/>
      <c r="D33" s="39">
        <v>701217641</v>
      </c>
      <c r="E33" s="39">
        <v>-5329402327</v>
      </c>
      <c r="F33" s="38"/>
    </row>
    <row r="34" spans="1:7" ht="39.6">
      <c r="A34" s="54" t="s">
        <v>378</v>
      </c>
      <c r="B34" s="194" t="s">
        <v>194</v>
      </c>
      <c r="C34" s="55"/>
      <c r="D34" s="39">
        <v>-5719506707</v>
      </c>
      <c r="E34" s="39">
        <v>7250325972</v>
      </c>
      <c r="F34" s="38"/>
    </row>
    <row r="35" spans="1:7" ht="26.4">
      <c r="A35" s="54" t="s">
        <v>379</v>
      </c>
      <c r="B35" s="194" t="s">
        <v>261</v>
      </c>
      <c r="C35" s="55"/>
      <c r="D35" s="39">
        <v>-69222520</v>
      </c>
      <c r="E35" s="39">
        <v>118854168</v>
      </c>
      <c r="F35" s="38"/>
    </row>
    <row r="36" spans="1:7" ht="39.6">
      <c r="A36" s="56" t="s">
        <v>380</v>
      </c>
      <c r="B36" s="194" t="s">
        <v>262</v>
      </c>
      <c r="C36" s="55"/>
      <c r="D36" s="39">
        <v>305676567</v>
      </c>
      <c r="E36" s="39">
        <v>-452028281</v>
      </c>
      <c r="F36" s="38"/>
    </row>
    <row r="37" spans="1:7" ht="26.4">
      <c r="A37" s="54" t="s">
        <v>263</v>
      </c>
      <c r="B37" s="194" t="s">
        <v>264</v>
      </c>
      <c r="C37" s="55"/>
      <c r="D37" s="39">
        <v>0</v>
      </c>
      <c r="E37" s="39">
        <v>0</v>
      </c>
      <c r="F37" s="38"/>
    </row>
    <row r="38" spans="1:7" s="38" customFormat="1" ht="39.6">
      <c r="A38" s="50" t="s">
        <v>328</v>
      </c>
      <c r="B38" s="51" t="s">
        <v>265</v>
      </c>
      <c r="C38" s="52"/>
      <c r="D38" s="247">
        <v>65573739690</v>
      </c>
      <c r="E38" s="247">
        <v>-392527457124</v>
      </c>
      <c r="G38" s="30"/>
    </row>
    <row r="39" spans="1:7" s="38" customFormat="1" ht="26.4">
      <c r="A39" s="50" t="s">
        <v>329</v>
      </c>
      <c r="B39" s="51" t="s">
        <v>22</v>
      </c>
      <c r="C39" s="52"/>
      <c r="D39" s="247"/>
      <c r="E39" s="247"/>
      <c r="G39" s="30"/>
    </row>
    <row r="40" spans="1:7" ht="26.4">
      <c r="A40" s="54" t="s">
        <v>381</v>
      </c>
      <c r="B40" s="194" t="s">
        <v>243</v>
      </c>
      <c r="C40" s="55"/>
      <c r="D40" s="39">
        <v>263340163689</v>
      </c>
      <c r="E40" s="39">
        <v>734385200678</v>
      </c>
      <c r="F40" s="38"/>
    </row>
    <row r="41" spans="1:7" ht="26.4">
      <c r="A41" s="54" t="s">
        <v>382</v>
      </c>
      <c r="B41" s="194" t="s">
        <v>245</v>
      </c>
      <c r="C41" s="55"/>
      <c r="D41" s="39">
        <v>-344996886597</v>
      </c>
      <c r="E41" s="39">
        <v>-449135011172</v>
      </c>
      <c r="F41" s="38"/>
    </row>
    <row r="42" spans="1:7" ht="26.4">
      <c r="A42" s="54" t="s">
        <v>330</v>
      </c>
      <c r="B42" s="194" t="s">
        <v>266</v>
      </c>
      <c r="C42" s="55"/>
      <c r="D42" s="39">
        <v>0</v>
      </c>
      <c r="E42" s="39">
        <v>0</v>
      </c>
      <c r="F42" s="38"/>
    </row>
    <row r="43" spans="1:7" ht="26.4">
      <c r="A43" s="54" t="s">
        <v>331</v>
      </c>
      <c r="B43" s="194" t="s">
        <v>267</v>
      </c>
      <c r="C43" s="55"/>
      <c r="D43" s="39">
        <v>0</v>
      </c>
      <c r="E43" s="39">
        <v>0</v>
      </c>
      <c r="F43" s="38"/>
    </row>
    <row r="44" spans="1:7" ht="26.4">
      <c r="A44" s="54" t="s">
        <v>383</v>
      </c>
      <c r="B44" s="194" t="s">
        <v>268</v>
      </c>
      <c r="C44" s="55"/>
      <c r="D44" s="39">
        <v>0</v>
      </c>
      <c r="E44" s="39">
        <v>0</v>
      </c>
      <c r="F44" s="38"/>
    </row>
    <row r="45" spans="1:7" ht="39.6">
      <c r="A45" s="50" t="s">
        <v>384</v>
      </c>
      <c r="B45" s="51" t="s">
        <v>241</v>
      </c>
      <c r="C45" s="55"/>
      <c r="D45" s="247">
        <v>-81656722908</v>
      </c>
      <c r="E45" s="247">
        <v>285250189506</v>
      </c>
      <c r="F45" s="38"/>
    </row>
    <row r="46" spans="1:7" s="38" customFormat="1" ht="39.6">
      <c r="A46" s="50" t="s">
        <v>332</v>
      </c>
      <c r="B46" s="51" t="s">
        <v>247</v>
      </c>
      <c r="C46" s="52"/>
      <c r="D46" s="247">
        <v>-16082983218</v>
      </c>
      <c r="E46" s="247">
        <v>-107277267618</v>
      </c>
      <c r="G46" s="30"/>
    </row>
    <row r="47" spans="1:7" s="38" customFormat="1" ht="39.6">
      <c r="A47" s="50" t="s">
        <v>333</v>
      </c>
      <c r="B47" s="51" t="s">
        <v>269</v>
      </c>
      <c r="C47" s="52"/>
      <c r="D47" s="247">
        <v>75921669347</v>
      </c>
      <c r="E47" s="247">
        <v>183198936965</v>
      </c>
      <c r="G47" s="30"/>
    </row>
    <row r="48" spans="1:7" ht="26.4">
      <c r="A48" s="54" t="s">
        <v>385</v>
      </c>
      <c r="B48" s="194" t="s">
        <v>270</v>
      </c>
      <c r="C48" s="55"/>
      <c r="D48" s="39">
        <v>75921669347</v>
      </c>
      <c r="E48" s="39">
        <v>183198936965</v>
      </c>
      <c r="F48" s="38"/>
    </row>
    <row r="49" spans="1:7" ht="39.6">
      <c r="A49" s="57" t="s">
        <v>386</v>
      </c>
      <c r="B49" s="194" t="s">
        <v>271</v>
      </c>
      <c r="C49" s="55"/>
      <c r="D49" s="39">
        <v>75046209212</v>
      </c>
      <c r="E49" s="39">
        <v>183101471378</v>
      </c>
      <c r="F49" s="38"/>
    </row>
    <row r="50" spans="1:7" ht="26.4">
      <c r="A50" s="58" t="s">
        <v>387</v>
      </c>
      <c r="B50" s="59" t="s">
        <v>272</v>
      </c>
      <c r="C50" s="55"/>
      <c r="D50" s="39">
        <v>75046209212</v>
      </c>
      <c r="E50" s="39">
        <v>103101471378</v>
      </c>
      <c r="F50" s="38"/>
    </row>
    <row r="51" spans="1:7" ht="26.4">
      <c r="A51" s="60" t="s">
        <v>388</v>
      </c>
      <c r="B51" s="59" t="s">
        <v>273</v>
      </c>
      <c r="C51" s="55"/>
      <c r="D51" s="39">
        <v>0</v>
      </c>
      <c r="E51" s="39">
        <v>80000000000</v>
      </c>
      <c r="F51" s="38"/>
    </row>
    <row r="52" spans="1:7" ht="26.4">
      <c r="A52" s="58" t="s">
        <v>21</v>
      </c>
      <c r="B52" s="59" t="s">
        <v>274</v>
      </c>
      <c r="C52" s="55"/>
      <c r="D52" s="39">
        <v>0</v>
      </c>
      <c r="E52" s="39">
        <v>0</v>
      </c>
      <c r="F52" s="38"/>
    </row>
    <row r="53" spans="1:7" ht="26.4">
      <c r="A53" s="54" t="s">
        <v>334</v>
      </c>
      <c r="B53" s="194" t="s">
        <v>275</v>
      </c>
      <c r="C53" s="55"/>
      <c r="D53" s="39">
        <v>875460135</v>
      </c>
      <c r="E53" s="39">
        <v>97465587</v>
      </c>
      <c r="F53" s="38"/>
    </row>
    <row r="54" spans="1:7" ht="26.4">
      <c r="A54" s="54" t="s">
        <v>335</v>
      </c>
      <c r="B54" s="194" t="s">
        <v>276</v>
      </c>
      <c r="C54" s="55"/>
      <c r="D54" s="39">
        <v>0</v>
      </c>
      <c r="E54" s="39">
        <v>0</v>
      </c>
      <c r="F54" s="38"/>
    </row>
    <row r="55" spans="1:7" s="38" customFormat="1" ht="26.4">
      <c r="A55" s="50" t="s">
        <v>336</v>
      </c>
      <c r="B55" s="51" t="s">
        <v>277</v>
      </c>
      <c r="C55" s="52"/>
      <c r="D55" s="247">
        <v>59838686129</v>
      </c>
      <c r="E55" s="247">
        <v>75921669347</v>
      </c>
      <c r="G55" s="30"/>
    </row>
    <row r="56" spans="1:7" ht="26.4">
      <c r="A56" s="54" t="s">
        <v>389</v>
      </c>
      <c r="B56" s="194" t="s">
        <v>278</v>
      </c>
      <c r="C56" s="55"/>
      <c r="D56" s="39">
        <v>59838686129</v>
      </c>
      <c r="E56" s="39">
        <v>75921669347</v>
      </c>
      <c r="F56" s="38"/>
    </row>
    <row r="57" spans="1:7" ht="39.6">
      <c r="A57" s="54" t="s">
        <v>386</v>
      </c>
      <c r="B57" s="194" t="s">
        <v>279</v>
      </c>
      <c r="C57" s="55"/>
      <c r="D57" s="39">
        <v>58254333383</v>
      </c>
      <c r="E57" s="39">
        <v>75046209212</v>
      </c>
      <c r="F57" s="38"/>
    </row>
    <row r="58" spans="1:7" ht="26.4">
      <c r="A58" s="58" t="s">
        <v>387</v>
      </c>
      <c r="B58" s="59" t="s">
        <v>280</v>
      </c>
      <c r="C58" s="55"/>
      <c r="D58" s="39">
        <v>58254333383</v>
      </c>
      <c r="E58" s="39">
        <v>75046209212</v>
      </c>
      <c r="F58" s="38"/>
    </row>
    <row r="59" spans="1:7" ht="26.4">
      <c r="A59" s="60" t="s">
        <v>388</v>
      </c>
      <c r="B59" s="59" t="s">
        <v>281</v>
      </c>
      <c r="C59" s="55"/>
      <c r="D59" s="39">
        <v>0</v>
      </c>
      <c r="E59" s="39">
        <v>0</v>
      </c>
      <c r="F59" s="38"/>
    </row>
    <row r="60" spans="1:7" ht="26.4">
      <c r="A60" s="58" t="s">
        <v>21</v>
      </c>
      <c r="B60" s="59" t="s">
        <v>282</v>
      </c>
      <c r="C60" s="55"/>
      <c r="D60" s="39">
        <v>0</v>
      </c>
      <c r="E60" s="39">
        <v>0</v>
      </c>
      <c r="F60" s="38"/>
    </row>
    <row r="61" spans="1:7" ht="26.4">
      <c r="A61" s="54" t="s">
        <v>390</v>
      </c>
      <c r="B61" s="194" t="s">
        <v>283</v>
      </c>
      <c r="C61" s="55"/>
      <c r="D61" s="39">
        <v>1584352746</v>
      </c>
      <c r="E61" s="39">
        <v>875460135</v>
      </c>
      <c r="F61" s="38"/>
    </row>
    <row r="62" spans="1:7" ht="26.4">
      <c r="A62" s="54" t="s">
        <v>337</v>
      </c>
      <c r="B62" s="194" t="s">
        <v>284</v>
      </c>
      <c r="C62" s="55"/>
      <c r="D62" s="39">
        <v>0</v>
      </c>
      <c r="E62" s="39">
        <v>0</v>
      </c>
      <c r="F62" s="38"/>
    </row>
    <row r="63" spans="1:7" s="38" customFormat="1" ht="39.6">
      <c r="A63" s="50" t="s">
        <v>338</v>
      </c>
      <c r="B63" s="51" t="s">
        <v>285</v>
      </c>
      <c r="C63" s="52"/>
      <c r="D63" s="247">
        <v>-16082983218</v>
      </c>
      <c r="E63" s="247">
        <v>-107277267618</v>
      </c>
      <c r="G63" s="30"/>
    </row>
    <row r="64" spans="1:7" s="38" customFormat="1" ht="26.4">
      <c r="A64" s="50" t="s">
        <v>339</v>
      </c>
      <c r="B64" s="51" t="s">
        <v>286</v>
      </c>
      <c r="C64" s="52"/>
      <c r="D64" s="247">
        <v>0</v>
      </c>
      <c r="E64" s="247">
        <v>0</v>
      </c>
      <c r="G64" s="30"/>
    </row>
    <row r="67" spans="1:5" ht="25.2" customHeight="1">
      <c r="A67" s="195" t="s">
        <v>249</v>
      </c>
      <c r="B67" s="200"/>
      <c r="C67" s="271" t="s">
        <v>250</v>
      </c>
      <c r="D67" s="271"/>
      <c r="E67" s="271"/>
    </row>
    <row r="68" spans="1:5">
      <c r="A68" s="198"/>
      <c r="B68" s="198"/>
      <c r="C68" s="198"/>
      <c r="D68" s="198"/>
      <c r="E68" s="198"/>
    </row>
    <row r="69" spans="1:5">
      <c r="A69" s="198"/>
      <c r="B69" s="198"/>
      <c r="C69" s="198"/>
      <c r="D69" s="198"/>
      <c r="E69" s="198"/>
    </row>
    <row r="70" spans="1:5">
      <c r="A70" s="198"/>
      <c r="B70" s="198"/>
      <c r="C70" s="198"/>
      <c r="D70" s="198"/>
      <c r="E70" s="198"/>
    </row>
    <row r="71" spans="1:5">
      <c r="A71" s="198"/>
      <c r="B71" s="198"/>
      <c r="C71" s="198"/>
      <c r="D71" s="198"/>
      <c r="E71" s="198"/>
    </row>
    <row r="72" spans="1:5">
      <c r="A72" s="198"/>
      <c r="B72" s="198"/>
      <c r="C72" s="198"/>
      <c r="D72" s="198"/>
      <c r="E72" s="198"/>
    </row>
    <row r="73" spans="1:5">
      <c r="A73" s="198"/>
      <c r="B73" s="198"/>
      <c r="C73" s="198"/>
      <c r="D73" s="198"/>
      <c r="E73" s="198"/>
    </row>
    <row r="74" spans="1:5">
      <c r="A74" s="198"/>
      <c r="B74" s="198"/>
      <c r="C74" s="198"/>
      <c r="D74" s="198"/>
      <c r="E74" s="198"/>
    </row>
    <row r="75" spans="1:5">
      <c r="A75" s="198"/>
      <c r="B75" s="198"/>
      <c r="C75" s="198"/>
      <c r="D75" s="198"/>
      <c r="E75" s="198"/>
    </row>
    <row r="76" spans="1:5">
      <c r="A76" s="198"/>
      <c r="B76" s="198"/>
      <c r="C76" s="198"/>
      <c r="D76" s="198"/>
      <c r="E76" s="198"/>
    </row>
    <row r="77" spans="1:5">
      <c r="A77" s="198"/>
      <c r="B77" s="198"/>
      <c r="C77" s="198"/>
      <c r="D77" s="198"/>
      <c r="E77" s="198"/>
    </row>
    <row r="78" spans="1:5">
      <c r="A78" s="198" t="s">
        <v>619</v>
      </c>
      <c r="B78" s="278" t="s">
        <v>613</v>
      </c>
      <c r="C78" s="278"/>
      <c r="D78" s="278"/>
      <c r="E78" s="196" t="s">
        <v>620</v>
      </c>
    </row>
    <row r="79" spans="1:5" ht="16.95" customHeight="1">
      <c r="A79" s="197" t="s">
        <v>1688</v>
      </c>
      <c r="B79" s="273" t="s">
        <v>1689</v>
      </c>
      <c r="C79" s="273"/>
      <c r="D79" s="273"/>
      <c r="E79" s="197" t="s">
        <v>1682</v>
      </c>
    </row>
    <row r="80" spans="1:5" ht="16.95" customHeight="1">
      <c r="A80" s="198" t="s">
        <v>1690</v>
      </c>
      <c r="B80" s="274" t="s">
        <v>1691</v>
      </c>
      <c r="C80" s="274"/>
      <c r="D80" s="274"/>
      <c r="E80" s="198" t="s">
        <v>1683</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5" zoomScale="70" zoomScaleNormal="100" zoomScaleSheetLayoutView="70" workbookViewId="0">
      <selection activeCell="F108" sqref="A18:F108"/>
    </sheetView>
  </sheetViews>
  <sheetFormatPr defaultColWidth="8.6640625" defaultRowHeight="13.2"/>
  <cols>
    <col min="1" max="1" width="8.6640625" style="4"/>
    <col min="2" max="2" width="44.33203125" style="4" customWidth="1"/>
    <col min="3" max="3" width="10.33203125" style="4" customWidth="1"/>
    <col min="4" max="5" width="41.109375" style="4" customWidth="1"/>
    <col min="6" max="6" width="37.5546875" style="4" customWidth="1"/>
    <col min="7" max="16384" width="8.6640625" style="4"/>
  </cols>
  <sheetData>
    <row r="1" spans="1:6" s="5" customFormat="1" ht="54.75" customHeight="1">
      <c r="A1" s="286" t="s">
        <v>671</v>
      </c>
      <c r="B1" s="286"/>
      <c r="C1" s="286"/>
      <c r="D1" s="286"/>
      <c r="E1" s="286"/>
      <c r="F1" s="286"/>
    </row>
    <row r="2" spans="1:6" s="5" customFormat="1" ht="50.4" customHeight="1">
      <c r="A2" s="287" t="s">
        <v>672</v>
      </c>
      <c r="B2" s="287"/>
      <c r="C2" s="287"/>
      <c r="D2" s="287"/>
      <c r="E2" s="287"/>
      <c r="F2" s="287"/>
    </row>
    <row r="3" spans="1:6" s="5" customFormat="1">
      <c r="A3" s="288" t="s">
        <v>622</v>
      </c>
      <c r="B3" s="288"/>
      <c r="C3" s="288"/>
      <c r="D3" s="288"/>
      <c r="E3" s="288"/>
      <c r="F3" s="288"/>
    </row>
    <row r="4" spans="1:6" s="5" customFormat="1" ht="32.700000000000003" customHeight="1">
      <c r="A4" s="288"/>
      <c r="B4" s="288"/>
      <c r="C4" s="288"/>
      <c r="D4" s="288"/>
      <c r="E4" s="288"/>
      <c r="F4" s="288"/>
    </row>
    <row r="5" spans="1:6" s="5" customFormat="1" ht="16.95" customHeight="1">
      <c r="A5" s="289" t="str">
        <f>TONGQUAN!C1</f>
        <v>Tại ngày 31 tháng 12 năm 2023
/ As at 31 Dec 2023</v>
      </c>
      <c r="B5" s="289"/>
      <c r="C5" s="289"/>
      <c r="D5" s="289"/>
      <c r="E5" s="289"/>
      <c r="F5" s="289"/>
    </row>
    <row r="6" spans="1:6">
      <c r="A6" s="15"/>
      <c r="B6" s="15"/>
      <c r="C6" s="15"/>
      <c r="D6" s="15"/>
      <c r="E6" s="15"/>
      <c r="F6" s="15"/>
    </row>
    <row r="7" spans="1:6" ht="16.95" customHeight="1">
      <c r="A7" s="268" t="s">
        <v>2</v>
      </c>
      <c r="B7" s="268"/>
      <c r="C7" s="268" t="str">
        <f>TONGQUAN!D5</f>
        <v>Công ty Cổ phần Quản lý Quỹ Đầu tư Dragon Capital Việt Nam</v>
      </c>
      <c r="D7" s="268"/>
      <c r="E7" s="268"/>
      <c r="F7" s="268"/>
    </row>
    <row r="8" spans="1:6" s="5" customFormat="1" ht="16.95" customHeight="1">
      <c r="A8" s="261" t="s">
        <v>15</v>
      </c>
      <c r="B8" s="261"/>
      <c r="C8" s="261" t="str">
        <f>TONGQUAN!D6</f>
        <v>Dragon Capital Vietfund Management Joint Stock Company</v>
      </c>
      <c r="D8" s="261"/>
      <c r="E8" s="261"/>
      <c r="F8" s="261"/>
    </row>
    <row r="9" spans="1:6" ht="16.95" customHeight="1">
      <c r="A9" s="268" t="s">
        <v>3</v>
      </c>
      <c r="B9" s="268"/>
      <c r="C9" s="268" t="str">
        <f>TONGQUAN!D7</f>
        <v>Ngân hàng TNHH Một thành viên Standard Chartered (Việt Nam)</v>
      </c>
      <c r="D9" s="268"/>
      <c r="E9" s="268"/>
      <c r="F9" s="268"/>
    </row>
    <row r="10" spans="1:6" s="5" customFormat="1" ht="16.95" customHeight="1">
      <c r="A10" s="261" t="s">
        <v>4</v>
      </c>
      <c r="B10" s="261"/>
      <c r="C10" s="261" t="str">
        <f>TONGQUAN!D8</f>
        <v>Standard Chartered Bank (Vietnam) Limited</v>
      </c>
      <c r="D10" s="261"/>
      <c r="E10" s="261"/>
      <c r="F10" s="261"/>
    </row>
    <row r="11" spans="1:6" ht="16.95" customHeight="1">
      <c r="A11" s="268" t="s">
        <v>5</v>
      </c>
      <c r="B11" s="268"/>
      <c r="C11" s="268" t="str">
        <f>TONGQUAN!D9</f>
        <v>Quỹ Đầu tư Chứng khoán Năng động DC</v>
      </c>
      <c r="D11" s="268"/>
      <c r="E11" s="268"/>
      <c r="F11" s="268"/>
    </row>
    <row r="12" spans="1:6" s="5" customFormat="1" ht="16.95" customHeight="1">
      <c r="A12" s="261" t="s">
        <v>6</v>
      </c>
      <c r="B12" s="261"/>
      <c r="C12" s="261" t="str">
        <f>TONGQUAN!D10</f>
        <v>DC Dynamic Securities Fund(DCDS)</v>
      </c>
      <c r="D12" s="261"/>
      <c r="E12" s="261"/>
      <c r="F12" s="261"/>
    </row>
    <row r="13" spans="1:6" ht="16.95" customHeight="1">
      <c r="A13" s="268" t="s">
        <v>7</v>
      </c>
      <c r="B13" s="268"/>
      <c r="C13" s="268" t="str">
        <f>TONGQUAN!D11</f>
        <v>Ngày 08 tháng 03 năm 2024</v>
      </c>
      <c r="D13" s="268"/>
      <c r="E13" s="268"/>
      <c r="F13" s="268"/>
    </row>
    <row r="14" spans="1:6" s="5" customFormat="1" ht="16.95" customHeight="1">
      <c r="A14" s="261" t="s">
        <v>8</v>
      </c>
      <c r="B14" s="261"/>
      <c r="C14" s="261" t="str">
        <f>TONGQUAN!D12</f>
        <v>08 Mar 2024</v>
      </c>
      <c r="D14" s="261"/>
      <c r="E14" s="261"/>
      <c r="F14" s="261"/>
    </row>
    <row r="15" spans="1:6" s="5" customFormat="1" ht="7.5" customHeight="1">
      <c r="A15" s="14"/>
      <c r="B15" s="14"/>
      <c r="C15" s="14"/>
      <c r="D15" s="14"/>
      <c r="E15" s="14"/>
      <c r="F15" s="14"/>
    </row>
    <row r="16" spans="1:6" s="5" customFormat="1" ht="16.95" customHeight="1">
      <c r="A16" s="126" t="s">
        <v>669</v>
      </c>
      <c r="B16" s="127" t="s">
        <v>670</v>
      </c>
      <c r="C16" s="14"/>
      <c r="D16" s="14"/>
      <c r="E16" s="14"/>
      <c r="F16" s="14"/>
    </row>
    <row r="17" spans="1:6" s="5" customFormat="1" ht="16.95" customHeight="1">
      <c r="A17" s="128" t="s">
        <v>16</v>
      </c>
      <c r="B17" s="129" t="s">
        <v>623</v>
      </c>
      <c r="C17" s="14"/>
      <c r="D17" s="14"/>
      <c r="E17" s="14"/>
      <c r="F17" s="14"/>
    </row>
    <row r="18" spans="1:6" s="5" customFormat="1" ht="50.7" customHeight="1">
      <c r="A18" s="13" t="s">
        <v>17</v>
      </c>
      <c r="B18" s="11" t="s">
        <v>18</v>
      </c>
      <c r="C18" s="13" t="s">
        <v>19</v>
      </c>
      <c r="D18" s="12" t="s">
        <v>1684</v>
      </c>
      <c r="E18" s="12" t="s">
        <v>1685</v>
      </c>
      <c r="F18" s="86" t="s">
        <v>20</v>
      </c>
    </row>
    <row r="19" spans="1:6" ht="39" customHeight="1">
      <c r="A19" s="245" t="s">
        <v>1341</v>
      </c>
      <c r="B19" s="244" t="s">
        <v>1342</v>
      </c>
      <c r="C19" s="245" t="s">
        <v>1343</v>
      </c>
      <c r="D19" s="247"/>
      <c r="E19" s="247"/>
      <c r="F19" s="246"/>
    </row>
    <row r="20" spans="1:6" ht="39" customHeight="1">
      <c r="A20" s="240" t="s">
        <v>1344</v>
      </c>
      <c r="B20" s="239" t="s">
        <v>1345</v>
      </c>
      <c r="C20" s="240" t="s">
        <v>1346</v>
      </c>
      <c r="D20" s="243">
        <v>59838686129</v>
      </c>
      <c r="E20" s="243">
        <v>75921669347</v>
      </c>
      <c r="F20" s="242">
        <v>0.788163466947852</v>
      </c>
    </row>
    <row r="21" spans="1:6" ht="39" customHeight="1">
      <c r="A21" s="240" t="s">
        <v>1347</v>
      </c>
      <c r="B21" s="239" t="s">
        <v>1348</v>
      </c>
      <c r="C21" s="240" t="s">
        <v>1349</v>
      </c>
      <c r="D21" s="243"/>
      <c r="E21" s="243"/>
      <c r="F21" s="242"/>
    </row>
    <row r="22" spans="1:6" ht="39" customHeight="1">
      <c r="A22" s="240" t="s">
        <v>1350</v>
      </c>
      <c r="B22" s="239" t="s">
        <v>1351</v>
      </c>
      <c r="C22" s="240" t="s">
        <v>1352</v>
      </c>
      <c r="D22" s="243" t="s">
        <v>1353</v>
      </c>
      <c r="E22" s="243" t="s">
        <v>1354</v>
      </c>
      <c r="F22" s="242" t="s">
        <v>1355</v>
      </c>
    </row>
    <row r="23" spans="1:6" ht="39" customHeight="1">
      <c r="A23" s="240" t="s">
        <v>1356</v>
      </c>
      <c r="B23" s="239" t="s">
        <v>1357</v>
      </c>
      <c r="C23" s="240" t="s">
        <v>1358</v>
      </c>
      <c r="D23" s="243">
        <v>59838686129</v>
      </c>
      <c r="E23" s="243">
        <v>75921669347</v>
      </c>
      <c r="F23" s="242">
        <v>0.788163466947852</v>
      </c>
    </row>
    <row r="24" spans="1:6" ht="39" customHeight="1">
      <c r="A24" s="240" t="s">
        <v>1359</v>
      </c>
      <c r="B24" s="239" t="s">
        <v>1360</v>
      </c>
      <c r="C24" s="240" t="s">
        <v>1361</v>
      </c>
      <c r="D24" s="243" t="s">
        <v>1362</v>
      </c>
      <c r="E24" s="243" t="s">
        <v>1363</v>
      </c>
      <c r="F24" s="242" t="s">
        <v>1364</v>
      </c>
    </row>
    <row r="25" spans="1:6" ht="48" customHeight="1">
      <c r="A25" s="240" t="s">
        <v>1365</v>
      </c>
      <c r="B25" s="239" t="s">
        <v>1366</v>
      </c>
      <c r="C25" s="240" t="s">
        <v>1367</v>
      </c>
      <c r="D25" s="243">
        <v>1448301386</v>
      </c>
      <c r="E25" s="243">
        <v>747083745</v>
      </c>
      <c r="F25" s="242">
        <v>1.93860647577066</v>
      </c>
    </row>
    <row r="26" spans="1:6" ht="45" customHeight="1">
      <c r="A26" s="240" t="s">
        <v>1368</v>
      </c>
      <c r="B26" s="239" t="s">
        <v>1369</v>
      </c>
      <c r="C26" s="240" t="s">
        <v>1370</v>
      </c>
      <c r="D26" s="243">
        <v>136051360</v>
      </c>
      <c r="E26" s="243">
        <v>128376390</v>
      </c>
      <c r="F26" s="242">
        <v>1.0597849028158499</v>
      </c>
    </row>
    <row r="27" spans="1:6" ht="42" customHeight="1">
      <c r="A27" s="240" t="s">
        <v>1371</v>
      </c>
      <c r="B27" s="239" t="s">
        <v>1372</v>
      </c>
      <c r="C27" s="240" t="s">
        <v>1373</v>
      </c>
      <c r="D27" s="243">
        <v>58254333383</v>
      </c>
      <c r="E27" s="243">
        <v>75046209212</v>
      </c>
      <c r="F27" s="242">
        <v>0.77624618211475305</v>
      </c>
    </row>
    <row r="28" spans="1:6" ht="48" customHeight="1">
      <c r="A28" s="240" t="s">
        <v>1374</v>
      </c>
      <c r="B28" s="239" t="s">
        <v>1375</v>
      </c>
      <c r="C28" s="240" t="s">
        <v>1376</v>
      </c>
      <c r="D28" s="243">
        <v>0</v>
      </c>
      <c r="E28" s="243">
        <v>0</v>
      </c>
      <c r="F28" s="242"/>
    </row>
    <row r="29" spans="1:6" ht="39" customHeight="1">
      <c r="A29" s="240" t="s">
        <v>1377</v>
      </c>
      <c r="B29" s="239" t="s">
        <v>1378</v>
      </c>
      <c r="C29" s="240" t="s">
        <v>1379</v>
      </c>
      <c r="D29" s="243">
        <v>0</v>
      </c>
      <c r="E29" s="243">
        <v>0</v>
      </c>
      <c r="F29" s="242"/>
    </row>
    <row r="30" spans="1:6" ht="39" customHeight="1">
      <c r="A30" s="240" t="s">
        <v>1380</v>
      </c>
      <c r="B30" s="239" t="s">
        <v>1381</v>
      </c>
      <c r="C30" s="240" t="s">
        <v>1382</v>
      </c>
      <c r="D30" s="243">
        <v>1469077080000</v>
      </c>
      <c r="E30" s="243">
        <v>1210013434960</v>
      </c>
      <c r="F30" s="242">
        <v>1.2140998087749</v>
      </c>
    </row>
    <row r="31" spans="1:6" ht="39" customHeight="1">
      <c r="A31" s="240" t="s">
        <v>1383</v>
      </c>
      <c r="B31" s="239" t="s">
        <v>1384</v>
      </c>
      <c r="C31" s="240" t="s">
        <v>1385</v>
      </c>
      <c r="D31" s="243" t="s">
        <v>1386</v>
      </c>
      <c r="E31" s="243" t="s">
        <v>1387</v>
      </c>
      <c r="F31" s="242" t="s">
        <v>1388</v>
      </c>
    </row>
    <row r="32" spans="1:6" ht="39" customHeight="1">
      <c r="A32" s="240" t="s">
        <v>1389</v>
      </c>
      <c r="B32" s="239" t="s">
        <v>1390</v>
      </c>
      <c r="C32" s="240" t="s">
        <v>1391</v>
      </c>
      <c r="D32" s="243">
        <v>1451817016000</v>
      </c>
      <c r="E32" s="243">
        <v>1049565668100</v>
      </c>
      <c r="F32" s="242">
        <v>1.3832550550440399</v>
      </c>
    </row>
    <row r="33" spans="1:6" ht="39" customHeight="1">
      <c r="A33" s="240" t="s">
        <v>1392</v>
      </c>
      <c r="B33" s="239" t="s">
        <v>1393</v>
      </c>
      <c r="C33" s="240" t="s">
        <v>1394</v>
      </c>
      <c r="D33" s="243">
        <v>0</v>
      </c>
      <c r="E33" s="243">
        <v>0</v>
      </c>
      <c r="F33" s="242"/>
    </row>
    <row r="34" spans="1:6" ht="39" customHeight="1">
      <c r="A34" s="240" t="s">
        <v>1395</v>
      </c>
      <c r="B34" s="239" t="s">
        <v>1396</v>
      </c>
      <c r="C34" s="240" t="s">
        <v>1397</v>
      </c>
      <c r="D34" s="243">
        <v>15155514000</v>
      </c>
      <c r="E34" s="243">
        <v>160447766860</v>
      </c>
      <c r="F34" s="242">
        <v>9.4457618803906906E-2</v>
      </c>
    </row>
    <row r="35" spans="1:6" ht="39" customHeight="1">
      <c r="A35" s="240" t="s">
        <v>1398</v>
      </c>
      <c r="B35" s="239" t="s">
        <v>1399</v>
      </c>
      <c r="C35" s="240" t="s">
        <v>1400</v>
      </c>
      <c r="D35" s="243">
        <v>0</v>
      </c>
      <c r="E35" s="243">
        <v>0</v>
      </c>
      <c r="F35" s="242"/>
    </row>
    <row r="36" spans="1:6" ht="39" customHeight="1">
      <c r="A36" s="240" t="s">
        <v>1401</v>
      </c>
      <c r="B36" s="239" t="s">
        <v>1402</v>
      </c>
      <c r="C36" s="240" t="s">
        <v>1403</v>
      </c>
      <c r="D36" s="243">
        <v>0</v>
      </c>
      <c r="E36" s="243">
        <v>0</v>
      </c>
      <c r="F36" s="242"/>
    </row>
    <row r="37" spans="1:6" ht="39" customHeight="1">
      <c r="A37" s="240" t="s">
        <v>1404</v>
      </c>
      <c r="B37" s="239" t="s">
        <v>1405</v>
      </c>
      <c r="C37" s="240" t="s">
        <v>1406</v>
      </c>
      <c r="D37" s="243">
        <v>2104550000</v>
      </c>
      <c r="E37" s="243">
        <v>0</v>
      </c>
      <c r="F37" s="242"/>
    </row>
    <row r="38" spans="1:6" ht="39" customHeight="1">
      <c r="A38" s="240" t="s">
        <v>1407</v>
      </c>
      <c r="B38" s="239" t="s">
        <v>1408</v>
      </c>
      <c r="C38" s="240" t="s">
        <v>1409</v>
      </c>
      <c r="D38" s="243">
        <v>0</v>
      </c>
      <c r="E38" s="243">
        <v>0</v>
      </c>
      <c r="F38" s="242"/>
    </row>
    <row r="39" spans="1:6" ht="39" customHeight="1">
      <c r="A39" s="240" t="s">
        <v>1410</v>
      </c>
      <c r="B39" s="239" t="s">
        <v>1411</v>
      </c>
      <c r="C39" s="240" t="s">
        <v>1412</v>
      </c>
      <c r="D39" s="243">
        <v>0</v>
      </c>
      <c r="E39" s="243">
        <v>0</v>
      </c>
      <c r="F39" s="242"/>
    </row>
    <row r="40" spans="1:6" ht="39" customHeight="1">
      <c r="A40" s="240" t="s">
        <v>1413</v>
      </c>
      <c r="B40" s="239" t="s">
        <v>1414</v>
      </c>
      <c r="C40" s="240" t="s">
        <v>1415</v>
      </c>
      <c r="D40" s="243">
        <v>0</v>
      </c>
      <c r="E40" s="243">
        <v>0</v>
      </c>
      <c r="F40" s="242"/>
    </row>
    <row r="41" spans="1:6" ht="39" customHeight="1">
      <c r="A41" s="240" t="s">
        <v>1416</v>
      </c>
      <c r="B41" s="239" t="s">
        <v>1417</v>
      </c>
      <c r="C41" s="240" t="s">
        <v>1418</v>
      </c>
      <c r="D41" s="243">
        <v>0</v>
      </c>
      <c r="E41" s="243">
        <v>0</v>
      </c>
      <c r="F41" s="242"/>
    </row>
    <row r="42" spans="1:6" ht="39" customHeight="1">
      <c r="A42" s="240" t="s">
        <v>1419</v>
      </c>
      <c r="B42" s="239" t="s">
        <v>1420</v>
      </c>
      <c r="C42" s="240" t="s">
        <v>1421</v>
      </c>
      <c r="D42" s="243" t="s">
        <v>1422</v>
      </c>
      <c r="E42" s="243" t="s">
        <v>1423</v>
      </c>
      <c r="F42" s="242" t="s">
        <v>1424</v>
      </c>
    </row>
    <row r="43" spans="1:6" ht="39" customHeight="1">
      <c r="A43" s="240" t="s">
        <v>1425</v>
      </c>
      <c r="B43" s="239" t="s">
        <v>1426</v>
      </c>
      <c r="C43" s="240" t="s">
        <v>1427</v>
      </c>
      <c r="D43" s="243">
        <v>2949367123</v>
      </c>
      <c r="E43" s="243">
        <v>6352790411</v>
      </c>
      <c r="F43" s="242">
        <v>0.464263250034678</v>
      </c>
    </row>
    <row r="44" spans="1:6" ht="39" customHeight="1">
      <c r="A44" s="240" t="s">
        <v>1428</v>
      </c>
      <c r="B44" s="239" t="s">
        <v>1429</v>
      </c>
      <c r="C44" s="240" t="s">
        <v>1430</v>
      </c>
      <c r="D44" s="243" t="s">
        <v>1431</v>
      </c>
      <c r="E44" s="243" t="s">
        <v>1432</v>
      </c>
      <c r="F44" s="242" t="s">
        <v>1433</v>
      </c>
    </row>
    <row r="45" spans="1:6" ht="39" customHeight="1">
      <c r="A45" s="240" t="s">
        <v>1434</v>
      </c>
      <c r="B45" s="239" t="s">
        <v>1435</v>
      </c>
      <c r="C45" s="240" t="s">
        <v>1436</v>
      </c>
      <c r="D45" s="243">
        <v>2860600000</v>
      </c>
      <c r="E45" s="243">
        <v>3696900000</v>
      </c>
      <c r="F45" s="242">
        <v>0.77378344017960998</v>
      </c>
    </row>
    <row r="46" spans="1:6" ht="39" customHeight="1">
      <c r="A46" s="240" t="s">
        <v>1437</v>
      </c>
      <c r="B46" s="239" t="s">
        <v>1438</v>
      </c>
      <c r="C46" s="240" t="s">
        <v>1439</v>
      </c>
      <c r="D46" s="243">
        <v>88767123</v>
      </c>
      <c r="E46" s="243">
        <v>2655890411</v>
      </c>
      <c r="F46" s="242">
        <v>3.34227356039805E-2</v>
      </c>
    </row>
    <row r="47" spans="1:6" ht="39" customHeight="1">
      <c r="A47" s="240" t="s">
        <v>1440</v>
      </c>
      <c r="B47" s="239" t="s">
        <v>1441</v>
      </c>
      <c r="C47" s="240" t="s">
        <v>1442</v>
      </c>
      <c r="D47" s="243">
        <v>0</v>
      </c>
      <c r="E47" s="243">
        <v>0</v>
      </c>
      <c r="F47" s="242"/>
    </row>
    <row r="48" spans="1:6" ht="39" customHeight="1">
      <c r="A48" s="240" t="s">
        <v>1443</v>
      </c>
      <c r="B48" s="239" t="s">
        <v>1444</v>
      </c>
      <c r="C48" s="240" t="s">
        <v>1445</v>
      </c>
      <c r="D48" s="243" t="s">
        <v>1446</v>
      </c>
      <c r="E48" s="243" t="s">
        <v>1447</v>
      </c>
      <c r="F48" s="242" t="s">
        <v>1448</v>
      </c>
    </row>
    <row r="49" spans="1:6" ht="39" customHeight="1">
      <c r="A49" s="240" t="s">
        <v>1449</v>
      </c>
      <c r="B49" s="239" t="s">
        <v>1450</v>
      </c>
      <c r="C49" s="240" t="s">
        <v>1451</v>
      </c>
      <c r="D49" s="243">
        <v>0</v>
      </c>
      <c r="E49" s="243">
        <v>0</v>
      </c>
      <c r="F49" s="242"/>
    </row>
    <row r="50" spans="1:6" ht="39" customHeight="1">
      <c r="A50" s="240" t="s">
        <v>1452</v>
      </c>
      <c r="B50" s="239" t="s">
        <v>1453</v>
      </c>
      <c r="C50" s="240" t="s">
        <v>1454</v>
      </c>
      <c r="D50" s="243">
        <v>0</v>
      </c>
      <c r="E50" s="243">
        <v>0</v>
      </c>
      <c r="F50" s="242"/>
    </row>
    <row r="51" spans="1:6" ht="39" customHeight="1">
      <c r="A51" s="240" t="s">
        <v>1455</v>
      </c>
      <c r="B51" s="239" t="s">
        <v>1456</v>
      </c>
      <c r="C51" s="240" t="s">
        <v>1457</v>
      </c>
      <c r="D51" s="243">
        <v>0</v>
      </c>
      <c r="E51" s="243">
        <v>0</v>
      </c>
      <c r="F51" s="242"/>
    </row>
    <row r="52" spans="1:6" ht="39" customHeight="1">
      <c r="A52" s="240" t="s">
        <v>1458</v>
      </c>
      <c r="B52" s="239" t="s">
        <v>1459</v>
      </c>
      <c r="C52" s="240" t="s">
        <v>1460</v>
      </c>
      <c r="D52" s="243">
        <v>0</v>
      </c>
      <c r="E52" s="243">
        <v>0</v>
      </c>
      <c r="F52" s="242"/>
    </row>
    <row r="53" spans="1:6" ht="39" customHeight="1">
      <c r="A53" s="240" t="s">
        <v>1461</v>
      </c>
      <c r="B53" s="239" t="s">
        <v>1462</v>
      </c>
      <c r="C53" s="240" t="s">
        <v>1463</v>
      </c>
      <c r="D53" s="243" t="s">
        <v>1464</v>
      </c>
      <c r="E53" s="243" t="s">
        <v>1465</v>
      </c>
      <c r="F53" s="242" t="s">
        <v>1466</v>
      </c>
    </row>
    <row r="54" spans="1:6" ht="39" customHeight="1">
      <c r="A54" s="240" t="s">
        <v>1467</v>
      </c>
      <c r="B54" s="239" t="s">
        <v>1468</v>
      </c>
      <c r="C54" s="240" t="s">
        <v>1469</v>
      </c>
      <c r="D54" s="243">
        <v>28573030000</v>
      </c>
      <c r="E54" s="243">
        <v>36621925000</v>
      </c>
      <c r="F54" s="242">
        <v>0.78021649599249598</v>
      </c>
    </row>
    <row r="55" spans="1:6" ht="39" customHeight="1">
      <c r="A55" s="240" t="s">
        <v>1470</v>
      </c>
      <c r="B55" s="239" t="s">
        <v>1471</v>
      </c>
      <c r="C55" s="240" t="s">
        <v>1472</v>
      </c>
      <c r="D55" s="243" t="s">
        <v>1473</v>
      </c>
      <c r="E55" s="243" t="s">
        <v>1474</v>
      </c>
      <c r="F55" s="242" t="s">
        <v>1475</v>
      </c>
    </row>
    <row r="56" spans="1:6" ht="39" customHeight="1">
      <c r="A56" s="240" t="s">
        <v>1476</v>
      </c>
      <c r="B56" s="239" t="s">
        <v>1477</v>
      </c>
      <c r="C56" s="240" t="s">
        <v>1478</v>
      </c>
      <c r="D56" s="243">
        <v>-866400000</v>
      </c>
      <c r="E56" s="243">
        <v>-866400000</v>
      </c>
      <c r="F56" s="242">
        <v>1</v>
      </c>
    </row>
    <row r="57" spans="1:6" ht="39" customHeight="1">
      <c r="A57" s="240" t="s">
        <v>1479</v>
      </c>
      <c r="B57" s="239" t="s">
        <v>1480</v>
      </c>
      <c r="C57" s="240" t="s">
        <v>1481</v>
      </c>
      <c r="D57" s="243" t="s">
        <v>1482</v>
      </c>
      <c r="E57" s="243" t="s">
        <v>1483</v>
      </c>
      <c r="F57" s="242" t="s">
        <v>1484</v>
      </c>
    </row>
    <row r="58" spans="1:6" ht="39" customHeight="1">
      <c r="A58" s="240" t="s">
        <v>1485</v>
      </c>
      <c r="B58" s="239" t="s">
        <v>1486</v>
      </c>
      <c r="C58" s="240" t="s">
        <v>1487</v>
      </c>
      <c r="D58" s="243">
        <v>0</v>
      </c>
      <c r="E58" s="243">
        <v>0</v>
      </c>
      <c r="F58" s="242"/>
    </row>
    <row r="59" spans="1:6" ht="39" customHeight="1">
      <c r="A59" s="240" t="s">
        <v>1488</v>
      </c>
      <c r="B59" s="239" t="s">
        <v>1489</v>
      </c>
      <c r="C59" s="240" t="s">
        <v>1490</v>
      </c>
      <c r="D59" s="243">
        <v>-866400000</v>
      </c>
      <c r="E59" s="243">
        <v>-866400000</v>
      </c>
      <c r="F59" s="242">
        <v>1</v>
      </c>
    </row>
    <row r="60" spans="1:6" ht="39" customHeight="1">
      <c r="A60" s="240" t="s">
        <v>1491</v>
      </c>
      <c r="B60" s="239" t="s">
        <v>1492</v>
      </c>
      <c r="C60" s="240" t="s">
        <v>1493</v>
      </c>
      <c r="D60" s="243">
        <v>0</v>
      </c>
      <c r="E60" s="243">
        <v>0</v>
      </c>
      <c r="F60" s="242"/>
    </row>
    <row r="61" spans="1:6" ht="39" customHeight="1">
      <c r="A61" s="240" t="s">
        <v>1494</v>
      </c>
      <c r="B61" s="239" t="s">
        <v>1495</v>
      </c>
      <c r="C61" s="240" t="s">
        <v>1496</v>
      </c>
      <c r="D61" s="243">
        <v>0</v>
      </c>
      <c r="E61" s="243">
        <v>0</v>
      </c>
      <c r="F61" s="242"/>
    </row>
    <row r="62" spans="1:6" ht="39" customHeight="1">
      <c r="A62" s="240" t="s">
        <v>1497</v>
      </c>
      <c r="B62" s="239" t="s">
        <v>1498</v>
      </c>
      <c r="C62" s="240" t="s">
        <v>1499</v>
      </c>
      <c r="D62" s="243" t="s">
        <v>1500</v>
      </c>
      <c r="E62" s="243" t="s">
        <v>1501</v>
      </c>
      <c r="F62" s="242" t="s">
        <v>1502</v>
      </c>
    </row>
    <row r="63" spans="1:6" ht="39" customHeight="1">
      <c r="A63" s="245" t="s">
        <v>1503</v>
      </c>
      <c r="B63" s="244" t="s">
        <v>1504</v>
      </c>
      <c r="C63" s="245" t="s">
        <v>1505</v>
      </c>
      <c r="D63" s="247">
        <v>1559571763252</v>
      </c>
      <c r="E63" s="247">
        <v>1328043419718</v>
      </c>
      <c r="F63" s="246">
        <v>1.1743379321010201</v>
      </c>
    </row>
    <row r="64" spans="1:6" ht="39" customHeight="1">
      <c r="A64" s="245" t="s">
        <v>1506</v>
      </c>
      <c r="B64" s="244" t="s">
        <v>1507</v>
      </c>
      <c r="C64" s="245" t="s">
        <v>1508</v>
      </c>
      <c r="D64" s="247"/>
      <c r="E64" s="247"/>
      <c r="F64" s="246"/>
    </row>
    <row r="65" spans="1:6" ht="39" customHeight="1">
      <c r="A65" s="240" t="s">
        <v>1509</v>
      </c>
      <c r="B65" s="239" t="s">
        <v>1510</v>
      </c>
      <c r="C65" s="240" t="s">
        <v>1511</v>
      </c>
      <c r="D65" s="243">
        <v>0</v>
      </c>
      <c r="E65" s="243">
        <v>0</v>
      </c>
      <c r="F65" s="242"/>
    </row>
    <row r="66" spans="1:6" ht="39" customHeight="1">
      <c r="A66" s="240" t="s">
        <v>1512</v>
      </c>
      <c r="B66" s="239" t="s">
        <v>1513</v>
      </c>
      <c r="C66" s="240" t="s">
        <v>1514</v>
      </c>
      <c r="D66" s="243" t="s">
        <v>1515</v>
      </c>
      <c r="E66" s="243" t="s">
        <v>1516</v>
      </c>
      <c r="F66" s="242" t="s">
        <v>1517</v>
      </c>
    </row>
    <row r="67" spans="1:6" ht="39" customHeight="1">
      <c r="A67" s="240" t="s">
        <v>1518</v>
      </c>
      <c r="B67" s="239" t="s">
        <v>1519</v>
      </c>
      <c r="C67" s="240" t="s">
        <v>1520</v>
      </c>
      <c r="D67" s="243">
        <v>43686305000</v>
      </c>
      <c r="E67" s="243">
        <v>52333345000</v>
      </c>
      <c r="F67" s="242">
        <v>0.83476997314045198</v>
      </c>
    </row>
    <row r="68" spans="1:6" ht="39" customHeight="1">
      <c r="A68" s="240" t="s">
        <v>1521</v>
      </c>
      <c r="B68" s="239" t="s">
        <v>1522</v>
      </c>
      <c r="C68" s="240" t="s">
        <v>1523</v>
      </c>
      <c r="D68" s="243" t="s">
        <v>1524</v>
      </c>
      <c r="E68" s="243" t="s">
        <v>1525</v>
      </c>
      <c r="F68" s="242" t="s">
        <v>1526</v>
      </c>
    </row>
    <row r="69" spans="1:6" ht="39" customHeight="1">
      <c r="A69" s="240" t="s">
        <v>1527</v>
      </c>
      <c r="B69" s="239" t="s">
        <v>1528</v>
      </c>
      <c r="C69" s="240" t="s">
        <v>1529</v>
      </c>
      <c r="D69" s="243">
        <v>9475537356</v>
      </c>
      <c r="E69" s="243">
        <v>14404230022</v>
      </c>
      <c r="F69" s="242">
        <v>0.65783018887699896</v>
      </c>
    </row>
    <row r="70" spans="1:6" ht="39" customHeight="1">
      <c r="A70" s="240" t="s">
        <v>1530</v>
      </c>
      <c r="B70" s="239" t="s">
        <v>1531</v>
      </c>
      <c r="C70" s="240" t="s">
        <v>1532</v>
      </c>
      <c r="D70" s="243" t="s">
        <v>1533</v>
      </c>
      <c r="E70" s="243" t="s">
        <v>1534</v>
      </c>
      <c r="F70" s="242" t="s">
        <v>1535</v>
      </c>
    </row>
    <row r="71" spans="1:6" ht="39" customHeight="1">
      <c r="A71" s="240" t="s">
        <v>1536</v>
      </c>
      <c r="B71" s="239" t="s">
        <v>1537</v>
      </c>
      <c r="C71" s="240" t="s">
        <v>1538</v>
      </c>
      <c r="D71" s="243">
        <v>6076957403</v>
      </c>
      <c r="E71" s="243">
        <v>11095246469</v>
      </c>
      <c r="F71" s="242">
        <v>0.547708193772798</v>
      </c>
    </row>
    <row r="72" spans="1:6" ht="39" customHeight="1">
      <c r="A72" s="240" t="s">
        <v>1539</v>
      </c>
      <c r="B72" s="239" t="s">
        <v>1540</v>
      </c>
      <c r="C72" s="240" t="s">
        <v>1541</v>
      </c>
      <c r="D72" s="243">
        <v>1448301386</v>
      </c>
      <c r="E72" s="243">
        <v>747083745</v>
      </c>
      <c r="F72" s="242">
        <v>1.93860647577066</v>
      </c>
    </row>
    <row r="73" spans="1:6" ht="48" customHeight="1">
      <c r="A73" s="240" t="s">
        <v>1542</v>
      </c>
      <c r="B73" s="239" t="s">
        <v>1543</v>
      </c>
      <c r="C73" s="240" t="s">
        <v>1544</v>
      </c>
      <c r="D73" s="243">
        <v>0</v>
      </c>
      <c r="E73" s="243">
        <v>0</v>
      </c>
      <c r="F73" s="242"/>
    </row>
    <row r="74" spans="1:6" ht="39" customHeight="1">
      <c r="A74" s="240" t="s">
        <v>1545</v>
      </c>
      <c r="B74" s="239" t="s">
        <v>1546</v>
      </c>
      <c r="C74" s="240" t="s">
        <v>1547</v>
      </c>
      <c r="D74" s="243">
        <v>0</v>
      </c>
      <c r="E74" s="243">
        <v>0</v>
      </c>
      <c r="F74" s="242"/>
    </row>
    <row r="75" spans="1:6" ht="39" customHeight="1">
      <c r="A75" s="240" t="s">
        <v>1548</v>
      </c>
      <c r="B75" s="239" t="s">
        <v>1549</v>
      </c>
      <c r="C75" s="240" t="s">
        <v>1550</v>
      </c>
      <c r="D75" s="243">
        <v>4628656017</v>
      </c>
      <c r="E75" s="243">
        <v>10348162724</v>
      </c>
      <c r="F75" s="242">
        <v>0.44729254269117502</v>
      </c>
    </row>
    <row r="76" spans="1:6" ht="39" customHeight="1">
      <c r="A76" s="240" t="s">
        <v>1551</v>
      </c>
      <c r="B76" s="239" t="s">
        <v>1552</v>
      </c>
      <c r="C76" s="240" t="s">
        <v>1553</v>
      </c>
      <c r="D76" s="243">
        <v>24333177</v>
      </c>
      <c r="E76" s="243">
        <v>9310080</v>
      </c>
      <c r="F76" s="242">
        <v>2.6136377990307298</v>
      </c>
    </row>
    <row r="77" spans="1:6" ht="60.9" customHeight="1">
      <c r="A77" s="240" t="s">
        <v>1554</v>
      </c>
      <c r="B77" s="239" t="s">
        <v>1555</v>
      </c>
      <c r="C77" s="240" t="s">
        <v>1556</v>
      </c>
      <c r="D77" s="243">
        <v>210829151</v>
      </c>
      <c r="E77" s="243">
        <v>309689895</v>
      </c>
      <c r="F77" s="242">
        <v>0.68077504111007603</v>
      </c>
    </row>
    <row r="78" spans="1:6" ht="39" customHeight="1">
      <c r="A78" s="240" t="s">
        <v>1557</v>
      </c>
      <c r="B78" s="239" t="s">
        <v>1558</v>
      </c>
      <c r="C78" s="240" t="s">
        <v>1559</v>
      </c>
      <c r="D78" s="243">
        <v>39925000</v>
      </c>
      <c r="E78" s="243">
        <v>39925000</v>
      </c>
      <c r="F78" s="242">
        <v>1</v>
      </c>
    </row>
    <row r="79" spans="1:6" ht="39" customHeight="1">
      <c r="A79" s="240" t="s">
        <v>1560</v>
      </c>
      <c r="B79" s="239" t="s">
        <v>1561</v>
      </c>
      <c r="C79" s="240" t="s">
        <v>1562</v>
      </c>
      <c r="D79" s="243">
        <v>24000000</v>
      </c>
      <c r="E79" s="243">
        <v>24000000</v>
      </c>
      <c r="F79" s="242">
        <v>1</v>
      </c>
    </row>
    <row r="80" spans="1:6" ht="39" customHeight="1">
      <c r="A80" s="240" t="s">
        <v>1563</v>
      </c>
      <c r="B80" s="239" t="s">
        <v>1564</v>
      </c>
      <c r="C80" s="240" t="s">
        <v>1565</v>
      </c>
      <c r="D80" s="243">
        <v>2448036416</v>
      </c>
      <c r="E80" s="243">
        <v>2150379709</v>
      </c>
      <c r="F80" s="242">
        <v>1.1384205337105</v>
      </c>
    </row>
    <row r="81" spans="1:6" ht="39" customHeight="1">
      <c r="A81" s="240" t="s">
        <v>1566</v>
      </c>
      <c r="B81" s="239" t="s">
        <v>1567</v>
      </c>
      <c r="C81" s="240" t="s">
        <v>1568</v>
      </c>
      <c r="D81" s="243">
        <v>34523592</v>
      </c>
      <c r="E81" s="243">
        <v>30325868</v>
      </c>
      <c r="F81" s="242">
        <v>1.1384205721663101</v>
      </c>
    </row>
    <row r="82" spans="1:6" ht="39" customHeight="1">
      <c r="A82" s="240" t="s">
        <v>1569</v>
      </c>
      <c r="B82" s="239" t="s">
        <v>1570</v>
      </c>
      <c r="C82" s="240" t="s">
        <v>1571</v>
      </c>
      <c r="D82" s="243">
        <v>55237745</v>
      </c>
      <c r="E82" s="243">
        <v>48521390</v>
      </c>
      <c r="F82" s="242">
        <v>1.13842049867079</v>
      </c>
    </row>
    <row r="83" spans="1:6" ht="39" customHeight="1">
      <c r="A83" s="240" t="s">
        <v>1572</v>
      </c>
      <c r="B83" s="239" t="s">
        <v>1573</v>
      </c>
      <c r="C83" s="240" t="s">
        <v>1574</v>
      </c>
      <c r="D83" s="243">
        <v>133524523</v>
      </c>
      <c r="E83" s="243">
        <v>158568430</v>
      </c>
      <c r="F83" s="242">
        <v>0.84206246476678903</v>
      </c>
    </row>
    <row r="84" spans="1:6" ht="39" customHeight="1">
      <c r="A84" s="240" t="s">
        <v>1575</v>
      </c>
      <c r="B84" s="239" t="s">
        <v>1576</v>
      </c>
      <c r="C84" s="240" t="s">
        <v>1577</v>
      </c>
      <c r="D84" s="243">
        <v>133524523</v>
      </c>
      <c r="E84" s="243">
        <v>158568430</v>
      </c>
      <c r="F84" s="242">
        <v>0.84206246476678903</v>
      </c>
    </row>
    <row r="85" spans="1:6" ht="45.9" customHeight="1">
      <c r="A85" s="240" t="s">
        <v>1578</v>
      </c>
      <c r="B85" s="239" t="s">
        <v>1579</v>
      </c>
      <c r="C85" s="240" t="s">
        <v>1580</v>
      </c>
      <c r="D85" s="243">
        <v>0</v>
      </c>
      <c r="E85" s="243">
        <v>0</v>
      </c>
      <c r="F85" s="242"/>
    </row>
    <row r="86" spans="1:6" ht="39" customHeight="1">
      <c r="A86" s="240" t="s">
        <v>1581</v>
      </c>
      <c r="B86" s="239" t="s">
        <v>1582</v>
      </c>
      <c r="C86" s="240" t="s">
        <v>1583</v>
      </c>
      <c r="D86" s="243">
        <v>105316133</v>
      </c>
      <c r="E86" s="243">
        <v>108210352</v>
      </c>
      <c r="F86" s="242">
        <v>0.97325376965782395</v>
      </c>
    </row>
    <row r="87" spans="1:6" ht="39" customHeight="1">
      <c r="A87" s="240" t="s">
        <v>1584</v>
      </c>
      <c r="B87" s="239" t="s">
        <v>1585</v>
      </c>
      <c r="C87" s="240" t="s">
        <v>1586</v>
      </c>
      <c r="D87" s="243">
        <v>50216133</v>
      </c>
      <c r="E87" s="243">
        <v>44110352</v>
      </c>
      <c r="F87" s="242">
        <v>1.1384205911573799</v>
      </c>
    </row>
    <row r="88" spans="1:6" ht="39" customHeight="1">
      <c r="A88" s="240" t="s">
        <v>1587</v>
      </c>
      <c r="B88" s="239" t="s">
        <v>1588</v>
      </c>
      <c r="C88" s="240" t="s">
        <v>1589</v>
      </c>
      <c r="D88" s="243">
        <v>44100000</v>
      </c>
      <c r="E88" s="243">
        <v>64100000</v>
      </c>
      <c r="F88" s="242">
        <v>0.68798751950077996</v>
      </c>
    </row>
    <row r="89" spans="1:6" ht="60" customHeight="1">
      <c r="A89" s="240" t="s">
        <v>1590</v>
      </c>
      <c r="B89" s="239" t="s">
        <v>1591</v>
      </c>
      <c r="C89" s="240" t="s">
        <v>1592</v>
      </c>
      <c r="D89" s="243">
        <v>11000000</v>
      </c>
      <c r="E89" s="243">
        <v>0</v>
      </c>
      <c r="F89" s="242"/>
    </row>
    <row r="90" spans="1:6" ht="39" customHeight="1">
      <c r="A90" s="240" t="s">
        <v>1593</v>
      </c>
      <c r="B90" s="239" t="s">
        <v>1594</v>
      </c>
      <c r="C90" s="240" t="s">
        <v>1595</v>
      </c>
      <c r="D90" s="243">
        <v>102480000</v>
      </c>
      <c r="E90" s="243">
        <v>189000000</v>
      </c>
      <c r="F90" s="242">
        <v>0.54222222222222205</v>
      </c>
    </row>
    <row r="91" spans="1:6" ht="39" customHeight="1">
      <c r="A91" s="240" t="s">
        <v>1596</v>
      </c>
      <c r="B91" s="239" t="s">
        <v>1597</v>
      </c>
      <c r="C91" s="240" t="s">
        <v>1598</v>
      </c>
      <c r="D91" s="243">
        <v>0</v>
      </c>
      <c r="E91" s="243">
        <v>0</v>
      </c>
      <c r="F91" s="242"/>
    </row>
    <row r="92" spans="1:6" ht="39" customHeight="1">
      <c r="A92" s="240" t="s">
        <v>1599</v>
      </c>
      <c r="B92" s="239" t="s">
        <v>1600</v>
      </c>
      <c r="C92" s="240" t="s">
        <v>1601</v>
      </c>
      <c r="D92" s="243">
        <v>0</v>
      </c>
      <c r="E92" s="243">
        <v>0</v>
      </c>
      <c r="F92" s="242"/>
    </row>
    <row r="93" spans="1:6" ht="39" customHeight="1">
      <c r="A93" s="240" t="s">
        <v>1602</v>
      </c>
      <c r="B93" s="239" t="s">
        <v>1603</v>
      </c>
      <c r="C93" s="240" t="s">
        <v>1604</v>
      </c>
      <c r="D93" s="243">
        <v>13200000</v>
      </c>
      <c r="E93" s="243">
        <v>13200000</v>
      </c>
      <c r="F93" s="242">
        <v>1</v>
      </c>
    </row>
    <row r="94" spans="1:6" ht="48" customHeight="1">
      <c r="A94" s="240" t="s">
        <v>1605</v>
      </c>
      <c r="B94" s="239" t="s">
        <v>1606</v>
      </c>
      <c r="C94" s="240" t="s">
        <v>1607</v>
      </c>
      <c r="D94" s="243">
        <v>0</v>
      </c>
      <c r="E94" s="243">
        <v>0</v>
      </c>
      <c r="F94" s="242"/>
    </row>
    <row r="95" spans="1:6" ht="39" customHeight="1">
      <c r="A95" s="240" t="s">
        <v>1608</v>
      </c>
      <c r="B95" s="239" t="s">
        <v>1609</v>
      </c>
      <c r="C95" s="240" t="s">
        <v>1610</v>
      </c>
      <c r="D95" s="243">
        <v>0</v>
      </c>
      <c r="E95" s="243">
        <v>0</v>
      </c>
      <c r="F95" s="242"/>
    </row>
    <row r="96" spans="1:6" ht="39" customHeight="1">
      <c r="A96" s="240" t="s">
        <v>1611</v>
      </c>
      <c r="B96" s="239" t="s">
        <v>1612</v>
      </c>
      <c r="C96" s="240" t="s">
        <v>1613</v>
      </c>
      <c r="D96" s="243">
        <v>207174216</v>
      </c>
      <c r="E96" s="243">
        <v>227852829</v>
      </c>
      <c r="F96" s="242">
        <v>0.90924574827201299</v>
      </c>
    </row>
    <row r="97" spans="1:6" ht="39" customHeight="1">
      <c r="A97" s="240" t="s">
        <v>1614</v>
      </c>
      <c r="B97" s="239" t="s">
        <v>1615</v>
      </c>
      <c r="C97" s="240" t="s">
        <v>1616</v>
      </c>
      <c r="D97" s="243">
        <v>23500000</v>
      </c>
      <c r="E97" s="243">
        <v>0</v>
      </c>
      <c r="F97" s="242"/>
    </row>
    <row r="98" spans="1:6" ht="48" customHeight="1">
      <c r="A98" s="240" t="s">
        <v>1617</v>
      </c>
      <c r="B98" s="239" t="s">
        <v>1618</v>
      </c>
      <c r="C98" s="240" t="s">
        <v>1619</v>
      </c>
      <c r="D98" s="243">
        <v>0</v>
      </c>
      <c r="E98" s="243">
        <v>0</v>
      </c>
      <c r="F98" s="242"/>
    </row>
    <row r="99" spans="1:6" ht="45" customHeight="1">
      <c r="A99" s="240" t="s">
        <v>1620</v>
      </c>
      <c r="B99" s="239" t="s">
        <v>1621</v>
      </c>
      <c r="C99" s="240" t="s">
        <v>1622</v>
      </c>
      <c r="D99" s="243">
        <v>0</v>
      </c>
      <c r="E99" s="243">
        <v>0</v>
      </c>
      <c r="F99" s="242"/>
    </row>
    <row r="100" spans="1:6" ht="39" customHeight="1">
      <c r="A100" s="240" t="s">
        <v>1623</v>
      </c>
      <c r="B100" s="239" t="s">
        <v>1624</v>
      </c>
      <c r="C100" s="240" t="s">
        <v>1625</v>
      </c>
      <c r="D100" s="243">
        <v>183674216</v>
      </c>
      <c r="E100" s="243">
        <v>227852829</v>
      </c>
      <c r="F100" s="242">
        <v>0.80610899941909397</v>
      </c>
    </row>
    <row r="101" spans="1:6" ht="39" customHeight="1">
      <c r="A101" s="240" t="s">
        <v>1626</v>
      </c>
      <c r="B101" s="239" t="s">
        <v>1627</v>
      </c>
      <c r="C101" s="240" t="s">
        <v>1628</v>
      </c>
      <c r="D101" s="243">
        <v>0</v>
      </c>
      <c r="E101" s="243">
        <v>0</v>
      </c>
      <c r="F101" s="242"/>
    </row>
    <row r="102" spans="1:6" ht="39" customHeight="1">
      <c r="A102" s="240" t="s">
        <v>1629</v>
      </c>
      <c r="B102" s="239" t="s">
        <v>1630</v>
      </c>
      <c r="C102" s="240" t="s">
        <v>1631</v>
      </c>
      <c r="D102" s="243">
        <v>0</v>
      </c>
      <c r="E102" s="243">
        <v>0</v>
      </c>
      <c r="F102" s="242"/>
    </row>
    <row r="103" spans="1:6" ht="39" customHeight="1">
      <c r="A103" s="240" t="s">
        <v>1632</v>
      </c>
      <c r="B103" s="239" t="s">
        <v>1633</v>
      </c>
      <c r="C103" s="240" t="s">
        <v>1634</v>
      </c>
      <c r="D103" s="243">
        <v>0</v>
      </c>
      <c r="E103" s="243">
        <v>0</v>
      </c>
      <c r="F103" s="242"/>
    </row>
    <row r="104" spans="1:6" ht="39" customHeight="1">
      <c r="A104" s="240" t="s">
        <v>1635</v>
      </c>
      <c r="B104" s="239" t="s">
        <v>1636</v>
      </c>
      <c r="C104" s="240" t="s">
        <v>1637</v>
      </c>
      <c r="D104" s="243">
        <v>0</v>
      </c>
      <c r="E104" s="243">
        <v>0</v>
      </c>
      <c r="F104" s="242"/>
    </row>
    <row r="105" spans="1:6" ht="39" customHeight="1">
      <c r="A105" s="245" t="s">
        <v>1638</v>
      </c>
      <c r="B105" s="244" t="s">
        <v>1639</v>
      </c>
      <c r="C105" s="245" t="s">
        <v>1640</v>
      </c>
      <c r="D105" s="247">
        <v>53161842356</v>
      </c>
      <c r="E105" s="247">
        <v>66737575022</v>
      </c>
      <c r="F105" s="246">
        <v>0.79658037227866396</v>
      </c>
    </row>
    <row r="106" spans="1:6" ht="39" customHeight="1">
      <c r="A106" s="240" t="s">
        <v>1641</v>
      </c>
      <c r="B106" s="239" t="s">
        <v>1642</v>
      </c>
      <c r="C106" s="240" t="s">
        <v>1643</v>
      </c>
      <c r="D106" s="243">
        <v>1506409920896</v>
      </c>
      <c r="E106" s="243">
        <v>1261305844696</v>
      </c>
      <c r="F106" s="242">
        <v>1.19432564847828</v>
      </c>
    </row>
    <row r="107" spans="1:6" ht="39" customHeight="1">
      <c r="A107" s="240" t="s">
        <v>1644</v>
      </c>
      <c r="B107" s="239" t="s">
        <v>1645</v>
      </c>
      <c r="C107" s="240" t="s">
        <v>1646</v>
      </c>
      <c r="D107" s="248">
        <v>22920842.510000002</v>
      </c>
      <c r="E107" s="248">
        <v>24476272.140000001</v>
      </c>
      <c r="F107" s="242">
        <v>0.93645153064554898</v>
      </c>
    </row>
    <row r="108" spans="1:6" ht="39" customHeight="1">
      <c r="A108" s="240" t="s">
        <v>1647</v>
      </c>
      <c r="B108" s="239" t="s">
        <v>1648</v>
      </c>
      <c r="C108" s="240" t="s">
        <v>1649</v>
      </c>
      <c r="D108" s="248">
        <v>65722.27</v>
      </c>
      <c r="E108" s="248">
        <v>51531.77</v>
      </c>
      <c r="F108" s="242">
        <v>1.2753738130865699</v>
      </c>
    </row>
    <row r="109" spans="1:6" s="5" customFormat="1" ht="16.95" customHeight="1"/>
    <row r="110" spans="1:6" s="5" customFormat="1" ht="16.95" customHeight="1">
      <c r="A110" s="18" t="s">
        <v>10</v>
      </c>
      <c r="B110" s="6"/>
      <c r="C110" s="6"/>
      <c r="E110" s="18" t="s">
        <v>11</v>
      </c>
      <c r="F110" s="6"/>
    </row>
    <row r="111" spans="1:6" s="9" customFormat="1" ht="16.95" customHeight="1">
      <c r="A111" s="19" t="s">
        <v>12</v>
      </c>
      <c r="B111" s="10"/>
      <c r="C111" s="10"/>
      <c r="E111" s="19" t="s">
        <v>13</v>
      </c>
      <c r="F111" s="10"/>
    </row>
    <row r="112" spans="1:6" s="5" customFormat="1" ht="16.95" customHeight="1">
      <c r="A112" s="6"/>
      <c r="B112" s="6"/>
      <c r="C112" s="6"/>
      <c r="D112" s="6"/>
      <c r="E112" s="6"/>
      <c r="F112" s="6"/>
    </row>
    <row r="113" spans="1:6" s="5" customFormat="1" ht="16.95" customHeight="1">
      <c r="A113" s="6"/>
      <c r="B113" s="6"/>
      <c r="C113" s="6"/>
      <c r="D113" s="6"/>
      <c r="E113" s="6"/>
      <c r="F113" s="6"/>
    </row>
    <row r="114" spans="1:6" s="5" customFormat="1" ht="16.95" customHeight="1">
      <c r="A114" s="6"/>
      <c r="B114" s="6"/>
      <c r="C114" s="6"/>
      <c r="D114" s="6"/>
      <c r="E114" s="6"/>
      <c r="F114" s="6"/>
    </row>
    <row r="115" spans="1:6" s="5" customFormat="1" ht="16.95" customHeight="1">
      <c r="A115" s="6"/>
      <c r="B115" s="6"/>
      <c r="C115" s="6"/>
      <c r="D115" s="6"/>
      <c r="E115" s="6"/>
      <c r="F115" s="6"/>
    </row>
    <row r="116" spans="1:6" s="5" customFormat="1" ht="16.95" customHeight="1">
      <c r="A116" s="6"/>
      <c r="B116" s="6"/>
      <c r="C116" s="6"/>
      <c r="D116" s="6"/>
      <c r="E116" s="6"/>
      <c r="F116" s="6"/>
    </row>
    <row r="117" spans="1:6" s="5" customFormat="1" ht="16.95" customHeight="1">
      <c r="A117" s="6"/>
      <c r="B117" s="6"/>
      <c r="C117" s="6"/>
      <c r="D117" s="6"/>
      <c r="E117" s="6"/>
      <c r="F117" s="6"/>
    </row>
    <row r="118" spans="1:6" s="5" customFormat="1" ht="16.95" customHeight="1">
      <c r="A118" s="103"/>
      <c r="B118" s="103"/>
      <c r="C118" s="6"/>
      <c r="D118" s="8"/>
      <c r="E118" s="103"/>
      <c r="F118" s="103"/>
    </row>
    <row r="119" spans="1:6" s="5" customFormat="1" ht="16.95" customHeight="1">
      <c r="A119" s="17" t="s">
        <v>14</v>
      </c>
      <c r="B119" s="102"/>
      <c r="C119" s="6"/>
      <c r="D119" s="7"/>
      <c r="E119" s="17" t="s">
        <v>1677</v>
      </c>
      <c r="F119" s="102"/>
    </row>
    <row r="120" spans="1:6" s="5" customFormat="1" ht="16.95" customHeight="1">
      <c r="A120" s="101" t="s">
        <v>1681</v>
      </c>
      <c r="B120" s="8"/>
      <c r="C120" s="6"/>
      <c r="E120" s="101" t="s">
        <v>1682</v>
      </c>
      <c r="F120" s="8"/>
    </row>
    <row r="121" spans="1:6" s="5" customFormat="1" ht="16.95" customHeight="1">
      <c r="A121" s="6" t="s">
        <v>1701</v>
      </c>
      <c r="B121" s="6"/>
      <c r="C121" s="6"/>
      <c r="E121" s="6" t="s">
        <v>1683</v>
      </c>
      <c r="F121" s="6"/>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7"/>
  <sheetViews>
    <sheetView view="pageBreakPreview" topLeftCell="A94" zoomScale="55" zoomScaleNormal="100" zoomScaleSheetLayoutView="55" workbookViewId="0">
      <selection activeCell="A18" sqref="A18:F95"/>
    </sheetView>
  </sheetViews>
  <sheetFormatPr defaultColWidth="8.6640625" defaultRowHeight="13.2"/>
  <cols>
    <col min="1" max="1" width="8.6640625" style="15"/>
    <col min="2" max="2" width="46.33203125" style="15" customWidth="1"/>
    <col min="3" max="3" width="10.6640625" style="15" bestFit="1" customWidth="1"/>
    <col min="4" max="6" width="36.88671875" style="15" customWidth="1"/>
    <col min="7" max="16384" width="8.6640625" style="22"/>
  </cols>
  <sheetData>
    <row r="1" spans="1:6" ht="54.75" customHeight="1">
      <c r="A1" s="264" t="s">
        <v>671</v>
      </c>
      <c r="B1" s="264"/>
      <c r="C1" s="264"/>
      <c r="D1" s="264"/>
      <c r="E1" s="264"/>
      <c r="F1" s="264"/>
    </row>
    <row r="2" spans="1:6" ht="54.75" customHeight="1">
      <c r="A2" s="265" t="s">
        <v>672</v>
      </c>
      <c r="B2" s="265"/>
      <c r="C2" s="265"/>
      <c r="D2" s="265"/>
      <c r="E2" s="265"/>
      <c r="F2" s="265"/>
    </row>
    <row r="3" spans="1:6" ht="22.5" customHeight="1">
      <c r="A3" s="266" t="s">
        <v>622</v>
      </c>
      <c r="B3" s="266"/>
      <c r="C3" s="266"/>
      <c r="D3" s="266"/>
      <c r="E3" s="266"/>
      <c r="F3" s="266"/>
    </row>
    <row r="4" spans="1:6" ht="21" customHeight="1">
      <c r="A4" s="266"/>
      <c r="B4" s="266"/>
      <c r="C4" s="266"/>
      <c r="D4" s="266"/>
      <c r="E4" s="266"/>
      <c r="F4" s="266"/>
    </row>
    <row r="5" spans="1:6" ht="16.2" customHeight="1">
      <c r="A5" s="267" t="str">
        <f>TONGQUAN!C2</f>
        <v>Năm 2023
/ Year 2023</v>
      </c>
      <c r="B5" s="267"/>
      <c r="C5" s="267"/>
      <c r="D5" s="267"/>
      <c r="E5" s="267"/>
      <c r="F5" s="267"/>
    </row>
    <row r="7" spans="1:6" ht="16.95" customHeight="1">
      <c r="A7" s="157" t="s">
        <v>2</v>
      </c>
      <c r="C7" s="277" t="str">
        <f>TONGQUAN!D5</f>
        <v>Công ty Cổ phần Quản lý Quỹ Đầu tư Dragon Capital Việt Nam</v>
      </c>
      <c r="D7" s="277"/>
      <c r="E7" s="277"/>
      <c r="F7" s="277"/>
    </row>
    <row r="8" spans="1:6" ht="16.95" customHeight="1">
      <c r="A8" s="15" t="s">
        <v>15</v>
      </c>
      <c r="C8" s="276" t="str">
        <f>TONGQUAN!D6</f>
        <v>Dragon Capital Vietfund Management Joint Stock Company</v>
      </c>
      <c r="D8" s="276"/>
      <c r="E8" s="276"/>
      <c r="F8" s="276"/>
    </row>
    <row r="9" spans="1:6" ht="16.95" customHeight="1">
      <c r="A9" s="157" t="s">
        <v>3</v>
      </c>
      <c r="C9" s="277" t="str">
        <f>TONGQUAN!D7</f>
        <v>Ngân hàng TNHH Một thành viên Standard Chartered (Việt Nam)</v>
      </c>
      <c r="D9" s="277"/>
      <c r="E9" s="277"/>
      <c r="F9" s="277"/>
    </row>
    <row r="10" spans="1:6" ht="16.95" customHeight="1">
      <c r="A10" s="15" t="s">
        <v>4</v>
      </c>
      <c r="C10" s="276" t="str">
        <f>TONGQUAN!D8</f>
        <v>Standard Chartered Bank (Vietnam) Limited</v>
      </c>
      <c r="D10" s="276"/>
      <c r="E10" s="276"/>
      <c r="F10" s="276"/>
    </row>
    <row r="11" spans="1:6" ht="16.95" customHeight="1">
      <c r="A11" s="157" t="s">
        <v>5</v>
      </c>
      <c r="C11" s="277" t="str">
        <f>TONGQUAN!D9</f>
        <v>Quỹ Đầu tư Chứng khoán Năng động DC</v>
      </c>
      <c r="D11" s="277"/>
      <c r="E11" s="277"/>
      <c r="F11" s="277"/>
    </row>
    <row r="12" spans="1:6" ht="16.95" customHeight="1">
      <c r="A12" s="15" t="s">
        <v>6</v>
      </c>
      <c r="C12" s="276" t="str">
        <f>TONGQUAN!D10</f>
        <v>DC Dynamic Securities Fund(DCDS)</v>
      </c>
      <c r="D12" s="276"/>
      <c r="E12" s="276"/>
      <c r="F12" s="276"/>
    </row>
    <row r="13" spans="1:6" ht="16.95" customHeight="1">
      <c r="A13" s="157" t="s">
        <v>7</v>
      </c>
      <c r="C13" s="277" t="str">
        <f>TONGQUAN!D11</f>
        <v>Ngày 08 tháng 03 năm 2024</v>
      </c>
      <c r="D13" s="277"/>
      <c r="E13" s="277"/>
      <c r="F13" s="277"/>
    </row>
    <row r="14" spans="1:6" ht="16.95" customHeight="1">
      <c r="A14" s="15" t="s">
        <v>8</v>
      </c>
      <c r="C14" s="276" t="str">
        <f>TONGQUAN!D12</f>
        <v>08 Mar 2024</v>
      </c>
      <c r="D14" s="276"/>
      <c r="E14" s="276"/>
      <c r="F14" s="276"/>
    </row>
    <row r="15" spans="1:6" ht="16.95" customHeight="1"/>
    <row r="16" spans="1:6" ht="16.95" customHeight="1">
      <c r="A16" s="126" t="s">
        <v>669</v>
      </c>
      <c r="B16" s="127" t="s">
        <v>670</v>
      </c>
    </row>
    <row r="17" spans="1:8" ht="16.95" customHeight="1">
      <c r="A17" s="20" t="s">
        <v>22</v>
      </c>
      <c r="B17" s="21" t="s">
        <v>27</v>
      </c>
    </row>
    <row r="18" spans="1:8" ht="39.6">
      <c r="A18" s="223" t="s">
        <v>17</v>
      </c>
      <c r="B18" s="223" t="s">
        <v>18</v>
      </c>
      <c r="C18" s="223" t="s">
        <v>19</v>
      </c>
      <c r="D18" s="224" t="s">
        <v>1686</v>
      </c>
      <c r="E18" s="224" t="s">
        <v>1687</v>
      </c>
      <c r="F18" s="224" t="s">
        <v>693</v>
      </c>
    </row>
    <row r="19" spans="1:8" s="24" customFormat="1" ht="26.4">
      <c r="A19" s="225" t="s">
        <v>16</v>
      </c>
      <c r="B19" s="226" t="s">
        <v>35</v>
      </c>
      <c r="C19" s="227" t="s">
        <v>52</v>
      </c>
      <c r="D19" s="228">
        <v>27188162933</v>
      </c>
      <c r="E19" s="228">
        <v>34895425486</v>
      </c>
      <c r="F19" s="228">
        <v>27188162933</v>
      </c>
    </row>
    <row r="20" spans="1:8" ht="26.4">
      <c r="A20" s="106">
        <v>1</v>
      </c>
      <c r="B20" s="107" t="s">
        <v>626</v>
      </c>
      <c r="C20" s="108" t="s">
        <v>59</v>
      </c>
      <c r="D20" s="229">
        <v>0</v>
      </c>
      <c r="E20" s="229">
        <v>0</v>
      </c>
      <c r="F20" s="229">
        <v>0</v>
      </c>
      <c r="H20" s="24"/>
    </row>
    <row r="21" spans="1:8">
      <c r="A21" s="130" t="s">
        <v>627</v>
      </c>
      <c r="B21" s="130" t="s">
        <v>627</v>
      </c>
      <c r="C21" s="130" t="s">
        <v>627</v>
      </c>
      <c r="D21" s="230" t="s">
        <v>627</v>
      </c>
      <c r="E21" s="230" t="s">
        <v>628</v>
      </c>
      <c r="F21" s="231" t="s">
        <v>628</v>
      </c>
      <c r="H21" s="24"/>
    </row>
    <row r="22" spans="1:8" ht="26.4">
      <c r="A22" s="106">
        <v>2</v>
      </c>
      <c r="B22" s="107" t="s">
        <v>295</v>
      </c>
      <c r="C22" s="108" t="s">
        <v>53</v>
      </c>
      <c r="D22" s="229">
        <v>26935684468</v>
      </c>
      <c r="E22" s="229">
        <v>32867490336</v>
      </c>
      <c r="F22" s="229">
        <v>26935684468</v>
      </c>
      <c r="H22" s="24"/>
    </row>
    <row r="23" spans="1:8">
      <c r="A23" s="130" t="s">
        <v>627</v>
      </c>
      <c r="B23" s="130" t="s">
        <v>627</v>
      </c>
      <c r="C23" s="130" t="s">
        <v>627</v>
      </c>
      <c r="D23" s="230" t="s">
        <v>627</v>
      </c>
      <c r="E23" s="230" t="s">
        <v>628</v>
      </c>
      <c r="F23" s="231" t="s">
        <v>628</v>
      </c>
      <c r="H23" s="24"/>
    </row>
    <row r="24" spans="1:8" ht="26.4">
      <c r="A24" s="109"/>
      <c r="B24" s="110" t="s">
        <v>296</v>
      </c>
      <c r="C24" s="111" t="s">
        <v>54</v>
      </c>
      <c r="D24" s="229">
        <v>21446287000</v>
      </c>
      <c r="E24" s="229">
        <v>17365202500</v>
      </c>
      <c r="F24" s="229">
        <v>21446287000</v>
      </c>
      <c r="H24" s="24"/>
    </row>
    <row r="25" spans="1:8" ht="26.4">
      <c r="A25" s="109"/>
      <c r="B25" s="110" t="s">
        <v>297</v>
      </c>
      <c r="C25" s="111" t="s">
        <v>55</v>
      </c>
      <c r="D25" s="229">
        <v>5489397468</v>
      </c>
      <c r="E25" s="229">
        <v>15502287836</v>
      </c>
      <c r="F25" s="229">
        <v>5489397468</v>
      </c>
      <c r="H25" s="24"/>
    </row>
    <row r="26" spans="1:8" ht="26.4">
      <c r="A26" s="106">
        <v>3</v>
      </c>
      <c r="B26" s="107" t="s">
        <v>298</v>
      </c>
      <c r="C26" s="108" t="s">
        <v>56</v>
      </c>
      <c r="D26" s="229">
        <v>252478465</v>
      </c>
      <c r="E26" s="229">
        <v>2027935150</v>
      </c>
      <c r="F26" s="229">
        <v>252478465</v>
      </c>
      <c r="H26" s="24"/>
    </row>
    <row r="27" spans="1:8">
      <c r="A27" s="130" t="s">
        <v>627</v>
      </c>
      <c r="B27" s="130" t="s">
        <v>627</v>
      </c>
      <c r="C27" s="130" t="s">
        <v>627</v>
      </c>
      <c r="D27" s="230" t="s">
        <v>627</v>
      </c>
      <c r="E27" s="230" t="s">
        <v>627</v>
      </c>
      <c r="F27" s="230" t="s">
        <v>627</v>
      </c>
      <c r="H27" s="24"/>
    </row>
    <row r="28" spans="1:8" ht="26.4">
      <c r="A28" s="109"/>
      <c r="B28" s="110" t="s">
        <v>291</v>
      </c>
      <c r="C28" s="111" t="s">
        <v>57</v>
      </c>
      <c r="D28" s="229">
        <v>252478465</v>
      </c>
      <c r="E28" s="229">
        <v>1192606383</v>
      </c>
      <c r="F28" s="229">
        <v>252478465</v>
      </c>
      <c r="H28" s="24"/>
    </row>
    <row r="29" spans="1:8" ht="26.4">
      <c r="A29" s="109"/>
      <c r="B29" s="110" t="s">
        <v>712</v>
      </c>
      <c r="C29" s="111" t="s">
        <v>58</v>
      </c>
      <c r="D29" s="229">
        <v>0</v>
      </c>
      <c r="E29" s="229">
        <v>835328767</v>
      </c>
      <c r="F29" s="229">
        <v>0</v>
      </c>
      <c r="H29" s="24"/>
    </row>
    <row r="30" spans="1:8" ht="26.4">
      <c r="A30" s="109"/>
      <c r="B30" s="110" t="s">
        <v>340</v>
      </c>
      <c r="C30" s="111" t="s">
        <v>288</v>
      </c>
      <c r="D30" s="229">
        <v>0</v>
      </c>
      <c r="E30" s="229">
        <v>0</v>
      </c>
      <c r="F30" s="229">
        <v>0</v>
      </c>
      <c r="H30" s="24"/>
    </row>
    <row r="31" spans="1:8" s="24" customFormat="1" ht="26.4">
      <c r="A31" s="106">
        <v>4</v>
      </c>
      <c r="B31" s="107" t="s">
        <v>299</v>
      </c>
      <c r="C31" s="108" t="s">
        <v>59</v>
      </c>
      <c r="D31" s="229">
        <v>0</v>
      </c>
      <c r="E31" s="229">
        <v>0</v>
      </c>
      <c r="F31" s="229">
        <v>0</v>
      </c>
    </row>
    <row r="32" spans="1:8">
      <c r="A32" s="130" t="s">
        <v>627</v>
      </c>
      <c r="B32" s="130" t="s">
        <v>627</v>
      </c>
      <c r="C32" s="130" t="s">
        <v>627</v>
      </c>
      <c r="D32" s="230" t="s">
        <v>627</v>
      </c>
      <c r="E32" s="230" t="s">
        <v>627</v>
      </c>
      <c r="F32" s="230" t="s">
        <v>627</v>
      </c>
      <c r="H32" s="24"/>
    </row>
    <row r="33" spans="1:8" ht="26.4">
      <c r="A33" s="112"/>
      <c r="B33" s="113" t="s">
        <v>300</v>
      </c>
      <c r="C33" s="114" t="s">
        <v>60</v>
      </c>
      <c r="D33" s="229">
        <v>0</v>
      </c>
      <c r="E33" s="229">
        <v>0</v>
      </c>
      <c r="F33" s="229">
        <v>0</v>
      </c>
      <c r="H33" s="24"/>
    </row>
    <row r="34" spans="1:8" ht="26.4">
      <c r="A34" s="112"/>
      <c r="B34" s="113" t="s">
        <v>301</v>
      </c>
      <c r="C34" s="114" t="s">
        <v>61</v>
      </c>
      <c r="D34" s="229">
        <v>0</v>
      </c>
      <c r="E34" s="229">
        <v>0</v>
      </c>
      <c r="F34" s="229">
        <v>0</v>
      </c>
      <c r="H34" s="24"/>
    </row>
    <row r="35" spans="1:8" ht="79.2">
      <c r="A35" s="112"/>
      <c r="B35" s="113" t="s">
        <v>36</v>
      </c>
      <c r="C35" s="114" t="s">
        <v>62</v>
      </c>
      <c r="D35" s="229">
        <v>0</v>
      </c>
      <c r="E35" s="229">
        <v>0</v>
      </c>
      <c r="F35" s="229">
        <v>0</v>
      </c>
      <c r="H35" s="24"/>
    </row>
    <row r="36" spans="1:8" ht="26.4">
      <c r="A36" s="225" t="s">
        <v>22</v>
      </c>
      <c r="B36" s="226" t="s">
        <v>302</v>
      </c>
      <c r="C36" s="227" t="s">
        <v>63</v>
      </c>
      <c r="D36" s="233">
        <v>45704776067</v>
      </c>
      <c r="E36" s="233">
        <v>52679756326</v>
      </c>
      <c r="F36" s="233">
        <v>45704776067</v>
      </c>
      <c r="H36" s="24"/>
    </row>
    <row r="37" spans="1:8" ht="39.6">
      <c r="A37" s="106">
        <v>1</v>
      </c>
      <c r="B37" s="107" t="s">
        <v>629</v>
      </c>
      <c r="C37" s="108" t="s">
        <v>64</v>
      </c>
      <c r="D37" s="229">
        <v>26545352339</v>
      </c>
      <c r="E37" s="229">
        <v>30361846097</v>
      </c>
      <c r="F37" s="229">
        <v>26545352339</v>
      </c>
      <c r="H37" s="24"/>
    </row>
    <row r="38" spans="1:8">
      <c r="A38" s="130" t="s">
        <v>627</v>
      </c>
      <c r="B38" s="130" t="s">
        <v>627</v>
      </c>
      <c r="C38" s="130" t="s">
        <v>627</v>
      </c>
      <c r="D38" s="230" t="s">
        <v>627</v>
      </c>
      <c r="E38" s="230" t="s">
        <v>627</v>
      </c>
      <c r="F38" s="230" t="s">
        <v>627</v>
      </c>
      <c r="H38" s="24"/>
    </row>
    <row r="39" spans="1:8" ht="52.8">
      <c r="A39" s="106">
        <v>2</v>
      </c>
      <c r="B39" s="107" t="s">
        <v>719</v>
      </c>
      <c r="C39" s="108" t="s">
        <v>65</v>
      </c>
      <c r="D39" s="229">
        <v>1743724364</v>
      </c>
      <c r="E39" s="229">
        <v>1752733314</v>
      </c>
      <c r="F39" s="229">
        <v>1743724364</v>
      </c>
      <c r="H39" s="24"/>
    </row>
    <row r="40" spans="1:8">
      <c r="A40" s="130" t="s">
        <v>627</v>
      </c>
      <c r="B40" s="130" t="s">
        <v>627</v>
      </c>
      <c r="C40" s="130" t="s">
        <v>627</v>
      </c>
      <c r="D40" s="230" t="s">
        <v>627</v>
      </c>
      <c r="E40" s="230" t="s">
        <v>627</v>
      </c>
      <c r="F40" s="230" t="s">
        <v>627</v>
      </c>
      <c r="H40" s="24"/>
    </row>
    <row r="41" spans="1:8" ht="26.4">
      <c r="A41" s="115"/>
      <c r="B41" s="110" t="s">
        <v>630</v>
      </c>
      <c r="C41" s="111" t="s">
        <v>66</v>
      </c>
      <c r="D41" s="229">
        <v>544661766</v>
      </c>
      <c r="E41" s="229">
        <v>622807094</v>
      </c>
      <c r="F41" s="229">
        <v>544661766</v>
      </c>
      <c r="H41" s="24"/>
    </row>
    <row r="42" spans="1:8" ht="26.4">
      <c r="A42" s="115"/>
      <c r="B42" s="110" t="s">
        <v>631</v>
      </c>
      <c r="C42" s="111" t="s">
        <v>67</v>
      </c>
      <c r="D42" s="229">
        <v>465615000</v>
      </c>
      <c r="E42" s="229">
        <v>349015000</v>
      </c>
      <c r="F42" s="229">
        <v>465615000</v>
      </c>
      <c r="H42" s="24"/>
    </row>
    <row r="43" spans="1:8" ht="52.8">
      <c r="A43" s="115"/>
      <c r="B43" s="110" t="s">
        <v>720</v>
      </c>
      <c r="C43" s="111" t="s">
        <v>68</v>
      </c>
      <c r="D43" s="229">
        <v>134319658</v>
      </c>
      <c r="E43" s="229">
        <v>95823407</v>
      </c>
      <c r="F43" s="229">
        <v>134319658</v>
      </c>
      <c r="H43" s="24"/>
    </row>
    <row r="44" spans="1:8" ht="26.4">
      <c r="A44" s="115"/>
      <c r="B44" s="110" t="s">
        <v>632</v>
      </c>
      <c r="C44" s="111" t="s">
        <v>69</v>
      </c>
      <c r="D44" s="229">
        <v>599127940</v>
      </c>
      <c r="E44" s="229">
        <v>685087813</v>
      </c>
      <c r="F44" s="229">
        <v>599127940</v>
      </c>
      <c r="H44" s="24"/>
    </row>
    <row r="45" spans="1:8" ht="66">
      <c r="A45" s="106">
        <v>3</v>
      </c>
      <c r="B45" s="116" t="s">
        <v>633</v>
      </c>
      <c r="C45" s="108" t="s">
        <v>70</v>
      </c>
      <c r="D45" s="229">
        <v>532854969</v>
      </c>
      <c r="E45" s="229">
        <v>573379880</v>
      </c>
      <c r="F45" s="229">
        <v>532854969</v>
      </c>
      <c r="H45" s="24"/>
    </row>
    <row r="46" spans="1:8">
      <c r="A46" s="130" t="s">
        <v>627</v>
      </c>
      <c r="B46" s="130" t="s">
        <v>627</v>
      </c>
      <c r="C46" s="130" t="s">
        <v>627</v>
      </c>
      <c r="D46" s="230" t="s">
        <v>627</v>
      </c>
      <c r="E46" s="230" t="s">
        <v>627</v>
      </c>
      <c r="F46" s="230" t="s">
        <v>627</v>
      </c>
      <c r="H46" s="24"/>
    </row>
    <row r="47" spans="1:8" ht="26.4">
      <c r="A47" s="115"/>
      <c r="B47" s="117" t="s">
        <v>341</v>
      </c>
      <c r="C47" s="111" t="s">
        <v>71</v>
      </c>
      <c r="D47" s="229">
        <v>374454969</v>
      </c>
      <c r="E47" s="229">
        <v>428179880</v>
      </c>
      <c r="F47" s="229">
        <v>374454969</v>
      </c>
      <c r="H47" s="24"/>
    </row>
    <row r="48" spans="1:8" ht="26.4">
      <c r="A48" s="115"/>
      <c r="B48" s="117" t="s">
        <v>38</v>
      </c>
      <c r="C48" s="111" t="s">
        <v>72</v>
      </c>
      <c r="D48" s="229">
        <v>158400000</v>
      </c>
      <c r="E48" s="229">
        <v>145200000</v>
      </c>
      <c r="F48" s="229">
        <v>158400000</v>
      </c>
      <c r="H48" s="24"/>
    </row>
    <row r="49" spans="1:8" ht="52.8">
      <c r="A49" s="115">
        <v>4</v>
      </c>
      <c r="B49" s="117" t="s">
        <v>634</v>
      </c>
      <c r="C49" s="111" t="s">
        <v>84</v>
      </c>
      <c r="D49" s="229">
        <v>0</v>
      </c>
      <c r="E49" s="229">
        <v>0</v>
      </c>
      <c r="F49" s="229">
        <v>0</v>
      </c>
      <c r="H49" s="24"/>
    </row>
    <row r="50" spans="1:8">
      <c r="A50" s="130" t="s">
        <v>627</v>
      </c>
      <c r="B50" s="130" t="s">
        <v>627</v>
      </c>
      <c r="C50" s="130" t="s">
        <v>627</v>
      </c>
      <c r="D50" s="230" t="s">
        <v>627</v>
      </c>
      <c r="E50" s="230" t="s">
        <v>627</v>
      </c>
      <c r="F50" s="230" t="s">
        <v>627</v>
      </c>
      <c r="H50" s="24"/>
    </row>
    <row r="51" spans="1:8" ht="39.6">
      <c r="A51" s="115">
        <v>5</v>
      </c>
      <c r="B51" s="117" t="s">
        <v>635</v>
      </c>
      <c r="C51" s="111" t="s">
        <v>88</v>
      </c>
      <c r="D51" s="229">
        <v>0</v>
      </c>
      <c r="E51" s="229">
        <v>0</v>
      </c>
      <c r="F51" s="229">
        <v>0</v>
      </c>
      <c r="H51" s="24"/>
    </row>
    <row r="52" spans="1:8">
      <c r="A52" s="130" t="s">
        <v>627</v>
      </c>
      <c r="B52" s="130" t="s">
        <v>627</v>
      </c>
      <c r="C52" s="130" t="s">
        <v>627</v>
      </c>
      <c r="D52" s="230" t="s">
        <v>627</v>
      </c>
      <c r="E52" s="230" t="s">
        <v>627</v>
      </c>
      <c r="F52" s="230" t="s">
        <v>627</v>
      </c>
      <c r="H52" s="24"/>
    </row>
    <row r="53" spans="1:8" ht="26.4">
      <c r="A53" s="106">
        <v>6</v>
      </c>
      <c r="B53" s="107" t="s">
        <v>39</v>
      </c>
      <c r="C53" s="108" t="s">
        <v>73</v>
      </c>
      <c r="D53" s="229">
        <v>207137469</v>
      </c>
      <c r="E53" s="229">
        <v>189942000</v>
      </c>
      <c r="F53" s="229">
        <v>207137469</v>
      </c>
      <c r="H53" s="24"/>
    </row>
    <row r="54" spans="1:8">
      <c r="A54" s="130" t="s">
        <v>627</v>
      </c>
      <c r="B54" s="130" t="s">
        <v>627</v>
      </c>
      <c r="C54" s="130" t="s">
        <v>627</v>
      </c>
      <c r="D54" s="230" t="s">
        <v>627</v>
      </c>
      <c r="E54" s="230" t="s">
        <v>627</v>
      </c>
      <c r="F54" s="230" t="s">
        <v>627</v>
      </c>
      <c r="H54" s="24"/>
    </row>
    <row r="55" spans="1:8" ht="79.2">
      <c r="A55" s="106">
        <v>7</v>
      </c>
      <c r="B55" s="107" t="s">
        <v>342</v>
      </c>
      <c r="C55" s="108" t="s">
        <v>74</v>
      </c>
      <c r="D55" s="229">
        <v>250000000</v>
      </c>
      <c r="E55" s="229">
        <v>317633332</v>
      </c>
      <c r="F55" s="229">
        <v>250000000</v>
      </c>
      <c r="H55" s="24"/>
    </row>
    <row r="56" spans="1:8">
      <c r="A56" s="130" t="s">
        <v>627</v>
      </c>
      <c r="B56" s="130" t="s">
        <v>627</v>
      </c>
      <c r="C56" s="130" t="s">
        <v>627</v>
      </c>
      <c r="D56" s="230" t="s">
        <v>627</v>
      </c>
      <c r="E56" s="230" t="s">
        <v>627</v>
      </c>
      <c r="F56" s="230" t="s">
        <v>627</v>
      </c>
      <c r="H56" s="24"/>
    </row>
    <row r="57" spans="1:8" ht="26.4">
      <c r="A57" s="115"/>
      <c r="B57" s="118" t="s">
        <v>343</v>
      </c>
      <c r="C57" s="111" t="s">
        <v>75</v>
      </c>
      <c r="D57" s="229">
        <v>156000000</v>
      </c>
      <c r="E57" s="229">
        <v>181000000</v>
      </c>
      <c r="F57" s="229">
        <v>156000000</v>
      </c>
      <c r="H57" s="24"/>
    </row>
    <row r="58" spans="1:8" ht="26.4">
      <c r="A58" s="115"/>
      <c r="B58" s="118" t="s">
        <v>303</v>
      </c>
      <c r="C58" s="111" t="s">
        <v>76</v>
      </c>
      <c r="D58" s="229">
        <v>94000000</v>
      </c>
      <c r="E58" s="229">
        <v>136633332</v>
      </c>
      <c r="F58" s="229">
        <v>94000000</v>
      </c>
      <c r="H58" s="24"/>
    </row>
    <row r="59" spans="1:8" ht="26.4">
      <c r="A59" s="115"/>
      <c r="B59" s="118" t="s">
        <v>41</v>
      </c>
      <c r="C59" s="111" t="s">
        <v>77</v>
      </c>
      <c r="D59" s="229">
        <v>0</v>
      </c>
      <c r="E59" s="229">
        <v>0</v>
      </c>
      <c r="F59" s="229">
        <v>0</v>
      </c>
      <c r="H59" s="24"/>
    </row>
    <row r="60" spans="1:8" ht="145.19999999999999">
      <c r="A60" s="106">
        <v>8</v>
      </c>
      <c r="B60" s="116" t="s">
        <v>344</v>
      </c>
      <c r="C60" s="108" t="s">
        <v>78</v>
      </c>
      <c r="D60" s="229">
        <v>27950952</v>
      </c>
      <c r="E60" s="229">
        <v>35094216</v>
      </c>
      <c r="F60" s="229">
        <v>27950952</v>
      </c>
      <c r="H60" s="24"/>
    </row>
    <row r="61" spans="1:8">
      <c r="A61" s="130" t="s">
        <v>627</v>
      </c>
      <c r="B61" s="130" t="s">
        <v>627</v>
      </c>
      <c r="C61" s="130" t="s">
        <v>627</v>
      </c>
      <c r="D61" s="230" t="s">
        <v>627</v>
      </c>
      <c r="E61" s="230" t="s">
        <v>627</v>
      </c>
      <c r="F61" s="230" t="s">
        <v>627</v>
      </c>
      <c r="H61" s="24"/>
    </row>
    <row r="62" spans="1:8" ht="26.4">
      <c r="A62" s="115"/>
      <c r="B62" s="117" t="s">
        <v>304</v>
      </c>
      <c r="C62" s="111" t="s">
        <v>79</v>
      </c>
      <c r="D62" s="229">
        <v>27950952</v>
      </c>
      <c r="E62" s="229">
        <v>35094216</v>
      </c>
      <c r="F62" s="229">
        <v>27950952</v>
      </c>
      <c r="H62" s="24"/>
    </row>
    <row r="63" spans="1:8" ht="26.4">
      <c r="A63" s="115"/>
      <c r="B63" s="117" t="s">
        <v>221</v>
      </c>
      <c r="C63" s="111" t="s">
        <v>80</v>
      </c>
      <c r="D63" s="229">
        <v>0</v>
      </c>
      <c r="E63" s="229">
        <v>0</v>
      </c>
      <c r="F63" s="229">
        <v>0</v>
      </c>
      <c r="H63" s="24"/>
    </row>
    <row r="64" spans="1:8" s="24" customFormat="1" ht="39.6">
      <c r="A64" s="115"/>
      <c r="B64" s="117" t="s">
        <v>345</v>
      </c>
      <c r="C64" s="111" t="s">
        <v>81</v>
      </c>
      <c r="D64" s="229">
        <v>0</v>
      </c>
      <c r="E64" s="229">
        <v>0</v>
      </c>
      <c r="F64" s="229">
        <v>0</v>
      </c>
    </row>
    <row r="65" spans="1:8" s="24" customFormat="1" ht="26.4">
      <c r="A65" s="115"/>
      <c r="B65" s="118" t="s">
        <v>305</v>
      </c>
      <c r="C65" s="111" t="s">
        <v>82</v>
      </c>
      <c r="D65" s="229">
        <v>0</v>
      </c>
      <c r="E65" s="229">
        <v>0</v>
      </c>
      <c r="F65" s="229">
        <v>0</v>
      </c>
    </row>
    <row r="66" spans="1:8" ht="26.4">
      <c r="A66" s="115"/>
      <c r="B66" s="118" t="s">
        <v>636</v>
      </c>
      <c r="C66" s="111" t="s">
        <v>83</v>
      </c>
      <c r="D66" s="229">
        <v>0</v>
      </c>
      <c r="E66" s="229">
        <v>0</v>
      </c>
      <c r="F66" s="229">
        <v>0</v>
      </c>
      <c r="H66" s="24"/>
    </row>
    <row r="67" spans="1:8" ht="52.8">
      <c r="A67" s="106">
        <v>9</v>
      </c>
      <c r="B67" s="107" t="s">
        <v>346</v>
      </c>
      <c r="C67" s="108" t="s">
        <v>84</v>
      </c>
      <c r="D67" s="229">
        <v>16285754924</v>
      </c>
      <c r="E67" s="229">
        <v>19348708287</v>
      </c>
      <c r="F67" s="229">
        <v>16285754924</v>
      </c>
      <c r="H67" s="24"/>
    </row>
    <row r="68" spans="1:8" s="24" customFormat="1">
      <c r="A68" s="130" t="s">
        <v>627</v>
      </c>
      <c r="B68" s="130" t="s">
        <v>627</v>
      </c>
      <c r="C68" s="130" t="s">
        <v>627</v>
      </c>
      <c r="D68" s="230" t="s">
        <v>627</v>
      </c>
      <c r="E68" s="230" t="s">
        <v>627</v>
      </c>
      <c r="F68" s="230" t="s">
        <v>627</v>
      </c>
    </row>
    <row r="69" spans="1:8" s="24" customFormat="1" ht="26.4">
      <c r="A69" s="115"/>
      <c r="B69" s="110" t="s">
        <v>43</v>
      </c>
      <c r="C69" s="111" t="s">
        <v>85</v>
      </c>
      <c r="D69" s="229">
        <v>16195631005</v>
      </c>
      <c r="E69" s="229">
        <v>19285488371</v>
      </c>
      <c r="F69" s="229">
        <v>16195631005</v>
      </c>
    </row>
    <row r="70" spans="1:8" s="24" customFormat="1" ht="26.4">
      <c r="A70" s="115"/>
      <c r="B70" s="110" t="s">
        <v>44</v>
      </c>
      <c r="C70" s="111" t="s">
        <v>86</v>
      </c>
      <c r="D70" s="229">
        <v>67623919</v>
      </c>
      <c r="E70" s="229">
        <v>53219916</v>
      </c>
      <c r="F70" s="229">
        <v>67623919</v>
      </c>
    </row>
    <row r="71" spans="1:8" ht="26.4">
      <c r="A71" s="115"/>
      <c r="B71" s="110" t="s">
        <v>45</v>
      </c>
      <c r="C71" s="111" t="s">
        <v>87</v>
      </c>
      <c r="D71" s="229">
        <v>22500000</v>
      </c>
      <c r="E71" s="229">
        <v>10000000</v>
      </c>
      <c r="F71" s="229">
        <v>22500000</v>
      </c>
      <c r="H71" s="24"/>
    </row>
    <row r="72" spans="1:8" ht="26.4">
      <c r="A72" s="106">
        <v>10</v>
      </c>
      <c r="B72" s="107" t="s">
        <v>637</v>
      </c>
      <c r="C72" s="108" t="s">
        <v>88</v>
      </c>
      <c r="D72" s="229">
        <v>112001050</v>
      </c>
      <c r="E72" s="229">
        <v>100419200</v>
      </c>
      <c r="F72" s="229">
        <v>112001050</v>
      </c>
      <c r="H72" s="24"/>
    </row>
    <row r="73" spans="1:8">
      <c r="A73" s="130" t="s">
        <v>627</v>
      </c>
      <c r="B73" s="130" t="s">
        <v>627</v>
      </c>
      <c r="C73" s="130" t="s">
        <v>627</v>
      </c>
      <c r="D73" s="230" t="s">
        <v>627</v>
      </c>
      <c r="E73" s="230" t="s">
        <v>627</v>
      </c>
      <c r="F73" s="230" t="s">
        <v>627</v>
      </c>
      <c r="H73" s="24"/>
    </row>
    <row r="74" spans="1:8" ht="26.4">
      <c r="A74" s="106"/>
      <c r="B74" s="110" t="s">
        <v>46</v>
      </c>
      <c r="C74" s="111" t="s">
        <v>89</v>
      </c>
      <c r="D74" s="229">
        <v>0</v>
      </c>
      <c r="E74" s="229">
        <v>0</v>
      </c>
      <c r="F74" s="229">
        <v>0</v>
      </c>
      <c r="H74" s="24"/>
    </row>
    <row r="75" spans="1:8" ht="26.4">
      <c r="A75" s="106"/>
      <c r="B75" s="110" t="s">
        <v>347</v>
      </c>
      <c r="C75" s="111" t="s">
        <v>90</v>
      </c>
      <c r="D75" s="229">
        <v>0</v>
      </c>
      <c r="E75" s="229">
        <v>0</v>
      </c>
      <c r="F75" s="229">
        <v>0</v>
      </c>
      <c r="H75" s="24"/>
    </row>
    <row r="76" spans="1:8" ht="26.4">
      <c r="A76" s="106"/>
      <c r="B76" s="110" t="s">
        <v>47</v>
      </c>
      <c r="C76" s="111" t="s">
        <v>91</v>
      </c>
      <c r="D76" s="229">
        <v>12500000</v>
      </c>
      <c r="E76" s="229">
        <v>7500000</v>
      </c>
      <c r="F76" s="229">
        <v>12500000</v>
      </c>
      <c r="H76" s="24"/>
    </row>
    <row r="77" spans="1:8" ht="26.4">
      <c r="A77" s="106"/>
      <c r="B77" s="110" t="s">
        <v>48</v>
      </c>
      <c r="C77" s="111" t="s">
        <v>92</v>
      </c>
      <c r="D77" s="229">
        <v>98401050</v>
      </c>
      <c r="E77" s="229">
        <v>91819200</v>
      </c>
      <c r="F77" s="229">
        <v>98401050</v>
      </c>
      <c r="H77" s="24"/>
    </row>
    <row r="78" spans="1:8" ht="26.4">
      <c r="A78" s="106"/>
      <c r="B78" s="110" t="s">
        <v>348</v>
      </c>
      <c r="C78" s="111" t="s">
        <v>93</v>
      </c>
      <c r="D78" s="229">
        <v>0</v>
      </c>
      <c r="E78" s="229">
        <v>0</v>
      </c>
      <c r="F78" s="229">
        <v>0</v>
      </c>
      <c r="H78" s="24"/>
    </row>
    <row r="79" spans="1:8" ht="26.4">
      <c r="A79" s="106"/>
      <c r="B79" s="110" t="s">
        <v>45</v>
      </c>
      <c r="C79" s="111" t="s">
        <v>94</v>
      </c>
      <c r="D79" s="229">
        <v>0</v>
      </c>
      <c r="E79" s="229">
        <v>0</v>
      </c>
      <c r="F79" s="229">
        <v>0</v>
      </c>
      <c r="H79" s="24"/>
    </row>
    <row r="80" spans="1:8" ht="26.4">
      <c r="A80" s="106"/>
      <c r="B80" s="110" t="s">
        <v>717</v>
      </c>
      <c r="C80" s="111" t="s">
        <v>95</v>
      </c>
      <c r="D80" s="229">
        <v>1100000</v>
      </c>
      <c r="E80" s="229">
        <v>1100000</v>
      </c>
      <c r="F80" s="229">
        <v>1100000</v>
      </c>
      <c r="H80" s="24"/>
    </row>
    <row r="81" spans="1:8" ht="39.6">
      <c r="A81" s="232" t="s">
        <v>28</v>
      </c>
      <c r="B81" s="226" t="s">
        <v>349</v>
      </c>
      <c r="C81" s="227" t="s">
        <v>96</v>
      </c>
      <c r="D81" s="233">
        <v>-18516613134</v>
      </c>
      <c r="E81" s="233">
        <v>-17784330840</v>
      </c>
      <c r="F81" s="233">
        <v>-18516613134</v>
      </c>
      <c r="H81" s="24"/>
    </row>
    <row r="82" spans="1:8" ht="26.4">
      <c r="A82" s="232" t="s">
        <v>29</v>
      </c>
      <c r="B82" s="226" t="s">
        <v>307</v>
      </c>
      <c r="C82" s="227" t="s">
        <v>97</v>
      </c>
      <c r="D82" s="233">
        <v>345277412242</v>
      </c>
      <c r="E82" s="233">
        <v>-648027494719</v>
      </c>
      <c r="F82" s="233">
        <v>345277412242</v>
      </c>
      <c r="H82" s="24"/>
    </row>
    <row r="83" spans="1:8" ht="52.8">
      <c r="A83" s="106">
        <v>1</v>
      </c>
      <c r="B83" s="107" t="s">
        <v>638</v>
      </c>
      <c r="C83" s="108" t="s">
        <v>98</v>
      </c>
      <c r="D83" s="229">
        <v>202459819566</v>
      </c>
      <c r="E83" s="229">
        <v>-449654427803</v>
      </c>
      <c r="F83" s="229">
        <v>202459819566</v>
      </c>
      <c r="H83" s="24"/>
    </row>
    <row r="84" spans="1:8" ht="26.4">
      <c r="A84" s="106">
        <v>2</v>
      </c>
      <c r="B84" s="107" t="s">
        <v>49</v>
      </c>
      <c r="C84" s="108" t="s">
        <v>99</v>
      </c>
      <c r="D84" s="229">
        <v>142817592676</v>
      </c>
      <c r="E84" s="229">
        <v>-198373066916</v>
      </c>
      <c r="F84" s="229">
        <v>142817592676</v>
      </c>
      <c r="H84" s="24"/>
    </row>
    <row r="85" spans="1:8" ht="66">
      <c r="A85" s="232" t="s">
        <v>30</v>
      </c>
      <c r="B85" s="226" t="s">
        <v>350</v>
      </c>
      <c r="C85" s="227" t="s">
        <v>100</v>
      </c>
      <c r="D85" s="233">
        <v>326760799108</v>
      </c>
      <c r="E85" s="233">
        <v>-665811825559</v>
      </c>
      <c r="F85" s="233">
        <v>326760799108</v>
      </c>
      <c r="H85" s="24"/>
    </row>
    <row r="86" spans="1:8" ht="26.4">
      <c r="A86" s="232" t="s">
        <v>31</v>
      </c>
      <c r="B86" s="226" t="s">
        <v>50</v>
      </c>
      <c r="C86" s="227" t="s">
        <v>101</v>
      </c>
      <c r="D86" s="233">
        <v>1261305844696</v>
      </c>
      <c r="E86" s="233">
        <v>1641867480749</v>
      </c>
      <c r="F86" s="233">
        <v>1261305844696</v>
      </c>
      <c r="H86" s="24"/>
    </row>
    <row r="87" spans="1:8" ht="62.25" customHeight="1">
      <c r="A87" s="232" t="s">
        <v>32</v>
      </c>
      <c r="B87" s="226" t="s">
        <v>694</v>
      </c>
      <c r="C87" s="227" t="s">
        <v>102</v>
      </c>
      <c r="D87" s="233">
        <v>245104076200</v>
      </c>
      <c r="E87" s="233">
        <v>-380561636053</v>
      </c>
      <c r="F87" s="233">
        <v>245104076200</v>
      </c>
      <c r="H87" s="24"/>
    </row>
    <row r="88" spans="1:8" s="24" customFormat="1" ht="52.8">
      <c r="A88" s="106">
        <v>1</v>
      </c>
      <c r="B88" s="107" t="s">
        <v>639</v>
      </c>
      <c r="C88" s="108" t="s">
        <v>103</v>
      </c>
      <c r="D88" s="229">
        <v>326760799108</v>
      </c>
      <c r="E88" s="229">
        <v>-665811825559</v>
      </c>
      <c r="F88" s="229">
        <v>326760799108</v>
      </c>
    </row>
    <row r="89" spans="1:8" ht="52.8">
      <c r="A89" s="106">
        <v>2</v>
      </c>
      <c r="B89" s="107" t="s">
        <v>640</v>
      </c>
      <c r="C89" s="108" t="s">
        <v>104</v>
      </c>
      <c r="D89" s="229">
        <v>0</v>
      </c>
      <c r="E89" s="229">
        <v>0</v>
      </c>
      <c r="F89" s="229">
        <v>0</v>
      </c>
      <c r="H89" s="24"/>
    </row>
    <row r="90" spans="1:8" ht="52.8">
      <c r="A90" s="106">
        <v>3</v>
      </c>
      <c r="B90" s="107" t="s">
        <v>641</v>
      </c>
      <c r="C90" s="108" t="s">
        <v>105</v>
      </c>
      <c r="D90" s="229">
        <v>-81656722908</v>
      </c>
      <c r="E90" s="229">
        <v>285250189506</v>
      </c>
      <c r="F90" s="229">
        <v>-81656722908</v>
      </c>
      <c r="H90" s="24"/>
    </row>
    <row r="91" spans="1:8" ht="52.8">
      <c r="A91" s="106"/>
      <c r="B91" s="107" t="s">
        <v>351</v>
      </c>
      <c r="C91" s="108" t="s">
        <v>642</v>
      </c>
      <c r="D91" s="229">
        <v>263340163689</v>
      </c>
      <c r="E91" s="229">
        <v>734385200678</v>
      </c>
      <c r="F91" s="229">
        <v>263340163689</v>
      </c>
      <c r="H91" s="24"/>
    </row>
    <row r="92" spans="1:8" ht="52.8">
      <c r="A92" s="106"/>
      <c r="B92" s="107" t="s">
        <v>352</v>
      </c>
      <c r="C92" s="108" t="s">
        <v>643</v>
      </c>
      <c r="D92" s="229">
        <v>-344996886597</v>
      </c>
      <c r="E92" s="229">
        <v>-449135011172</v>
      </c>
      <c r="F92" s="229">
        <v>-344996886597</v>
      </c>
      <c r="H92" s="24"/>
    </row>
    <row r="93" spans="1:8" s="27" customFormat="1" ht="26.4">
      <c r="A93" s="225" t="s">
        <v>33</v>
      </c>
      <c r="B93" s="226" t="s">
        <v>51</v>
      </c>
      <c r="C93" s="227" t="s">
        <v>106</v>
      </c>
      <c r="D93" s="233">
        <v>1506409920896</v>
      </c>
      <c r="E93" s="233">
        <v>1261305844696</v>
      </c>
      <c r="F93" s="233">
        <v>1506409920896</v>
      </c>
      <c r="H93" s="24"/>
    </row>
    <row r="94" spans="1:8" ht="52.8">
      <c r="A94" s="225" t="s">
        <v>34</v>
      </c>
      <c r="B94" s="226" t="s">
        <v>308</v>
      </c>
      <c r="C94" s="227" t="s">
        <v>107</v>
      </c>
      <c r="D94" s="233">
        <v>326760799108</v>
      </c>
      <c r="E94" s="233">
        <v>-665811825559</v>
      </c>
      <c r="F94" s="233">
        <v>326760799108</v>
      </c>
      <c r="H94" s="24"/>
    </row>
    <row r="95" spans="1:8" ht="52.8">
      <c r="A95" s="119"/>
      <c r="B95" s="107" t="s">
        <v>309</v>
      </c>
      <c r="C95" s="108" t="s">
        <v>108</v>
      </c>
      <c r="D95" s="242">
        <v>0.240000460369726</v>
      </c>
      <c r="E95" s="242">
        <v>-0.42766660892001501</v>
      </c>
      <c r="F95" s="242">
        <v>0.240000460369726</v>
      </c>
      <c r="H95" s="24"/>
    </row>
    <row r="96" spans="1:8" ht="16.95" customHeight="1"/>
    <row r="97" spans="1:6" ht="16.95" customHeight="1">
      <c r="A97" s="18" t="s">
        <v>10</v>
      </c>
      <c r="D97" s="18" t="s">
        <v>11</v>
      </c>
    </row>
    <row r="98" spans="1:6" ht="16.95" customHeight="1">
      <c r="A98" s="19" t="s">
        <v>12</v>
      </c>
      <c r="D98" s="19" t="s">
        <v>13</v>
      </c>
    </row>
    <row r="99" spans="1:6" ht="16.95" customHeight="1">
      <c r="A99" s="19"/>
      <c r="D99" s="19"/>
    </row>
    <row r="100" spans="1:6" ht="16.95" customHeight="1">
      <c r="A100" s="19"/>
      <c r="D100" s="19"/>
    </row>
    <row r="101" spans="1:6" ht="16.95" customHeight="1">
      <c r="A101" s="19"/>
      <c r="D101" s="19"/>
    </row>
    <row r="102" spans="1:6" ht="16.95" customHeight="1">
      <c r="A102" s="19"/>
      <c r="D102" s="19"/>
    </row>
    <row r="103" spans="1:6" ht="16.95" customHeight="1"/>
    <row r="104" spans="1:6" ht="16.95" customHeight="1"/>
    <row r="105" spans="1:6" ht="16.95" customHeight="1">
      <c r="A105" s="28" t="str">
        <f>TONGQUAN!C19</f>
        <v>Ngân hàng TNHH MTV Standard Chartered (Việt Nam)</v>
      </c>
      <c r="B105" s="29"/>
      <c r="D105" s="28" t="str">
        <f>TONGQUAN!F19</f>
        <v>Công ty Cổ phần Quản lý Quỹ Đầu tư Dragon Capital Việt Nam</v>
      </c>
      <c r="E105" s="29"/>
      <c r="F105" s="29"/>
    </row>
    <row r="106" spans="1:6" ht="16.95" customHeight="1">
      <c r="A106" s="25" t="str">
        <f>TONGQUAN!C20</f>
        <v>Vũ Quang Phan</v>
      </c>
      <c r="D106" s="25" t="str">
        <f>TONGQUAN!F20</f>
        <v>Lê Hoàng Anh</v>
      </c>
    </row>
    <row r="107" spans="1:6" ht="16.95" customHeight="1">
      <c r="A107" s="15" t="s">
        <v>1701</v>
      </c>
      <c r="D107" s="15"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9"/>
  <sheetViews>
    <sheetView view="pageBreakPreview" topLeftCell="A102" zoomScale="85" zoomScaleNormal="100" zoomScaleSheetLayoutView="85" workbookViewId="0">
      <selection activeCell="G102" sqref="G102"/>
    </sheetView>
  </sheetViews>
  <sheetFormatPr defaultColWidth="8.6640625" defaultRowHeight="13.2"/>
  <cols>
    <col min="1" max="1" width="9" style="15" customWidth="1"/>
    <col min="2" max="2" width="39.88671875" style="15" customWidth="1"/>
    <col min="3" max="3" width="9.33203125" style="15" customWidth="1"/>
    <col min="4" max="4" width="28" style="15" customWidth="1"/>
    <col min="5" max="5" width="33.88671875" style="15" customWidth="1"/>
    <col min="6" max="6" width="32.109375" style="15" customWidth="1"/>
    <col min="7" max="7" width="28.5546875" style="15" customWidth="1"/>
    <col min="8" max="16384" width="8.6640625" style="186"/>
  </cols>
  <sheetData>
    <row r="1" spans="1:7" ht="44.25" customHeight="1">
      <c r="A1" s="264" t="s">
        <v>671</v>
      </c>
      <c r="B1" s="264"/>
      <c r="C1" s="264"/>
      <c r="D1" s="264"/>
      <c r="E1" s="264"/>
      <c r="F1" s="264"/>
      <c r="G1" s="264"/>
    </row>
    <row r="2" spans="1:7" ht="59.25" customHeight="1">
      <c r="A2" s="265" t="s">
        <v>672</v>
      </c>
      <c r="B2" s="265"/>
      <c r="C2" s="265"/>
      <c r="D2" s="265"/>
      <c r="E2" s="265"/>
      <c r="F2" s="265"/>
      <c r="G2" s="265"/>
    </row>
    <row r="3" spans="1:7" ht="15" customHeight="1">
      <c r="A3" s="266" t="s">
        <v>622</v>
      </c>
      <c r="B3" s="266"/>
      <c r="C3" s="266"/>
      <c r="D3" s="266"/>
      <c r="E3" s="266"/>
      <c r="F3" s="266"/>
      <c r="G3" s="266"/>
    </row>
    <row r="4" spans="1:7" ht="27.45" customHeight="1">
      <c r="A4" s="266"/>
      <c r="B4" s="266"/>
      <c r="C4" s="266"/>
      <c r="D4" s="266"/>
      <c r="E4" s="266"/>
      <c r="F4" s="266"/>
      <c r="G4" s="266"/>
    </row>
    <row r="5" spans="1:7" ht="16.95" customHeight="1">
      <c r="A5" s="267" t="str">
        <f>TONGQUAN!C1</f>
        <v>Tại ngày 31 tháng 12 năm 2023
/ As at 31 Dec 2023</v>
      </c>
      <c r="B5" s="267"/>
      <c r="C5" s="267"/>
      <c r="D5" s="267"/>
      <c r="E5" s="267"/>
      <c r="F5" s="267"/>
      <c r="G5" s="267"/>
    </row>
    <row r="6" spans="1:7" ht="16.95" customHeight="1"/>
    <row r="7" spans="1:7" ht="16.95" customHeight="1">
      <c r="A7" s="157" t="s">
        <v>2</v>
      </c>
      <c r="C7" s="277" t="str">
        <f>TONGQUAN!D5</f>
        <v>Công ty Cổ phần Quản lý Quỹ Đầu tư Dragon Capital Việt Nam</v>
      </c>
      <c r="D7" s="277"/>
      <c r="E7" s="277"/>
      <c r="F7" s="277"/>
      <c r="G7" s="277"/>
    </row>
    <row r="8" spans="1:7" ht="16.95" customHeight="1">
      <c r="A8" s="15" t="s">
        <v>15</v>
      </c>
      <c r="C8" s="276" t="str">
        <f>TONGQUAN!D6</f>
        <v>Dragon Capital Vietfund Management Joint Stock Company</v>
      </c>
      <c r="D8" s="276"/>
      <c r="E8" s="276"/>
      <c r="F8" s="276"/>
      <c r="G8" s="276"/>
    </row>
    <row r="9" spans="1:7" ht="16.95" customHeight="1">
      <c r="A9" s="157" t="s">
        <v>3</v>
      </c>
      <c r="C9" s="277" t="str">
        <f>TONGQUAN!D7</f>
        <v>Ngân hàng TNHH Một thành viên Standard Chartered (Việt Nam)</v>
      </c>
      <c r="D9" s="277"/>
      <c r="E9" s="277"/>
      <c r="F9" s="277"/>
      <c r="G9" s="277"/>
    </row>
    <row r="10" spans="1:7" ht="16.95" customHeight="1">
      <c r="A10" s="15" t="s">
        <v>4</v>
      </c>
      <c r="C10" s="276" t="str">
        <f>TONGQUAN!D8</f>
        <v>Standard Chartered Bank (Vietnam) Limited</v>
      </c>
      <c r="D10" s="276"/>
      <c r="E10" s="276"/>
      <c r="F10" s="276"/>
      <c r="G10" s="276"/>
    </row>
    <row r="11" spans="1:7" ht="16.95" customHeight="1">
      <c r="A11" s="157" t="s">
        <v>5</v>
      </c>
      <c r="C11" s="277" t="str">
        <f>TONGQUAN!D9</f>
        <v>Quỹ Đầu tư Chứng khoán Năng động DC</v>
      </c>
      <c r="D11" s="277"/>
      <c r="E11" s="277"/>
      <c r="F11" s="277"/>
      <c r="G11" s="277"/>
    </row>
    <row r="12" spans="1:7" ht="16.95" customHeight="1">
      <c r="A12" s="15" t="s">
        <v>6</v>
      </c>
      <c r="C12" s="276" t="str">
        <f>TONGQUAN!D10</f>
        <v>DC Dynamic Securities Fund(DCDS)</v>
      </c>
      <c r="D12" s="276"/>
      <c r="E12" s="276"/>
      <c r="F12" s="276"/>
      <c r="G12" s="276"/>
    </row>
    <row r="13" spans="1:7" ht="16.95" customHeight="1">
      <c r="A13" s="157" t="s">
        <v>7</v>
      </c>
      <c r="C13" s="277" t="str">
        <f>TONGQUAN!D11</f>
        <v>Ngày 08 tháng 03 năm 2024</v>
      </c>
      <c r="D13" s="277"/>
      <c r="E13" s="277"/>
      <c r="F13" s="277"/>
      <c r="G13" s="277"/>
    </row>
    <row r="14" spans="1:7" ht="16.95" customHeight="1">
      <c r="A14" s="15" t="s">
        <v>8</v>
      </c>
      <c r="C14" s="276" t="str">
        <f>TONGQUAN!D12</f>
        <v>08 Mar 2024</v>
      </c>
      <c r="D14" s="276"/>
      <c r="E14" s="276"/>
      <c r="F14" s="276"/>
      <c r="G14" s="276"/>
    </row>
    <row r="15" spans="1:7" ht="18" hidden="1" customHeight="1"/>
    <row r="16" spans="1:7" ht="16.95" customHeight="1">
      <c r="A16" s="126" t="s">
        <v>669</v>
      </c>
      <c r="B16" s="127" t="s">
        <v>670</v>
      </c>
    </row>
    <row r="17" spans="1:7" ht="16.95" customHeight="1">
      <c r="A17" s="20" t="s">
        <v>28</v>
      </c>
      <c r="B17" s="21" t="s">
        <v>624</v>
      </c>
    </row>
    <row r="18" spans="1:7" ht="75.45" customHeight="1">
      <c r="A18" s="31" t="s">
        <v>252</v>
      </c>
      <c r="B18" s="31" t="s">
        <v>110</v>
      </c>
      <c r="C18" s="31" t="s">
        <v>19</v>
      </c>
      <c r="D18" s="31" t="s">
        <v>111</v>
      </c>
      <c r="E18" s="31" t="s">
        <v>112</v>
      </c>
      <c r="F18" s="31" t="s">
        <v>113</v>
      </c>
      <c r="G18" s="31" t="s">
        <v>114</v>
      </c>
    </row>
    <row r="19" spans="1:7" ht="39" customHeight="1">
      <c r="A19" s="245" t="s">
        <v>721</v>
      </c>
      <c r="B19" s="244" t="s">
        <v>722</v>
      </c>
      <c r="C19" s="245"/>
      <c r="D19" s="247"/>
      <c r="E19" s="247"/>
      <c r="F19" s="247"/>
      <c r="G19" s="256"/>
    </row>
    <row r="20" spans="1:7" ht="39" customHeight="1">
      <c r="A20" s="240"/>
      <c r="B20" s="239"/>
      <c r="C20" s="241"/>
      <c r="D20" s="243"/>
      <c r="E20" s="249"/>
      <c r="F20" s="243"/>
      <c r="G20" s="253"/>
    </row>
    <row r="21" spans="1:7" ht="39" customHeight="1">
      <c r="A21" s="245"/>
      <c r="B21" s="244" t="s">
        <v>723</v>
      </c>
      <c r="C21" s="245" t="s">
        <v>724</v>
      </c>
      <c r="D21" s="247"/>
      <c r="E21" s="247"/>
      <c r="F21" s="247"/>
      <c r="G21" s="256"/>
    </row>
    <row r="22" spans="1:7" ht="39" customHeight="1">
      <c r="A22" s="245" t="s">
        <v>725</v>
      </c>
      <c r="B22" s="244" t="s">
        <v>726</v>
      </c>
      <c r="C22" s="245" t="s">
        <v>727</v>
      </c>
      <c r="D22" s="247"/>
      <c r="E22" s="247"/>
      <c r="F22" s="247"/>
      <c r="G22" s="256"/>
    </row>
    <row r="23" spans="1:7" ht="39" customHeight="1">
      <c r="A23" s="240"/>
      <c r="B23" s="239"/>
      <c r="C23" s="241"/>
      <c r="D23" s="243"/>
      <c r="E23" s="249"/>
      <c r="F23" s="243"/>
      <c r="G23" s="253"/>
    </row>
    <row r="24" spans="1:7" ht="33.9" customHeight="1">
      <c r="A24" s="240" t="s">
        <v>728</v>
      </c>
      <c r="B24" s="239" t="s">
        <v>729</v>
      </c>
      <c r="C24" s="241" t="s">
        <v>730</v>
      </c>
      <c r="D24" s="243">
        <v>115738</v>
      </c>
      <c r="E24" s="249">
        <v>43400</v>
      </c>
      <c r="F24" s="243">
        <v>5023029200</v>
      </c>
      <c r="G24" s="253">
        <v>3.2000000000000002E-3</v>
      </c>
    </row>
    <row r="25" spans="1:7" ht="33.9" customHeight="1">
      <c r="A25" s="240" t="s">
        <v>731</v>
      </c>
      <c r="B25" s="239" t="s">
        <v>732</v>
      </c>
      <c r="C25" s="241" t="s">
        <v>733</v>
      </c>
      <c r="D25" s="243">
        <v>48800</v>
      </c>
      <c r="E25" s="249">
        <v>47500</v>
      </c>
      <c r="F25" s="243">
        <v>2318000000</v>
      </c>
      <c r="G25" s="253">
        <v>1.5E-3</v>
      </c>
    </row>
    <row r="26" spans="1:7" ht="33.9" customHeight="1">
      <c r="A26" s="240" t="s">
        <v>734</v>
      </c>
      <c r="B26" s="239" t="s">
        <v>735</v>
      </c>
      <c r="C26" s="241" t="s">
        <v>736</v>
      </c>
      <c r="D26" s="243">
        <v>536800</v>
      </c>
      <c r="E26" s="249">
        <v>68800</v>
      </c>
      <c r="F26" s="243">
        <v>36931840000</v>
      </c>
      <c r="G26" s="253">
        <v>2.3699999999999999E-2</v>
      </c>
    </row>
    <row r="27" spans="1:7" ht="33.9" customHeight="1">
      <c r="A27" s="240" t="s">
        <v>737</v>
      </c>
      <c r="B27" s="239" t="s">
        <v>738</v>
      </c>
      <c r="C27" s="241" t="s">
        <v>739</v>
      </c>
      <c r="D27" s="243">
        <v>526026</v>
      </c>
      <c r="E27" s="249">
        <v>27100</v>
      </c>
      <c r="F27" s="243">
        <v>14255304600</v>
      </c>
      <c r="G27" s="253">
        <v>9.1000000000000004E-3</v>
      </c>
    </row>
    <row r="28" spans="1:7" ht="33.9" customHeight="1">
      <c r="A28" s="240" t="s">
        <v>740</v>
      </c>
      <c r="B28" s="239" t="s">
        <v>741</v>
      </c>
      <c r="C28" s="241" t="s">
        <v>742</v>
      </c>
      <c r="D28" s="243">
        <v>798000</v>
      </c>
      <c r="E28" s="249">
        <v>32400</v>
      </c>
      <c r="F28" s="243">
        <v>25855200000</v>
      </c>
      <c r="G28" s="253">
        <v>1.66E-2</v>
      </c>
    </row>
    <row r="29" spans="1:7" ht="33.9" customHeight="1">
      <c r="A29" s="240" t="s">
        <v>743</v>
      </c>
      <c r="B29" s="239" t="s">
        <v>744</v>
      </c>
      <c r="C29" s="241" t="s">
        <v>745</v>
      </c>
      <c r="D29" s="243">
        <v>716800</v>
      </c>
      <c r="E29" s="249">
        <v>94400</v>
      </c>
      <c r="F29" s="243">
        <v>67665920000</v>
      </c>
      <c r="G29" s="253">
        <v>4.3400000000000001E-2</v>
      </c>
    </row>
    <row r="30" spans="1:7" ht="33.9" customHeight="1">
      <c r="A30" s="240" t="s">
        <v>746</v>
      </c>
      <c r="B30" s="239" t="s">
        <v>747</v>
      </c>
      <c r="C30" s="241" t="s">
        <v>748</v>
      </c>
      <c r="D30" s="243">
        <v>726800</v>
      </c>
      <c r="E30" s="249">
        <v>52300</v>
      </c>
      <c r="F30" s="243">
        <v>38011640000</v>
      </c>
      <c r="G30" s="253">
        <v>2.4400000000000002E-2</v>
      </c>
    </row>
    <row r="31" spans="1:7" ht="33.9" customHeight="1">
      <c r="A31" s="240" t="s">
        <v>749</v>
      </c>
      <c r="B31" s="239" t="s">
        <v>750</v>
      </c>
      <c r="C31" s="241" t="s">
        <v>751</v>
      </c>
      <c r="D31" s="243">
        <v>117000</v>
      </c>
      <c r="E31" s="249">
        <v>38000</v>
      </c>
      <c r="F31" s="243">
        <v>4446000000</v>
      </c>
      <c r="G31" s="253">
        <v>2.8999999999999998E-3</v>
      </c>
    </row>
    <row r="32" spans="1:7" ht="33.9" customHeight="1">
      <c r="A32" s="240" t="s">
        <v>752</v>
      </c>
      <c r="B32" s="239" t="s">
        <v>753</v>
      </c>
      <c r="C32" s="241" t="s">
        <v>754</v>
      </c>
      <c r="D32" s="243">
        <v>656800</v>
      </c>
      <c r="E32" s="249">
        <v>26750</v>
      </c>
      <c r="F32" s="243">
        <v>17569400000</v>
      </c>
      <c r="G32" s="253">
        <v>1.1299999999999999E-2</v>
      </c>
    </row>
    <row r="33" spans="1:7" ht="33.9" customHeight="1">
      <c r="A33" s="240" t="s">
        <v>755</v>
      </c>
      <c r="B33" s="239" t="s">
        <v>756</v>
      </c>
      <c r="C33" s="241" t="s">
        <v>757</v>
      </c>
      <c r="D33" s="243">
        <v>576800</v>
      </c>
      <c r="E33" s="249">
        <v>39650</v>
      </c>
      <c r="F33" s="243">
        <v>22870120000</v>
      </c>
      <c r="G33" s="253">
        <v>1.47E-2</v>
      </c>
    </row>
    <row r="34" spans="1:7" ht="33.9" customHeight="1">
      <c r="A34" s="240" t="s">
        <v>758</v>
      </c>
      <c r="B34" s="239" t="s">
        <v>759</v>
      </c>
      <c r="C34" s="241" t="s">
        <v>760</v>
      </c>
      <c r="D34" s="243">
        <v>281600</v>
      </c>
      <c r="E34" s="249">
        <v>26500</v>
      </c>
      <c r="F34" s="243">
        <v>7462400000</v>
      </c>
      <c r="G34" s="253">
        <v>4.7999999999999996E-3</v>
      </c>
    </row>
    <row r="35" spans="1:7" ht="33.9" customHeight="1">
      <c r="A35" s="240" t="s">
        <v>761</v>
      </c>
      <c r="B35" s="239" t="s">
        <v>762</v>
      </c>
      <c r="C35" s="241" t="s">
        <v>763</v>
      </c>
      <c r="D35" s="243">
        <v>1511000</v>
      </c>
      <c r="E35" s="249">
        <v>19350</v>
      </c>
      <c r="F35" s="243">
        <v>29237850000</v>
      </c>
      <c r="G35" s="253">
        <v>1.8700000000000001E-2</v>
      </c>
    </row>
    <row r="36" spans="1:7" ht="33.9" customHeight="1">
      <c r="A36" s="240" t="s">
        <v>764</v>
      </c>
      <c r="B36" s="239" t="s">
        <v>765</v>
      </c>
      <c r="C36" s="241" t="s">
        <v>766</v>
      </c>
      <c r="D36" s="243">
        <v>669806</v>
      </c>
      <c r="E36" s="249">
        <v>7500</v>
      </c>
      <c r="F36" s="243">
        <v>5023545000</v>
      </c>
      <c r="G36" s="253">
        <v>3.2000000000000002E-3</v>
      </c>
    </row>
    <row r="37" spans="1:7" ht="33.9" customHeight="1">
      <c r="A37" s="240" t="s">
        <v>767</v>
      </c>
      <c r="B37" s="239" t="s">
        <v>768</v>
      </c>
      <c r="C37" s="241" t="s">
        <v>769</v>
      </c>
      <c r="D37" s="243">
        <v>2048045</v>
      </c>
      <c r="E37" s="249">
        <v>96100</v>
      </c>
      <c r="F37" s="243">
        <v>196817124500</v>
      </c>
      <c r="G37" s="253">
        <v>0.12620000000000001</v>
      </c>
    </row>
    <row r="38" spans="1:7" ht="33.9" customHeight="1">
      <c r="A38" s="240" t="s">
        <v>770</v>
      </c>
      <c r="B38" s="239" t="s">
        <v>771</v>
      </c>
      <c r="C38" s="241" t="s">
        <v>772</v>
      </c>
      <c r="D38" s="243">
        <v>256800</v>
      </c>
      <c r="E38" s="249">
        <v>107000</v>
      </c>
      <c r="F38" s="243">
        <v>27477600000</v>
      </c>
      <c r="G38" s="253">
        <v>1.7600000000000001E-2</v>
      </c>
    </row>
    <row r="39" spans="1:7" ht="33.9" customHeight="1">
      <c r="A39" s="240" t="s">
        <v>773</v>
      </c>
      <c r="B39" s="239" t="s">
        <v>774</v>
      </c>
      <c r="C39" s="241" t="s">
        <v>775</v>
      </c>
      <c r="D39" s="243">
        <v>568000</v>
      </c>
      <c r="E39" s="249">
        <v>23600</v>
      </c>
      <c r="F39" s="243">
        <v>13404800000</v>
      </c>
      <c r="G39" s="253">
        <v>8.6E-3</v>
      </c>
    </row>
    <row r="40" spans="1:7" ht="33.9" customHeight="1">
      <c r="A40" s="240" t="s">
        <v>776</v>
      </c>
      <c r="B40" s="239" t="s">
        <v>777</v>
      </c>
      <c r="C40" s="241" t="s">
        <v>778</v>
      </c>
      <c r="D40" s="243">
        <v>751200</v>
      </c>
      <c r="E40" s="249">
        <v>70500</v>
      </c>
      <c r="F40" s="243">
        <v>52959600000</v>
      </c>
      <c r="G40" s="253">
        <v>3.4000000000000002E-2</v>
      </c>
    </row>
    <row r="41" spans="1:7" ht="33.9" customHeight="1">
      <c r="A41" s="240" t="s">
        <v>779</v>
      </c>
      <c r="B41" s="239" t="s">
        <v>780</v>
      </c>
      <c r="C41" s="241" t="s">
        <v>781</v>
      </c>
      <c r="D41" s="243">
        <v>168000</v>
      </c>
      <c r="E41" s="249">
        <v>37600</v>
      </c>
      <c r="F41" s="243">
        <v>6316800000</v>
      </c>
      <c r="G41" s="253">
        <v>4.1000000000000003E-3</v>
      </c>
    </row>
    <row r="42" spans="1:7" ht="33.9" customHeight="1">
      <c r="A42" s="240" t="s">
        <v>782</v>
      </c>
      <c r="B42" s="239" t="s">
        <v>783</v>
      </c>
      <c r="C42" s="241" t="s">
        <v>784</v>
      </c>
      <c r="D42" s="243">
        <v>466800</v>
      </c>
      <c r="E42" s="249">
        <v>27600</v>
      </c>
      <c r="F42" s="243">
        <v>12883680000</v>
      </c>
      <c r="G42" s="253">
        <v>8.3000000000000001E-3</v>
      </c>
    </row>
    <row r="43" spans="1:7" ht="33.9" customHeight="1">
      <c r="A43" s="240" t="s">
        <v>785</v>
      </c>
      <c r="B43" s="239" t="s">
        <v>786</v>
      </c>
      <c r="C43" s="241" t="s">
        <v>787</v>
      </c>
      <c r="D43" s="243">
        <v>1468000</v>
      </c>
      <c r="E43" s="249">
        <v>27950</v>
      </c>
      <c r="F43" s="243">
        <v>41030600000</v>
      </c>
      <c r="G43" s="253">
        <v>2.63E-2</v>
      </c>
    </row>
    <row r="44" spans="1:7" ht="33.9" customHeight="1">
      <c r="A44" s="240" t="s">
        <v>788</v>
      </c>
      <c r="B44" s="239" t="s">
        <v>789</v>
      </c>
      <c r="C44" s="241" t="s">
        <v>790</v>
      </c>
      <c r="D44" s="243">
        <v>1768000</v>
      </c>
      <c r="E44" s="249">
        <v>22800</v>
      </c>
      <c r="F44" s="243">
        <v>40310400000</v>
      </c>
      <c r="G44" s="253">
        <v>2.58E-2</v>
      </c>
    </row>
    <row r="45" spans="1:7" ht="33.9" customHeight="1">
      <c r="A45" s="240" t="s">
        <v>791</v>
      </c>
      <c r="B45" s="239" t="s">
        <v>792</v>
      </c>
      <c r="C45" s="241" t="s">
        <v>793</v>
      </c>
      <c r="D45" s="243">
        <v>609900</v>
      </c>
      <c r="E45" s="249">
        <v>52100</v>
      </c>
      <c r="F45" s="243">
        <v>31775790000</v>
      </c>
      <c r="G45" s="253">
        <v>2.0400000000000001E-2</v>
      </c>
    </row>
    <row r="46" spans="1:7" ht="33.9" customHeight="1">
      <c r="A46" s="240" t="s">
        <v>794</v>
      </c>
      <c r="B46" s="239" t="s">
        <v>795</v>
      </c>
      <c r="C46" s="241" t="s">
        <v>796</v>
      </c>
      <c r="D46" s="243">
        <v>508780</v>
      </c>
      <c r="E46" s="249">
        <v>31400</v>
      </c>
      <c r="F46" s="243">
        <v>15975692000</v>
      </c>
      <c r="G46" s="253">
        <v>1.0200000000000001E-2</v>
      </c>
    </row>
    <row r="47" spans="1:7" ht="33.9" customHeight="1">
      <c r="A47" s="240" t="s">
        <v>797</v>
      </c>
      <c r="B47" s="239" t="s">
        <v>798</v>
      </c>
      <c r="C47" s="241" t="s">
        <v>799</v>
      </c>
      <c r="D47" s="243">
        <v>318700</v>
      </c>
      <c r="E47" s="249">
        <v>30300</v>
      </c>
      <c r="F47" s="243">
        <v>9656610000</v>
      </c>
      <c r="G47" s="253">
        <v>6.1999999999999998E-3</v>
      </c>
    </row>
    <row r="48" spans="1:7" ht="33.9" customHeight="1">
      <c r="A48" s="240" t="s">
        <v>800</v>
      </c>
      <c r="B48" s="239" t="s">
        <v>801</v>
      </c>
      <c r="C48" s="241" t="s">
        <v>802</v>
      </c>
      <c r="D48" s="243">
        <v>102075</v>
      </c>
      <c r="E48" s="249">
        <v>26200</v>
      </c>
      <c r="F48" s="243">
        <v>2674365000</v>
      </c>
      <c r="G48" s="253">
        <v>1.6999999999999999E-3</v>
      </c>
    </row>
    <row r="49" spans="1:7" ht="33.9" customHeight="1">
      <c r="A49" s="240" t="s">
        <v>803</v>
      </c>
      <c r="B49" s="239" t="s">
        <v>804</v>
      </c>
      <c r="C49" s="241" t="s">
        <v>805</v>
      </c>
      <c r="D49" s="243">
        <v>1348810</v>
      </c>
      <c r="E49" s="249">
        <v>18650</v>
      </c>
      <c r="F49" s="243">
        <v>25155306500</v>
      </c>
      <c r="G49" s="253">
        <v>1.61E-2</v>
      </c>
    </row>
    <row r="50" spans="1:7" ht="33.9" customHeight="1">
      <c r="A50" s="240" t="s">
        <v>806</v>
      </c>
      <c r="B50" s="239" t="s">
        <v>807</v>
      </c>
      <c r="C50" s="241" t="s">
        <v>808</v>
      </c>
      <c r="D50" s="243">
        <v>102500</v>
      </c>
      <c r="E50" s="249">
        <v>67000</v>
      </c>
      <c r="F50" s="243">
        <v>6867500000</v>
      </c>
      <c r="G50" s="253">
        <v>4.4000000000000003E-3</v>
      </c>
    </row>
    <row r="51" spans="1:7" ht="33.9" customHeight="1">
      <c r="A51" s="240" t="s">
        <v>809</v>
      </c>
      <c r="B51" s="239" t="s">
        <v>810</v>
      </c>
      <c r="C51" s="241" t="s">
        <v>811</v>
      </c>
      <c r="D51" s="243">
        <v>2866800</v>
      </c>
      <c r="E51" s="249">
        <v>42800</v>
      </c>
      <c r="F51" s="243">
        <v>122699040000</v>
      </c>
      <c r="G51" s="253">
        <v>7.8700000000000006E-2</v>
      </c>
    </row>
    <row r="52" spans="1:7" ht="33.9" customHeight="1">
      <c r="A52" s="240" t="s">
        <v>812</v>
      </c>
      <c r="B52" s="239" t="s">
        <v>813</v>
      </c>
      <c r="C52" s="241" t="s">
        <v>814</v>
      </c>
      <c r="D52" s="243">
        <v>1268000</v>
      </c>
      <c r="E52" s="249">
        <v>24650</v>
      </c>
      <c r="F52" s="243">
        <v>31256200000</v>
      </c>
      <c r="G52" s="253">
        <v>0.02</v>
      </c>
    </row>
    <row r="53" spans="1:7" ht="33.9" customHeight="1">
      <c r="A53" s="240" t="s">
        <v>815</v>
      </c>
      <c r="B53" s="239" t="s">
        <v>816</v>
      </c>
      <c r="C53" s="241" t="s">
        <v>817</v>
      </c>
      <c r="D53" s="243">
        <v>646800</v>
      </c>
      <c r="E53" s="249">
        <v>36650</v>
      </c>
      <c r="F53" s="243">
        <v>23705220000</v>
      </c>
      <c r="G53" s="253">
        <v>1.52E-2</v>
      </c>
    </row>
    <row r="54" spans="1:7" ht="33.9" customHeight="1">
      <c r="A54" s="240" t="s">
        <v>818</v>
      </c>
      <c r="B54" s="239" t="s">
        <v>819</v>
      </c>
      <c r="C54" s="241" t="s">
        <v>820</v>
      </c>
      <c r="D54" s="243">
        <v>615800</v>
      </c>
      <c r="E54" s="249">
        <v>24500</v>
      </c>
      <c r="F54" s="243">
        <v>15087100000</v>
      </c>
      <c r="G54" s="253">
        <v>9.7000000000000003E-3</v>
      </c>
    </row>
    <row r="55" spans="1:7" ht="33.9" customHeight="1">
      <c r="A55" s="240" t="s">
        <v>821</v>
      </c>
      <c r="B55" s="239" t="s">
        <v>822</v>
      </c>
      <c r="C55" s="241" t="s">
        <v>823</v>
      </c>
      <c r="D55" s="243">
        <v>178000</v>
      </c>
      <c r="E55" s="249">
        <v>27300</v>
      </c>
      <c r="F55" s="243">
        <v>4859400000</v>
      </c>
      <c r="G55" s="253">
        <v>3.0999999999999999E-3</v>
      </c>
    </row>
    <row r="56" spans="1:7" ht="33.9" customHeight="1">
      <c r="A56" s="240" t="s">
        <v>824</v>
      </c>
      <c r="B56" s="239" t="s">
        <v>825</v>
      </c>
      <c r="C56" s="241" t="s">
        <v>826</v>
      </c>
      <c r="D56" s="243">
        <v>1181890</v>
      </c>
      <c r="E56" s="249">
        <v>28800</v>
      </c>
      <c r="F56" s="243">
        <v>34038432000</v>
      </c>
      <c r="G56" s="253">
        <v>2.18E-2</v>
      </c>
    </row>
    <row r="57" spans="1:7" ht="33.9" customHeight="1">
      <c r="A57" s="240" t="s">
        <v>827</v>
      </c>
      <c r="B57" s="239" t="s">
        <v>828</v>
      </c>
      <c r="C57" s="241" t="s">
        <v>829</v>
      </c>
      <c r="D57" s="243">
        <v>966800</v>
      </c>
      <c r="E57" s="249">
        <v>27850</v>
      </c>
      <c r="F57" s="243">
        <v>26925380000</v>
      </c>
      <c r="G57" s="253">
        <v>1.7299999999999999E-2</v>
      </c>
    </row>
    <row r="58" spans="1:7" ht="33.9" customHeight="1">
      <c r="A58" s="240" t="s">
        <v>830</v>
      </c>
      <c r="B58" s="239" t="s">
        <v>831</v>
      </c>
      <c r="C58" s="241" t="s">
        <v>832</v>
      </c>
      <c r="D58" s="243">
        <v>556500</v>
      </c>
      <c r="E58" s="249">
        <v>27600</v>
      </c>
      <c r="F58" s="243">
        <v>15359400000</v>
      </c>
      <c r="G58" s="253">
        <v>9.7999999999999997E-3</v>
      </c>
    </row>
    <row r="59" spans="1:7" ht="33.9" customHeight="1">
      <c r="A59" s="240" t="s">
        <v>833</v>
      </c>
      <c r="B59" s="239" t="s">
        <v>834</v>
      </c>
      <c r="C59" s="241" t="s">
        <v>835</v>
      </c>
      <c r="D59" s="243">
        <v>474300</v>
      </c>
      <c r="E59" s="249">
        <v>86000</v>
      </c>
      <c r="F59" s="243">
        <v>40789800000</v>
      </c>
      <c r="G59" s="253">
        <v>2.6200000000000001E-2</v>
      </c>
    </row>
    <row r="60" spans="1:7" ht="33.9" customHeight="1">
      <c r="A60" s="240" t="s">
        <v>836</v>
      </c>
      <c r="B60" s="239" t="s">
        <v>837</v>
      </c>
      <c r="C60" s="241" t="s">
        <v>838</v>
      </c>
      <c r="D60" s="243">
        <v>294500</v>
      </c>
      <c r="E60" s="249">
        <v>59000</v>
      </c>
      <c r="F60" s="243">
        <v>17375500000</v>
      </c>
      <c r="G60" s="253">
        <v>1.11E-2</v>
      </c>
    </row>
    <row r="61" spans="1:7" ht="33.9" customHeight="1">
      <c r="A61" s="240" t="s">
        <v>839</v>
      </c>
      <c r="B61" s="239" t="s">
        <v>840</v>
      </c>
      <c r="C61" s="241" t="s">
        <v>841</v>
      </c>
      <c r="D61" s="243">
        <v>1528600</v>
      </c>
      <c r="E61" s="249">
        <v>28300</v>
      </c>
      <c r="F61" s="243">
        <v>43259380000</v>
      </c>
      <c r="G61" s="253">
        <v>2.7699999999999999E-2</v>
      </c>
    </row>
    <row r="62" spans="1:7" ht="33.9" customHeight="1">
      <c r="A62" s="240" t="s">
        <v>842</v>
      </c>
      <c r="B62" s="239" t="s">
        <v>843</v>
      </c>
      <c r="C62" s="241" t="s">
        <v>844</v>
      </c>
      <c r="D62" s="243">
        <v>881600</v>
      </c>
      <c r="E62" s="249">
        <v>38000</v>
      </c>
      <c r="F62" s="243">
        <v>33500800000</v>
      </c>
      <c r="G62" s="253">
        <v>2.1499999999999998E-2</v>
      </c>
    </row>
    <row r="63" spans="1:7" ht="33.9" customHeight="1">
      <c r="A63" s="240" t="s">
        <v>845</v>
      </c>
      <c r="B63" s="239" t="s">
        <v>846</v>
      </c>
      <c r="C63" s="241" t="s">
        <v>847</v>
      </c>
      <c r="D63" s="243">
        <v>563000</v>
      </c>
      <c r="E63" s="249">
        <v>32800</v>
      </c>
      <c r="F63" s="243">
        <v>18466400000</v>
      </c>
      <c r="G63" s="253">
        <v>1.18E-2</v>
      </c>
    </row>
    <row r="64" spans="1:7" ht="33.9" customHeight="1">
      <c r="A64" s="240" t="s">
        <v>848</v>
      </c>
      <c r="B64" s="239" t="s">
        <v>849</v>
      </c>
      <c r="C64" s="241" t="s">
        <v>850</v>
      </c>
      <c r="D64" s="243">
        <v>1566800</v>
      </c>
      <c r="E64" s="249">
        <v>27950</v>
      </c>
      <c r="F64" s="243">
        <v>43792060000</v>
      </c>
      <c r="G64" s="253">
        <v>2.81E-2</v>
      </c>
    </row>
    <row r="65" spans="1:7" ht="33.9" customHeight="1">
      <c r="A65" s="240" t="s">
        <v>851</v>
      </c>
      <c r="B65" s="239" t="s">
        <v>852</v>
      </c>
      <c r="C65" s="241" t="s">
        <v>853</v>
      </c>
      <c r="D65" s="243">
        <v>468680</v>
      </c>
      <c r="E65" s="249">
        <v>44600</v>
      </c>
      <c r="F65" s="243">
        <v>20903128000</v>
      </c>
      <c r="G65" s="253">
        <v>1.34E-2</v>
      </c>
    </row>
    <row r="66" spans="1:7" ht="33.9" customHeight="1">
      <c r="A66" s="240" t="s">
        <v>854</v>
      </c>
      <c r="B66" s="239" t="s">
        <v>855</v>
      </c>
      <c r="C66" s="241" t="s">
        <v>856</v>
      </c>
      <c r="D66" s="243">
        <v>317300</v>
      </c>
      <c r="E66" s="249">
        <v>31800</v>
      </c>
      <c r="F66" s="243">
        <v>10090140000</v>
      </c>
      <c r="G66" s="253">
        <v>6.4999999999999997E-3</v>
      </c>
    </row>
    <row r="67" spans="1:7" ht="33.9" customHeight="1">
      <c r="A67" s="240" t="s">
        <v>857</v>
      </c>
      <c r="B67" s="239" t="s">
        <v>858</v>
      </c>
      <c r="C67" s="241" t="s">
        <v>859</v>
      </c>
      <c r="D67" s="243">
        <v>1668000</v>
      </c>
      <c r="E67" s="249">
        <v>13200</v>
      </c>
      <c r="F67" s="243">
        <v>22017600000</v>
      </c>
      <c r="G67" s="253">
        <v>1.41E-2</v>
      </c>
    </row>
    <row r="68" spans="1:7" ht="33.9" customHeight="1">
      <c r="A68" s="240" t="s">
        <v>860</v>
      </c>
      <c r="B68" s="239" t="s">
        <v>861</v>
      </c>
      <c r="C68" s="241" t="s">
        <v>862</v>
      </c>
      <c r="D68" s="243">
        <v>206700</v>
      </c>
      <c r="E68" s="249">
        <v>37800</v>
      </c>
      <c r="F68" s="243">
        <v>7813260000</v>
      </c>
      <c r="G68" s="253">
        <v>5.0000000000000001E-3</v>
      </c>
    </row>
    <row r="69" spans="1:7" ht="33.9" customHeight="1">
      <c r="A69" s="240" t="s">
        <v>863</v>
      </c>
      <c r="B69" s="239" t="s">
        <v>864</v>
      </c>
      <c r="C69" s="241" t="s">
        <v>865</v>
      </c>
      <c r="D69" s="243">
        <v>868000</v>
      </c>
      <c r="E69" s="249">
        <v>24700</v>
      </c>
      <c r="F69" s="243">
        <v>21439600000</v>
      </c>
      <c r="G69" s="253">
        <v>1.37E-2</v>
      </c>
    </row>
    <row r="70" spans="1:7" ht="33.9" customHeight="1">
      <c r="A70" s="240" t="s">
        <v>866</v>
      </c>
      <c r="B70" s="239" t="s">
        <v>867</v>
      </c>
      <c r="C70" s="241" t="s">
        <v>868</v>
      </c>
      <c r="D70" s="243">
        <v>668000</v>
      </c>
      <c r="E70" s="249">
        <v>42750</v>
      </c>
      <c r="F70" s="243">
        <v>28557000000</v>
      </c>
      <c r="G70" s="253">
        <v>1.83E-2</v>
      </c>
    </row>
    <row r="71" spans="1:7" ht="33.9" customHeight="1">
      <c r="A71" s="240" t="s">
        <v>869</v>
      </c>
      <c r="B71" s="239" t="s">
        <v>870</v>
      </c>
      <c r="C71" s="241" t="s">
        <v>871</v>
      </c>
      <c r="D71" s="243">
        <v>118000</v>
      </c>
      <c r="E71" s="249">
        <v>17100</v>
      </c>
      <c r="F71" s="243">
        <v>2017800000</v>
      </c>
      <c r="G71" s="253">
        <v>1.2999999999999999E-3</v>
      </c>
    </row>
    <row r="72" spans="1:7" ht="33.9" customHeight="1">
      <c r="A72" s="240" t="s">
        <v>872</v>
      </c>
      <c r="B72" s="239" t="s">
        <v>873</v>
      </c>
      <c r="C72" s="241" t="s">
        <v>874</v>
      </c>
      <c r="D72" s="243">
        <v>496800</v>
      </c>
      <c r="E72" s="249">
        <v>34400</v>
      </c>
      <c r="F72" s="243">
        <v>17089920000</v>
      </c>
      <c r="G72" s="253">
        <v>1.0999999999999999E-2</v>
      </c>
    </row>
    <row r="73" spans="1:7" ht="33.9" customHeight="1">
      <c r="A73" s="240" t="s">
        <v>875</v>
      </c>
      <c r="B73" s="239" t="s">
        <v>876</v>
      </c>
      <c r="C73" s="241" t="s">
        <v>877</v>
      </c>
      <c r="D73" s="243">
        <v>153800</v>
      </c>
      <c r="E73" s="249">
        <v>54900</v>
      </c>
      <c r="F73" s="243">
        <v>8443620000</v>
      </c>
      <c r="G73" s="253">
        <v>5.4000000000000003E-3</v>
      </c>
    </row>
    <row r="74" spans="1:7" ht="33.9" customHeight="1">
      <c r="A74" s="240" t="s">
        <v>878</v>
      </c>
      <c r="B74" s="239" t="s">
        <v>879</v>
      </c>
      <c r="C74" s="241" t="s">
        <v>880</v>
      </c>
      <c r="D74" s="243">
        <v>100000</v>
      </c>
      <c r="E74" s="249">
        <v>23100</v>
      </c>
      <c r="F74" s="243">
        <v>2310000000</v>
      </c>
      <c r="G74" s="253">
        <v>1.5E-3</v>
      </c>
    </row>
    <row r="75" spans="1:7" ht="33.9" customHeight="1">
      <c r="A75" s="240" t="s">
        <v>881</v>
      </c>
      <c r="B75" s="239" t="s">
        <v>882</v>
      </c>
      <c r="C75" s="241" t="s">
        <v>883</v>
      </c>
      <c r="D75" s="243">
        <v>169500</v>
      </c>
      <c r="E75" s="249">
        <v>43200</v>
      </c>
      <c r="F75" s="243">
        <v>7322400000</v>
      </c>
      <c r="G75" s="253">
        <v>4.7000000000000002E-3</v>
      </c>
    </row>
    <row r="76" spans="1:7" ht="33.9" customHeight="1">
      <c r="A76" s="240" t="s">
        <v>884</v>
      </c>
      <c r="B76" s="239" t="s">
        <v>885</v>
      </c>
      <c r="C76" s="241" t="s">
        <v>886</v>
      </c>
      <c r="D76" s="243">
        <v>868000</v>
      </c>
      <c r="E76" s="249">
        <v>22250</v>
      </c>
      <c r="F76" s="243">
        <v>19313000000</v>
      </c>
      <c r="G76" s="253">
        <v>1.24E-2</v>
      </c>
    </row>
    <row r="77" spans="1:7" ht="33.9" customHeight="1">
      <c r="A77" s="240" t="s">
        <v>887</v>
      </c>
      <c r="B77" s="239" t="s">
        <v>888</v>
      </c>
      <c r="C77" s="241" t="s">
        <v>889</v>
      </c>
      <c r="D77" s="243">
        <v>894000</v>
      </c>
      <c r="E77" s="249">
        <v>23300</v>
      </c>
      <c r="F77" s="243">
        <v>20830200000</v>
      </c>
      <c r="G77" s="253">
        <v>1.34E-2</v>
      </c>
    </row>
    <row r="78" spans="1:7" ht="33.9" customHeight="1">
      <c r="A78" s="240" t="s">
        <v>890</v>
      </c>
      <c r="B78" s="239" t="s">
        <v>891</v>
      </c>
      <c r="C78" s="241" t="s">
        <v>892</v>
      </c>
      <c r="D78" s="243">
        <v>572568</v>
      </c>
      <c r="E78" s="249">
        <v>56900</v>
      </c>
      <c r="F78" s="243">
        <v>32579119200</v>
      </c>
      <c r="G78" s="253">
        <v>2.0899999999999998E-2</v>
      </c>
    </row>
    <row r="79" spans="1:7" ht="39" customHeight="1">
      <c r="A79" s="245"/>
      <c r="B79" s="244" t="s">
        <v>893</v>
      </c>
      <c r="C79" s="245" t="s">
        <v>894</v>
      </c>
      <c r="D79" s="247"/>
      <c r="E79" s="247"/>
      <c r="F79" s="247">
        <v>1451817016000</v>
      </c>
      <c r="G79" s="256">
        <v>0.93100000000000005</v>
      </c>
    </row>
    <row r="80" spans="1:7" ht="39" customHeight="1">
      <c r="A80" s="245" t="s">
        <v>895</v>
      </c>
      <c r="B80" s="244" t="s">
        <v>896</v>
      </c>
      <c r="C80" s="245" t="s">
        <v>897</v>
      </c>
      <c r="D80" s="247"/>
      <c r="E80" s="247"/>
      <c r="F80" s="247"/>
      <c r="G80" s="256"/>
    </row>
    <row r="81" spans="1:7" ht="39" customHeight="1">
      <c r="A81" s="240"/>
      <c r="B81" s="239"/>
      <c r="C81" s="241"/>
      <c r="D81" s="243"/>
      <c r="E81" s="249"/>
      <c r="F81" s="243"/>
      <c r="G81" s="253"/>
    </row>
    <row r="82" spans="1:7" ht="39" customHeight="1">
      <c r="A82" s="245"/>
      <c r="B82" s="244" t="s">
        <v>898</v>
      </c>
      <c r="C82" s="245" t="s">
        <v>899</v>
      </c>
      <c r="D82" s="247"/>
      <c r="E82" s="247"/>
      <c r="F82" s="247">
        <v>0</v>
      </c>
      <c r="G82" s="256">
        <v>0</v>
      </c>
    </row>
    <row r="83" spans="1:7" ht="39" customHeight="1">
      <c r="A83" s="245" t="s">
        <v>900</v>
      </c>
      <c r="B83" s="244" t="s">
        <v>901</v>
      </c>
      <c r="C83" s="245" t="s">
        <v>902</v>
      </c>
      <c r="D83" s="247"/>
      <c r="E83" s="247"/>
      <c r="F83" s="247"/>
      <c r="G83" s="256"/>
    </row>
    <row r="84" spans="1:7" ht="39" customHeight="1">
      <c r="A84" s="240"/>
      <c r="B84" s="239"/>
      <c r="C84" s="241"/>
      <c r="D84" s="243"/>
      <c r="E84" s="249"/>
      <c r="F84" s="243"/>
      <c r="G84" s="253"/>
    </row>
    <row r="85" spans="1:7" ht="39" customHeight="1">
      <c r="A85" s="240" t="s">
        <v>903</v>
      </c>
      <c r="B85" s="239" t="s">
        <v>904</v>
      </c>
      <c r="C85" s="241" t="s">
        <v>905</v>
      </c>
      <c r="D85" s="243"/>
      <c r="E85" s="249"/>
      <c r="F85" s="243">
        <v>0</v>
      </c>
      <c r="G85" s="253">
        <v>0</v>
      </c>
    </row>
    <row r="86" spans="1:7" ht="39" customHeight="1">
      <c r="A86" s="240" t="s">
        <v>906</v>
      </c>
      <c r="B86" s="239" t="s">
        <v>907</v>
      </c>
      <c r="C86" s="241" t="s">
        <v>908</v>
      </c>
      <c r="D86" s="243"/>
      <c r="E86" s="249"/>
      <c r="F86" s="243">
        <v>15155514000</v>
      </c>
      <c r="G86" s="253">
        <v>9.7000000000000003E-3</v>
      </c>
    </row>
    <row r="87" spans="1:7" ht="33.9" customHeight="1">
      <c r="A87" s="240" t="s">
        <v>909</v>
      </c>
      <c r="B87" s="239" t="s">
        <v>910</v>
      </c>
      <c r="C87" s="241" t="s">
        <v>911</v>
      </c>
      <c r="D87" s="243">
        <v>15</v>
      </c>
      <c r="E87" s="249">
        <v>1010367600</v>
      </c>
      <c r="F87" s="243">
        <v>15155514000</v>
      </c>
      <c r="G87" s="253">
        <v>9.7000000000000003E-3</v>
      </c>
    </row>
    <row r="88" spans="1:7" ht="39" customHeight="1">
      <c r="A88" s="245"/>
      <c r="B88" s="244" t="s">
        <v>912</v>
      </c>
      <c r="C88" s="245" t="s">
        <v>913</v>
      </c>
      <c r="D88" s="247"/>
      <c r="E88" s="247"/>
      <c r="F88" s="247">
        <v>15155514000</v>
      </c>
      <c r="G88" s="256">
        <v>9.7000000000000003E-3</v>
      </c>
    </row>
    <row r="89" spans="1:7" ht="39" customHeight="1">
      <c r="A89" s="245" t="s">
        <v>914</v>
      </c>
      <c r="B89" s="244" t="s">
        <v>915</v>
      </c>
      <c r="C89" s="245" t="s">
        <v>916</v>
      </c>
      <c r="D89" s="247"/>
      <c r="E89" s="247"/>
      <c r="F89" s="247"/>
      <c r="G89" s="256"/>
    </row>
    <row r="90" spans="1:7" ht="39" customHeight="1">
      <c r="A90" s="240"/>
      <c r="B90" s="239"/>
      <c r="C90" s="241"/>
      <c r="D90" s="243"/>
      <c r="E90" s="249"/>
      <c r="F90" s="243"/>
      <c r="G90" s="253"/>
    </row>
    <row r="91" spans="1:7" ht="39" customHeight="1">
      <c r="A91" s="240" t="s">
        <v>917</v>
      </c>
      <c r="B91" s="239" t="s">
        <v>918</v>
      </c>
      <c r="C91" s="241" t="s">
        <v>919</v>
      </c>
      <c r="D91" s="243"/>
      <c r="E91" s="249"/>
      <c r="F91" s="243">
        <v>2104550000</v>
      </c>
      <c r="G91" s="253">
        <v>1.2999999999999999E-3</v>
      </c>
    </row>
    <row r="92" spans="1:7" ht="33.9" customHeight="1">
      <c r="A92" s="240" t="s">
        <v>920</v>
      </c>
      <c r="B92" s="239" t="s">
        <v>921</v>
      </c>
      <c r="C92" s="241" t="s">
        <v>922</v>
      </c>
      <c r="D92" s="243">
        <v>1718000</v>
      </c>
      <c r="E92" s="249">
        <v>1225</v>
      </c>
      <c r="F92" s="243">
        <v>2104550000</v>
      </c>
      <c r="G92" s="253">
        <v>1.2999999999999999E-3</v>
      </c>
    </row>
    <row r="93" spans="1:7" ht="39" customHeight="1">
      <c r="A93" s="240" t="s">
        <v>923</v>
      </c>
      <c r="B93" s="239" t="s">
        <v>924</v>
      </c>
      <c r="C93" s="241" t="s">
        <v>925</v>
      </c>
      <c r="D93" s="243"/>
      <c r="E93" s="249"/>
      <c r="F93" s="243">
        <v>0</v>
      </c>
      <c r="G93" s="253">
        <v>0</v>
      </c>
    </row>
    <row r="94" spans="1:7" ht="33.9" customHeight="1">
      <c r="A94" s="245"/>
      <c r="B94" s="244" t="s">
        <v>926</v>
      </c>
      <c r="C94" s="245" t="s">
        <v>927</v>
      </c>
      <c r="D94" s="247"/>
      <c r="E94" s="247"/>
      <c r="F94" s="247">
        <v>2104550000</v>
      </c>
      <c r="G94" s="256">
        <v>1.2999999999999999E-3</v>
      </c>
    </row>
    <row r="95" spans="1:7" ht="39" customHeight="1">
      <c r="A95" s="245"/>
      <c r="B95" s="244" t="s">
        <v>928</v>
      </c>
      <c r="C95" s="245" t="s">
        <v>929</v>
      </c>
      <c r="D95" s="247"/>
      <c r="E95" s="247"/>
      <c r="F95" s="247">
        <v>1469077080000</v>
      </c>
      <c r="G95" s="256">
        <v>0.94199999999999995</v>
      </c>
    </row>
    <row r="96" spans="1:7" ht="39" customHeight="1">
      <c r="A96" s="245" t="s">
        <v>930</v>
      </c>
      <c r="B96" s="244" t="s">
        <v>931</v>
      </c>
      <c r="C96" s="245" t="s">
        <v>932</v>
      </c>
      <c r="D96" s="247"/>
      <c r="E96" s="247"/>
      <c r="F96" s="247"/>
      <c r="G96" s="256"/>
    </row>
    <row r="97" spans="1:7" ht="39" customHeight="1">
      <c r="A97" s="240"/>
      <c r="B97" s="239"/>
      <c r="C97" s="241"/>
      <c r="D97" s="243"/>
      <c r="E97" s="249"/>
      <c r="F97" s="243"/>
      <c r="G97" s="253"/>
    </row>
    <row r="98" spans="1:7" ht="39" customHeight="1">
      <c r="A98" s="240" t="s">
        <v>933</v>
      </c>
      <c r="B98" s="239" t="s">
        <v>934</v>
      </c>
      <c r="C98" s="241" t="s">
        <v>935</v>
      </c>
      <c r="D98" s="243"/>
      <c r="E98" s="249"/>
      <c r="F98" s="243">
        <v>2860600000</v>
      </c>
      <c r="G98" s="253">
        <v>1.8E-3</v>
      </c>
    </row>
    <row r="99" spans="1:7" ht="39" customHeight="1">
      <c r="A99" s="240" t="s">
        <v>936</v>
      </c>
      <c r="B99" s="239" t="s">
        <v>937</v>
      </c>
      <c r="C99" s="241" t="s">
        <v>938</v>
      </c>
      <c r="D99" s="243"/>
      <c r="E99" s="249"/>
      <c r="F99" s="243">
        <v>88767123</v>
      </c>
      <c r="G99" s="253">
        <v>1E-4</v>
      </c>
    </row>
    <row r="100" spans="1:7" ht="47.1" customHeight="1">
      <c r="A100" s="240" t="s">
        <v>939</v>
      </c>
      <c r="B100" s="239" t="s">
        <v>940</v>
      </c>
      <c r="C100" s="241" t="s">
        <v>941</v>
      </c>
      <c r="D100" s="243"/>
      <c r="E100" s="249"/>
      <c r="F100" s="243">
        <v>0</v>
      </c>
      <c r="G100" s="253">
        <v>0</v>
      </c>
    </row>
    <row r="101" spans="1:7" ht="45" customHeight="1">
      <c r="A101" s="240" t="s">
        <v>942</v>
      </c>
      <c r="B101" s="239" t="s">
        <v>943</v>
      </c>
      <c r="C101" s="241" t="s">
        <v>944</v>
      </c>
      <c r="D101" s="243"/>
      <c r="E101" s="249"/>
      <c r="F101" s="243">
        <v>28573030000</v>
      </c>
      <c r="G101" s="253">
        <v>1.83E-2</v>
      </c>
    </row>
    <row r="102" spans="1:7" ht="57" customHeight="1">
      <c r="A102" s="240" t="s">
        <v>945</v>
      </c>
      <c r="B102" s="239" t="s">
        <v>946</v>
      </c>
      <c r="C102" s="241" t="s">
        <v>947</v>
      </c>
      <c r="D102" s="243"/>
      <c r="E102" s="249"/>
      <c r="F102" s="243">
        <v>0</v>
      </c>
      <c r="G102" s="253">
        <v>0</v>
      </c>
    </row>
    <row r="103" spans="1:7" ht="39" customHeight="1">
      <c r="A103" s="240" t="s">
        <v>948</v>
      </c>
      <c r="B103" s="239" t="s">
        <v>949</v>
      </c>
      <c r="C103" s="241" t="s">
        <v>950</v>
      </c>
      <c r="D103" s="243"/>
      <c r="E103" s="249"/>
      <c r="F103" s="243">
        <v>-866400000</v>
      </c>
      <c r="G103" s="253">
        <v>-5.9999999999999995E-4</v>
      </c>
    </row>
    <row r="104" spans="1:7" ht="39" customHeight="1">
      <c r="A104" s="240" t="s">
        <v>951</v>
      </c>
      <c r="B104" s="239" t="s">
        <v>952</v>
      </c>
      <c r="C104" s="241" t="s">
        <v>953</v>
      </c>
      <c r="D104" s="243"/>
      <c r="E104" s="249"/>
      <c r="F104" s="243">
        <v>0</v>
      </c>
      <c r="G104" s="253">
        <v>0</v>
      </c>
    </row>
    <row r="105" spans="1:7" ht="39" customHeight="1">
      <c r="A105" s="245"/>
      <c r="B105" s="244" t="s">
        <v>954</v>
      </c>
      <c r="C105" s="245" t="s">
        <v>955</v>
      </c>
      <c r="D105" s="247"/>
      <c r="E105" s="247"/>
      <c r="F105" s="247">
        <v>30655997123</v>
      </c>
      <c r="G105" s="256">
        <v>1.9599999999999999E-2</v>
      </c>
    </row>
    <row r="106" spans="1:7" ht="39" customHeight="1">
      <c r="A106" s="245" t="s">
        <v>956</v>
      </c>
      <c r="B106" s="244" t="s">
        <v>957</v>
      </c>
      <c r="C106" s="245" t="s">
        <v>958</v>
      </c>
      <c r="D106" s="247"/>
      <c r="E106" s="247"/>
      <c r="F106" s="247"/>
      <c r="G106" s="256"/>
    </row>
    <row r="107" spans="1:7" ht="39" customHeight="1">
      <c r="A107" s="240" t="s">
        <v>959</v>
      </c>
      <c r="B107" s="239" t="s">
        <v>960</v>
      </c>
      <c r="C107" s="241" t="s">
        <v>961</v>
      </c>
      <c r="D107" s="243"/>
      <c r="E107" s="249"/>
      <c r="F107" s="243">
        <v>59838686129</v>
      </c>
      <c r="G107" s="253">
        <v>3.8399999999999997E-2</v>
      </c>
    </row>
    <row r="108" spans="1:7" ht="39" customHeight="1">
      <c r="A108" s="240"/>
      <c r="B108" s="239"/>
      <c r="C108" s="241"/>
      <c r="D108" s="243"/>
      <c r="E108" s="249"/>
      <c r="F108" s="243"/>
      <c r="G108" s="253"/>
    </row>
    <row r="109" spans="1:7" ht="39" customHeight="1">
      <c r="A109" s="240" t="s">
        <v>962</v>
      </c>
      <c r="B109" s="239" t="s">
        <v>963</v>
      </c>
      <c r="C109" s="241" t="s">
        <v>964</v>
      </c>
      <c r="D109" s="243"/>
      <c r="E109" s="249"/>
      <c r="F109" s="243">
        <v>59838686129</v>
      </c>
      <c r="G109" s="253">
        <v>3.8399999999999997E-2</v>
      </c>
    </row>
    <row r="110" spans="1:7" ht="39" customHeight="1">
      <c r="A110" s="240" t="s">
        <v>965</v>
      </c>
      <c r="B110" s="239" t="s">
        <v>966</v>
      </c>
      <c r="C110" s="241" t="s">
        <v>967</v>
      </c>
      <c r="D110" s="243"/>
      <c r="E110" s="249"/>
      <c r="F110" s="243">
        <v>0</v>
      </c>
      <c r="G110" s="253">
        <v>0</v>
      </c>
    </row>
    <row r="111" spans="1:7" ht="39" customHeight="1">
      <c r="A111" s="240" t="s">
        <v>968</v>
      </c>
      <c r="B111" s="239" t="s">
        <v>969</v>
      </c>
      <c r="C111" s="241" t="s">
        <v>970</v>
      </c>
      <c r="D111" s="243"/>
      <c r="E111" s="249"/>
      <c r="F111" s="243">
        <v>0</v>
      </c>
      <c r="G111" s="253">
        <v>0</v>
      </c>
    </row>
    <row r="112" spans="1:7" ht="39" customHeight="1">
      <c r="A112" s="240"/>
      <c r="B112" s="239"/>
      <c r="C112" s="241"/>
      <c r="D112" s="243"/>
      <c r="E112" s="249"/>
      <c r="F112" s="243"/>
      <c r="G112" s="253"/>
    </row>
    <row r="113" spans="1:7" ht="39" customHeight="1">
      <c r="A113" s="240" t="s">
        <v>971</v>
      </c>
      <c r="B113" s="239" t="s">
        <v>972</v>
      </c>
      <c r="C113" s="241" t="s">
        <v>973</v>
      </c>
      <c r="D113" s="243"/>
      <c r="E113" s="249"/>
      <c r="F113" s="243">
        <v>0</v>
      </c>
      <c r="G113" s="253">
        <v>0</v>
      </c>
    </row>
    <row r="114" spans="1:7" ht="39" customHeight="1">
      <c r="A114" s="245"/>
      <c r="B114" s="244" t="s">
        <v>974</v>
      </c>
      <c r="C114" s="245" t="s">
        <v>975</v>
      </c>
      <c r="D114" s="247"/>
      <c r="E114" s="247"/>
      <c r="F114" s="247">
        <v>59838686129</v>
      </c>
      <c r="G114" s="256">
        <v>3.8399999999999997E-2</v>
      </c>
    </row>
    <row r="115" spans="1:7" ht="39" customHeight="1">
      <c r="A115" s="245" t="s">
        <v>976</v>
      </c>
      <c r="B115" s="244" t="s">
        <v>977</v>
      </c>
      <c r="C115" s="245" t="s">
        <v>978</v>
      </c>
      <c r="D115" s="247"/>
      <c r="E115" s="247"/>
      <c r="F115" s="247">
        <v>1559571763252</v>
      </c>
      <c r="G115" s="256">
        <v>1</v>
      </c>
    </row>
    <row r="116" spans="1:7" ht="16.95" customHeight="1">
      <c r="A116" s="87"/>
      <c r="B116" s="32"/>
      <c r="C116" s="32"/>
      <c r="D116" s="32"/>
      <c r="E116" s="18"/>
      <c r="F116" s="32"/>
    </row>
    <row r="117" spans="1:7" ht="16.95" customHeight="1">
      <c r="A117" s="18" t="s">
        <v>10</v>
      </c>
      <c r="B117" s="32"/>
      <c r="C117" s="32"/>
      <c r="D117" s="32"/>
      <c r="E117" s="18" t="s">
        <v>11</v>
      </c>
      <c r="F117" s="32"/>
    </row>
    <row r="118" spans="1:7" ht="16.95" customHeight="1">
      <c r="A118" s="19" t="s">
        <v>12</v>
      </c>
      <c r="B118" s="32"/>
      <c r="C118" s="32"/>
      <c r="D118" s="32"/>
      <c r="E118" s="19" t="s">
        <v>13</v>
      </c>
      <c r="F118" s="32"/>
    </row>
    <row r="119" spans="1:7" ht="16.95" customHeight="1"/>
    <row r="120" spans="1:7" ht="16.95" customHeight="1">
      <c r="A120" s="25"/>
      <c r="E120" s="25"/>
    </row>
    <row r="121" spans="1:7" ht="16.95" customHeight="1"/>
    <row r="122" spans="1:7" ht="16.95" customHeight="1"/>
    <row r="123" spans="1:7" ht="16.95" customHeight="1"/>
    <row r="124" spans="1:7" ht="16.95" customHeight="1"/>
    <row r="125" spans="1:7" ht="16.95" customHeight="1"/>
    <row r="126" spans="1:7" ht="16.95" customHeight="1"/>
    <row r="127" spans="1:7" ht="16.95" customHeight="1">
      <c r="A127" s="33" t="s">
        <v>14</v>
      </c>
      <c r="B127" s="29"/>
      <c r="C127" s="29"/>
      <c r="E127" s="33" t="s">
        <v>1677</v>
      </c>
      <c r="F127" s="29"/>
      <c r="G127" s="29"/>
    </row>
    <row r="128" spans="1:7" ht="16.95" customHeight="1">
      <c r="A128" s="34" t="s">
        <v>1681</v>
      </c>
      <c r="E128" s="34" t="s">
        <v>1682</v>
      </c>
    </row>
    <row r="129" spans="1:5" ht="16.95" customHeight="1">
      <c r="A129" s="35" t="s">
        <v>1701</v>
      </c>
      <c r="E129" s="36" t="s">
        <v>1683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6"/>
  <sheetViews>
    <sheetView view="pageBreakPreview" topLeftCell="A50" zoomScaleNormal="100" zoomScaleSheetLayoutView="100" workbookViewId="0">
      <selection activeCell="A52" sqref="A52:E52"/>
    </sheetView>
  </sheetViews>
  <sheetFormatPr defaultColWidth="8.6640625" defaultRowHeight="53.25" customHeight="1"/>
  <cols>
    <col min="1" max="1" width="8.6640625" style="15"/>
    <col min="2" max="2" width="59.88671875" style="15" customWidth="1"/>
    <col min="3" max="3" width="10.6640625" style="15" bestFit="1" customWidth="1"/>
    <col min="4" max="4" width="41.6640625" style="15" customWidth="1"/>
    <col min="5" max="5" width="39.5546875" style="15" customWidth="1"/>
    <col min="6" max="6" width="8.44140625" style="186" customWidth="1"/>
    <col min="7" max="16384" width="8.6640625" style="186"/>
  </cols>
  <sheetData>
    <row r="1" spans="1:6" ht="53.25" customHeight="1">
      <c r="A1" s="264" t="s">
        <v>671</v>
      </c>
      <c r="B1" s="264"/>
      <c r="C1" s="264"/>
      <c r="D1" s="264"/>
      <c r="E1" s="264"/>
      <c r="F1" s="187"/>
    </row>
    <row r="2" spans="1:6" ht="66" customHeight="1">
      <c r="A2" s="265" t="s">
        <v>672</v>
      </c>
      <c r="B2" s="265"/>
      <c r="C2" s="265"/>
      <c r="D2" s="265"/>
      <c r="E2" s="265"/>
      <c r="F2" s="188"/>
    </row>
    <row r="3" spans="1:6" ht="40.5" customHeight="1">
      <c r="A3" s="266" t="s">
        <v>622</v>
      </c>
      <c r="B3" s="266"/>
      <c r="C3" s="266"/>
      <c r="D3" s="266"/>
      <c r="E3" s="266"/>
      <c r="F3" s="187"/>
    </row>
    <row r="4" spans="1:6" ht="13.2" hidden="1">
      <c r="A4" s="266"/>
      <c r="B4" s="266"/>
      <c r="C4" s="266"/>
      <c r="D4" s="266"/>
      <c r="E4" s="266"/>
      <c r="F4" s="187"/>
    </row>
    <row r="5" spans="1:6" ht="13.2">
      <c r="A5" s="267" t="str">
        <f>TONGQUAN!C2</f>
        <v>Năm 2023
/ Year 2023</v>
      </c>
      <c r="B5" s="267"/>
      <c r="C5" s="267"/>
      <c r="D5" s="267"/>
      <c r="E5" s="267"/>
      <c r="F5" s="189"/>
    </row>
    <row r="6" spans="1:6" ht="13.2"/>
    <row r="7" spans="1:6" ht="13.2">
      <c r="A7" s="157" t="s">
        <v>2</v>
      </c>
      <c r="C7" s="277" t="str">
        <f>TONGQUAN!D5</f>
        <v>Công ty Cổ phần Quản lý Quỹ Đầu tư Dragon Capital Việt Nam</v>
      </c>
      <c r="D7" s="277"/>
      <c r="E7" s="277"/>
    </row>
    <row r="8" spans="1:6" ht="13.2">
      <c r="A8" s="15" t="s">
        <v>15</v>
      </c>
      <c r="C8" s="276" t="str">
        <f>TONGQUAN!D6</f>
        <v>Dragon Capital Vietfund Management Joint Stock Company</v>
      </c>
      <c r="D8" s="276"/>
      <c r="E8" s="276"/>
    </row>
    <row r="9" spans="1:6" ht="13.2">
      <c r="A9" s="157" t="s">
        <v>3</v>
      </c>
      <c r="C9" s="277" t="str">
        <f>TONGQUAN!D7</f>
        <v>Ngân hàng TNHH Một thành viên Standard Chartered (Việt Nam)</v>
      </c>
      <c r="D9" s="277"/>
      <c r="E9" s="277"/>
    </row>
    <row r="10" spans="1:6" ht="13.2">
      <c r="A10" s="15" t="s">
        <v>4</v>
      </c>
      <c r="C10" s="276" t="str">
        <f>TONGQUAN!D8</f>
        <v>Standard Chartered Bank (Vietnam) Limited</v>
      </c>
      <c r="D10" s="276"/>
      <c r="E10" s="276"/>
    </row>
    <row r="11" spans="1:6" ht="13.2">
      <c r="A11" s="157" t="s">
        <v>5</v>
      </c>
      <c r="C11" s="277" t="str">
        <f>TONGQUAN!D9</f>
        <v>Quỹ Đầu tư Chứng khoán Năng động DC</v>
      </c>
      <c r="D11" s="277"/>
      <c r="E11" s="277"/>
    </row>
    <row r="12" spans="1:6" ht="13.2">
      <c r="A12" s="15" t="s">
        <v>6</v>
      </c>
      <c r="C12" s="276" t="str">
        <f>TONGQUAN!D10</f>
        <v>DC Dynamic Securities Fund(DCDS)</v>
      </c>
      <c r="D12" s="276"/>
      <c r="E12" s="276"/>
    </row>
    <row r="13" spans="1:6" ht="13.2">
      <c r="A13" s="157" t="s">
        <v>7</v>
      </c>
      <c r="C13" s="277" t="str">
        <f>TONGQUAN!D11</f>
        <v>Ngày 08 tháng 03 năm 2024</v>
      </c>
      <c r="D13" s="277"/>
      <c r="E13" s="277"/>
    </row>
    <row r="14" spans="1:6" ht="13.2">
      <c r="A14" s="15" t="s">
        <v>8</v>
      </c>
      <c r="C14" s="276" t="str">
        <f>TONGQUAN!D12</f>
        <v>08 Mar 2024</v>
      </c>
      <c r="D14" s="276"/>
      <c r="E14" s="276"/>
    </row>
    <row r="15" spans="1:6" ht="13.2"/>
    <row r="16" spans="1:6" ht="13.2">
      <c r="A16" s="126" t="s">
        <v>669</v>
      </c>
      <c r="B16" s="127" t="s">
        <v>670</v>
      </c>
    </row>
    <row r="17" spans="1:7" ht="13.2">
      <c r="A17" s="20" t="s">
        <v>30</v>
      </c>
      <c r="B17" s="21" t="s">
        <v>353</v>
      </c>
    </row>
    <row r="18" spans="1:7" ht="39.6">
      <c r="A18" s="221" t="s">
        <v>17</v>
      </c>
      <c r="B18" s="221" t="s">
        <v>659</v>
      </c>
      <c r="C18" s="221" t="s">
        <v>19</v>
      </c>
      <c r="D18" s="222" t="s">
        <v>1686</v>
      </c>
      <c r="E18" s="222" t="s">
        <v>1687</v>
      </c>
    </row>
    <row r="19" spans="1:7" s="190" customFormat="1" ht="26.4">
      <c r="A19" s="51" t="s">
        <v>16</v>
      </c>
      <c r="B19" s="120" t="s">
        <v>115</v>
      </c>
      <c r="C19" s="121" t="s">
        <v>116</v>
      </c>
      <c r="D19" s="242"/>
      <c r="E19" s="242"/>
    </row>
    <row r="20" spans="1:7" ht="52.8">
      <c r="A20" s="158">
        <v>1</v>
      </c>
      <c r="B20" s="122" t="s">
        <v>644</v>
      </c>
      <c r="C20" s="123" t="s">
        <v>117</v>
      </c>
      <c r="D20" s="242">
        <v>1.9497126948605899E-2</v>
      </c>
      <c r="E20" s="242">
        <v>1.95021284729416E-2</v>
      </c>
      <c r="F20" s="250"/>
    </row>
    <row r="21" spans="1:7" ht="52.8">
      <c r="A21" s="158">
        <v>2</v>
      </c>
      <c r="B21" s="122" t="s">
        <v>645</v>
      </c>
      <c r="C21" s="123" t="s">
        <v>118</v>
      </c>
      <c r="D21" s="242">
        <v>1.18208142291126E-3</v>
      </c>
      <c r="E21" s="242">
        <v>1.0642722373063E-3</v>
      </c>
      <c r="F21" s="250"/>
    </row>
    <row r="22" spans="1:7" ht="66">
      <c r="A22" s="158">
        <v>3</v>
      </c>
      <c r="B22" s="122" t="s">
        <v>646</v>
      </c>
      <c r="C22" s="123" t="s">
        <v>119</v>
      </c>
      <c r="D22" s="242">
        <v>4.9002884698564199E-4</v>
      </c>
      <c r="E22" s="242">
        <v>4.2984502443935201E-4</v>
      </c>
      <c r="F22" s="250"/>
    </row>
    <row r="23" spans="1:7" ht="39.6">
      <c r="A23" s="158">
        <v>4</v>
      </c>
      <c r="B23" s="122" t="s">
        <v>354</v>
      </c>
      <c r="C23" s="123" t="s">
        <v>120</v>
      </c>
      <c r="D23" s="242">
        <v>1.5213908172439299E-4</v>
      </c>
      <c r="E23" s="242">
        <v>1.22004217878355E-4</v>
      </c>
      <c r="F23" s="250"/>
    </row>
    <row r="24" spans="1:7" ht="52.8">
      <c r="A24" s="158">
        <v>5</v>
      </c>
      <c r="B24" s="122" t="s">
        <v>647</v>
      </c>
      <c r="C24" s="123" t="s">
        <v>648</v>
      </c>
      <c r="D24" s="125"/>
      <c r="E24" s="125"/>
    </row>
    <row r="25" spans="1:7" ht="79.2">
      <c r="A25" s="158">
        <v>6</v>
      </c>
      <c r="B25" s="122" t="s">
        <v>649</v>
      </c>
      <c r="C25" s="123" t="s">
        <v>610</v>
      </c>
      <c r="D25" s="125"/>
      <c r="E25" s="125"/>
    </row>
    <row r="26" spans="1:7" ht="79.2">
      <c r="A26" s="158">
        <v>7</v>
      </c>
      <c r="B26" s="122" t="s">
        <v>355</v>
      </c>
      <c r="C26" s="123" t="s">
        <v>121</v>
      </c>
      <c r="D26" s="242">
        <v>1.8362090941208799E-4</v>
      </c>
      <c r="E26" s="242">
        <v>2.0402336630527201E-4</v>
      </c>
    </row>
    <row r="27" spans="1:7" ht="26.4">
      <c r="A27" s="158">
        <v>8</v>
      </c>
      <c r="B27" s="122" t="s">
        <v>650</v>
      </c>
      <c r="C27" s="123" t="s">
        <v>122</v>
      </c>
      <c r="D27" s="242">
        <v>2.1607789665164401E-2</v>
      </c>
      <c r="E27" s="242">
        <v>3.3837447581766801E-2</v>
      </c>
    </row>
    <row r="28" spans="1:7" ht="13.2">
      <c r="A28" s="158">
        <v>9</v>
      </c>
      <c r="B28" s="122" t="s">
        <v>706</v>
      </c>
      <c r="C28" s="123" t="s">
        <v>123</v>
      </c>
      <c r="D28" s="242">
        <v>4.4416020625115298</v>
      </c>
      <c r="E28" s="242">
        <v>4.7136995940022803</v>
      </c>
    </row>
    <row r="29" spans="1:7" ht="52.8">
      <c r="A29" s="158">
        <v>10</v>
      </c>
      <c r="B29" s="122" t="s">
        <v>651</v>
      </c>
      <c r="C29" s="123" t="s">
        <v>610</v>
      </c>
      <c r="D29" s="125"/>
      <c r="E29" s="125"/>
    </row>
    <row r="30" spans="1:7" s="190" customFormat="1" ht="26.4">
      <c r="A30" s="51" t="s">
        <v>22</v>
      </c>
      <c r="B30" s="120" t="s">
        <v>124</v>
      </c>
      <c r="C30" s="121" t="s">
        <v>125</v>
      </c>
      <c r="D30" s="124"/>
      <c r="E30" s="124"/>
      <c r="G30" s="186"/>
    </row>
    <row r="31" spans="1:7" ht="39.6">
      <c r="A31" s="291">
        <v>1</v>
      </c>
      <c r="B31" s="122" t="s">
        <v>126</v>
      </c>
      <c r="C31" s="123" t="s">
        <v>127</v>
      </c>
      <c r="D31" s="160">
        <v>244762721400</v>
      </c>
      <c r="E31" s="160">
        <v>209030821100</v>
      </c>
    </row>
    <row r="32" spans="1:7" ht="26.4">
      <c r="A32" s="292"/>
      <c r="B32" s="122" t="s">
        <v>128</v>
      </c>
      <c r="C32" s="123" t="s">
        <v>129</v>
      </c>
      <c r="D32" s="160">
        <v>244762721400</v>
      </c>
      <c r="E32" s="160">
        <v>209030821100</v>
      </c>
    </row>
    <row r="33" spans="1:5" ht="39.6">
      <c r="A33" s="293"/>
      <c r="B33" s="122" t="s">
        <v>652</v>
      </c>
      <c r="C33" s="123" t="s">
        <v>130</v>
      </c>
      <c r="D33" s="125">
        <v>24476272.140000001</v>
      </c>
      <c r="E33" s="125">
        <v>20903082.109999999</v>
      </c>
    </row>
    <row r="34" spans="1:5" ht="39.6">
      <c r="A34" s="290">
        <v>2</v>
      </c>
      <c r="B34" s="122" t="s">
        <v>131</v>
      </c>
      <c r="C34" s="123" t="s">
        <v>132</v>
      </c>
      <c r="D34" s="160">
        <v>-15554296300</v>
      </c>
      <c r="E34" s="160">
        <v>35731900300</v>
      </c>
    </row>
    <row r="35" spans="1:5" ht="26.4">
      <c r="A35" s="290"/>
      <c r="B35" s="122" t="s">
        <v>133</v>
      </c>
      <c r="C35" s="123" t="s">
        <v>653</v>
      </c>
      <c r="D35" s="125">
        <v>-1555429.63</v>
      </c>
      <c r="E35" s="125">
        <v>3573190.03</v>
      </c>
    </row>
    <row r="36" spans="1:5" ht="26.4">
      <c r="A36" s="290"/>
      <c r="B36" s="122" t="s">
        <v>134</v>
      </c>
      <c r="C36" s="123" t="s">
        <v>654</v>
      </c>
      <c r="D36" s="160">
        <v>-15554296300</v>
      </c>
      <c r="E36" s="160">
        <v>35731900300</v>
      </c>
    </row>
    <row r="37" spans="1:5" ht="26.4">
      <c r="A37" s="290"/>
      <c r="B37" s="122" t="s">
        <v>655</v>
      </c>
      <c r="C37" s="123" t="s">
        <v>135</v>
      </c>
      <c r="D37" s="125">
        <v>4308044.78</v>
      </c>
      <c r="E37" s="125">
        <v>10562254.140000001</v>
      </c>
    </row>
    <row r="38" spans="1:5" ht="26.4">
      <c r="A38" s="290"/>
      <c r="B38" s="122" t="s">
        <v>310</v>
      </c>
      <c r="C38" s="123" t="s">
        <v>136</v>
      </c>
      <c r="D38" s="160">
        <v>43080447800</v>
      </c>
      <c r="E38" s="160">
        <v>105622541400</v>
      </c>
    </row>
    <row r="39" spans="1:5" ht="26.4">
      <c r="A39" s="290"/>
      <c r="B39" s="122" t="s">
        <v>695</v>
      </c>
      <c r="C39" s="123" t="s">
        <v>137</v>
      </c>
      <c r="D39" s="125">
        <v>-5863474.4100000001</v>
      </c>
      <c r="E39" s="125">
        <v>-6989064.1100000003</v>
      </c>
    </row>
    <row r="40" spans="1:5" ht="39.6">
      <c r="A40" s="290"/>
      <c r="B40" s="122" t="s">
        <v>311</v>
      </c>
      <c r="C40" s="123" t="s">
        <v>138</v>
      </c>
      <c r="D40" s="160">
        <v>-58634744100</v>
      </c>
      <c r="E40" s="160">
        <v>-69890641100</v>
      </c>
    </row>
    <row r="41" spans="1:5" ht="26.4">
      <c r="A41" s="290">
        <v>3</v>
      </c>
      <c r="B41" s="122" t="s">
        <v>312</v>
      </c>
      <c r="C41" s="123" t="s">
        <v>139</v>
      </c>
      <c r="D41" s="160">
        <v>229208425100</v>
      </c>
      <c r="E41" s="160">
        <v>244762721400</v>
      </c>
    </row>
    <row r="42" spans="1:5" ht="39.6">
      <c r="A42" s="290"/>
      <c r="B42" s="122" t="s">
        <v>656</v>
      </c>
      <c r="C42" s="123" t="s">
        <v>140</v>
      </c>
      <c r="D42" s="160">
        <v>229208425100</v>
      </c>
      <c r="E42" s="160">
        <v>244762721400</v>
      </c>
    </row>
    <row r="43" spans="1:5" ht="26.4">
      <c r="A43" s="290"/>
      <c r="B43" s="122" t="s">
        <v>657</v>
      </c>
      <c r="C43" s="123" t="s">
        <v>141</v>
      </c>
      <c r="D43" s="125">
        <v>22920842.510000002</v>
      </c>
      <c r="E43" s="125">
        <v>24476272.140000001</v>
      </c>
    </row>
    <row r="44" spans="1:5" ht="52.8">
      <c r="A44" s="158">
        <v>4</v>
      </c>
      <c r="B44" s="122" t="s">
        <v>142</v>
      </c>
      <c r="C44" s="123" t="s">
        <v>143</v>
      </c>
      <c r="D44" s="242">
        <v>3.3308038291651799E-3</v>
      </c>
      <c r="E44" s="242">
        <v>9.5601118773963796E-4</v>
      </c>
    </row>
    <row r="45" spans="1:5" ht="26.4">
      <c r="A45" s="158">
        <v>5</v>
      </c>
      <c r="B45" s="122" t="s">
        <v>144</v>
      </c>
      <c r="C45" s="123" t="s">
        <v>145</v>
      </c>
      <c r="D45" s="242">
        <v>0.2228</v>
      </c>
      <c r="E45" s="242">
        <v>0.25269999999999998</v>
      </c>
    </row>
    <row r="46" spans="1:5" ht="26.4">
      <c r="A46" s="158">
        <v>6</v>
      </c>
      <c r="B46" s="122" t="s">
        <v>146</v>
      </c>
      <c r="C46" s="123" t="s">
        <v>147</v>
      </c>
      <c r="D46" s="242">
        <v>0.13800000000000001</v>
      </c>
      <c r="E46" s="242">
        <v>0.122756214378322</v>
      </c>
    </row>
    <row r="47" spans="1:5" ht="26.4">
      <c r="A47" s="158">
        <v>7</v>
      </c>
      <c r="B47" s="122" t="s">
        <v>148</v>
      </c>
      <c r="C47" s="123" t="s">
        <v>149</v>
      </c>
      <c r="D47" s="160">
        <v>26096</v>
      </c>
      <c r="E47" s="160">
        <v>22003</v>
      </c>
    </row>
    <row r="48" spans="1:5" ht="26.4">
      <c r="A48" s="158">
        <v>8</v>
      </c>
      <c r="B48" s="122" t="s">
        <v>313</v>
      </c>
      <c r="C48" s="123" t="s">
        <v>150</v>
      </c>
      <c r="D48" s="125">
        <v>65722.27</v>
      </c>
      <c r="E48" s="125">
        <v>51531.77</v>
      </c>
    </row>
    <row r="49" spans="1:5" ht="39.6">
      <c r="A49" s="158">
        <v>9</v>
      </c>
      <c r="B49" s="122" t="s">
        <v>658</v>
      </c>
      <c r="C49" s="123" t="s">
        <v>611</v>
      </c>
      <c r="D49" s="125"/>
      <c r="E49" s="125"/>
    </row>
    <row r="50" spans="1:5" ht="31.5" customHeight="1">
      <c r="A50" s="263" t="s">
        <v>697</v>
      </c>
      <c r="B50" s="276"/>
      <c r="C50" s="276"/>
      <c r="D50" s="276"/>
      <c r="E50" s="276"/>
    </row>
    <row r="51" spans="1:5" ht="31.5" customHeight="1">
      <c r="A51" s="263" t="s">
        <v>1703</v>
      </c>
      <c r="B51" s="276"/>
      <c r="C51" s="276"/>
      <c r="D51" s="276"/>
      <c r="E51" s="276"/>
    </row>
    <row r="52" spans="1:5" ht="95.25" customHeight="1">
      <c r="A52" s="263" t="s">
        <v>1700</v>
      </c>
      <c r="B52" s="276"/>
      <c r="C52" s="276"/>
      <c r="D52" s="276"/>
      <c r="E52" s="276"/>
    </row>
    <row r="53" spans="1:5" ht="13.2">
      <c r="A53" s="25" t="str">
        <f>TONGQUAN!C16</f>
        <v>Đại diện có thẩm quyền của Ngân hàng giám sát</v>
      </c>
      <c r="D53" s="25" t="str">
        <f>TONGQUAN!F16</f>
        <v>Đại diện có thẩm quyền của Công ty quản lý Quỹ</v>
      </c>
    </row>
    <row r="54" spans="1:5" s="191" customFormat="1" ht="13.2">
      <c r="A54" s="26" t="str">
        <f>TONGQUAN!C17</f>
        <v>Authorised Representative of Supervisory Bank</v>
      </c>
      <c r="B54" s="26"/>
      <c r="C54" s="26"/>
      <c r="D54" s="26" t="str">
        <f>TONGQUAN!F17</f>
        <v>Authorised Representative of Fund Management Company</v>
      </c>
      <c r="E54" s="26"/>
    </row>
    <row r="55" spans="1:5" ht="13.2"/>
    <row r="56" spans="1:5" ht="13.2"/>
    <row r="57" spans="1:5" ht="13.2"/>
    <row r="58" spans="1:5" ht="13.2"/>
    <row r="59" spans="1:5" ht="13.2"/>
    <row r="60" spans="1:5" ht="13.2"/>
    <row r="61" spans="1:5" ht="13.2"/>
    <row r="62" spans="1:5" ht="13.2"/>
    <row r="63" spans="1:5" ht="13.2">
      <c r="A63" s="41"/>
      <c r="B63" s="41"/>
      <c r="D63" s="41"/>
      <c r="E63" s="41"/>
    </row>
    <row r="64" spans="1:5" ht="13.2">
      <c r="A64" s="25" t="str">
        <f>TONGQUAN!C19</f>
        <v>Ngân hàng TNHH MTV Standard Chartered (Việt Nam)</v>
      </c>
      <c r="D64" s="25" t="str">
        <f>TONGQUAN!F19</f>
        <v>Công ty Cổ phần Quản lý Quỹ Đầu tư Dragon Capital Việt Nam</v>
      </c>
    </row>
    <row r="65" spans="1:4" ht="13.2">
      <c r="A65" s="25" t="str">
        <f>TONGQUAN!C20</f>
        <v>Vũ Quang Phan</v>
      </c>
      <c r="D65" s="25" t="str">
        <f>TONGQUAN!F20</f>
        <v>Lê Hoàng Anh</v>
      </c>
    </row>
    <row r="66" spans="1:4" ht="13.2">
      <c r="A66" s="15" t="s">
        <v>1701</v>
      </c>
      <c r="D66" s="15" t="str">
        <f>TONGQUAN!F21</f>
        <v>Quyền Giám đốc nghiệp vụ hỗ trợ đầu tư</v>
      </c>
    </row>
  </sheetData>
  <mergeCells count="18">
    <mergeCell ref="C13:E13"/>
    <mergeCell ref="C8:E8"/>
    <mergeCell ref="C9:E9"/>
    <mergeCell ref="C10:E10"/>
    <mergeCell ref="C11:E11"/>
    <mergeCell ref="C12:E12"/>
    <mergeCell ref="A1:E1"/>
    <mergeCell ref="A2:E2"/>
    <mergeCell ref="A3:E4"/>
    <mergeCell ref="A5:E5"/>
    <mergeCell ref="C7:E7"/>
    <mergeCell ref="A52:E52"/>
    <mergeCell ref="A50:E50"/>
    <mergeCell ref="A34:A40"/>
    <mergeCell ref="A41:A43"/>
    <mergeCell ref="C14:E14"/>
    <mergeCell ref="A31:A33"/>
    <mergeCell ref="A51:E51"/>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5"/>
  <sheetViews>
    <sheetView view="pageBreakPreview" topLeftCell="D22" zoomScale="85" zoomScaleNormal="100" zoomScaleSheetLayoutView="85" workbookViewId="0">
      <selection activeCell="F38" sqref="F38"/>
    </sheetView>
  </sheetViews>
  <sheetFormatPr defaultColWidth="9.109375" defaultRowHeight="13.2"/>
  <cols>
    <col min="1" max="1" width="19.88671875" style="141" customWidth="1"/>
    <col min="2" max="2" width="52.5546875" style="141" customWidth="1"/>
    <col min="3" max="3" width="25.109375" style="141" customWidth="1"/>
    <col min="4" max="6" width="33" style="219" customWidth="1"/>
    <col min="7" max="8" width="42" style="219" customWidth="1"/>
    <col min="9" max="16384" width="9.109375" style="141"/>
  </cols>
  <sheetData>
    <row r="1" spans="1:8" ht="32.25" customHeight="1">
      <c r="A1" s="294" t="s">
        <v>671</v>
      </c>
      <c r="B1" s="294"/>
      <c r="C1" s="294"/>
      <c r="D1" s="294"/>
      <c r="E1" s="294"/>
      <c r="F1" s="294"/>
      <c r="G1" s="294"/>
      <c r="H1" s="294"/>
    </row>
    <row r="2" spans="1:8" ht="56.4" customHeight="1">
      <c r="A2" s="295" t="s">
        <v>691</v>
      </c>
      <c r="B2" s="295"/>
      <c r="C2" s="295"/>
      <c r="D2" s="295"/>
      <c r="E2" s="295"/>
      <c r="F2" s="295"/>
      <c r="G2" s="295"/>
      <c r="H2" s="295"/>
    </row>
    <row r="3" spans="1:8" ht="12.75" customHeight="1">
      <c r="A3" s="296" t="s">
        <v>673</v>
      </c>
      <c r="B3" s="296"/>
      <c r="C3" s="296"/>
      <c r="D3" s="296"/>
      <c r="E3" s="296"/>
      <c r="F3" s="296"/>
      <c r="G3" s="296"/>
      <c r="H3" s="296"/>
    </row>
    <row r="4" spans="1:8">
      <c r="A4" s="296"/>
      <c r="B4" s="296"/>
      <c r="C4" s="296"/>
      <c r="D4" s="296"/>
      <c r="E4" s="296"/>
      <c r="F4" s="296"/>
      <c r="G4" s="296"/>
      <c r="H4" s="296"/>
    </row>
    <row r="5" spans="1:8">
      <c r="A5" s="297" t="s">
        <v>1676</v>
      </c>
      <c r="B5" s="297"/>
      <c r="C5" s="297"/>
      <c r="D5" s="297"/>
      <c r="E5" s="297"/>
      <c r="F5" s="297"/>
      <c r="G5" s="297"/>
      <c r="H5" s="297"/>
    </row>
    <row r="6" spans="1:8">
      <c r="A6" s="131"/>
      <c r="B6" s="131"/>
      <c r="C6" s="131"/>
      <c r="D6" s="131"/>
      <c r="E6" s="131"/>
      <c r="F6" s="132"/>
      <c r="G6" s="145"/>
      <c r="H6" s="145"/>
    </row>
    <row r="7" spans="1:8" ht="12.75" customHeight="1">
      <c r="A7" s="298" t="s">
        <v>2</v>
      </c>
      <c r="B7" s="298"/>
      <c r="C7" s="144"/>
      <c r="D7" s="299" t="s">
        <v>1677</v>
      </c>
      <c r="E7" s="299"/>
      <c r="F7" s="299"/>
      <c r="G7" s="299"/>
      <c r="H7" s="299"/>
    </row>
    <row r="8" spans="1:8" ht="12.75" customHeight="1">
      <c r="A8" s="300" t="s">
        <v>674</v>
      </c>
      <c r="B8" s="300"/>
      <c r="C8" s="300"/>
      <c r="D8" s="301" t="s">
        <v>1678</v>
      </c>
      <c r="E8" s="301"/>
      <c r="F8" s="301"/>
      <c r="G8" s="301"/>
      <c r="H8" s="301"/>
    </row>
    <row r="9" spans="1:8" ht="12.75" customHeight="1">
      <c r="A9" s="298" t="s">
        <v>3</v>
      </c>
      <c r="B9" s="298"/>
      <c r="C9" s="144"/>
      <c r="D9" s="299" t="s">
        <v>1679</v>
      </c>
      <c r="E9" s="299"/>
      <c r="F9" s="299"/>
      <c r="G9" s="299"/>
      <c r="H9" s="299"/>
    </row>
    <row r="10" spans="1:8" ht="12.75" customHeight="1">
      <c r="A10" s="302" t="s">
        <v>4</v>
      </c>
      <c r="B10" s="302"/>
      <c r="C10" s="144"/>
      <c r="D10" s="301" t="s">
        <v>1680</v>
      </c>
      <c r="E10" s="301"/>
      <c r="F10" s="301"/>
      <c r="G10" s="301"/>
      <c r="H10" s="301"/>
    </row>
    <row r="11" spans="1:8" ht="12.75" customHeight="1">
      <c r="A11" s="298" t="s">
        <v>5</v>
      </c>
      <c r="B11" s="298"/>
      <c r="C11" s="144"/>
      <c r="D11" s="299" t="s">
        <v>696</v>
      </c>
      <c r="E11" s="299"/>
      <c r="F11" s="299"/>
      <c r="G11" s="299"/>
      <c r="H11" s="299"/>
    </row>
    <row r="12" spans="1:8" ht="12.75" customHeight="1">
      <c r="A12" s="303" t="s">
        <v>6</v>
      </c>
      <c r="B12" s="303"/>
      <c r="C12" s="144"/>
      <c r="D12" s="301" t="s">
        <v>1692</v>
      </c>
      <c r="E12" s="301"/>
      <c r="F12" s="301"/>
      <c r="G12" s="301"/>
      <c r="H12" s="301"/>
    </row>
    <row r="13" spans="1:8" ht="12.75" customHeight="1">
      <c r="A13" s="299" t="s">
        <v>7</v>
      </c>
      <c r="B13" s="299"/>
      <c r="C13" s="144"/>
      <c r="D13" s="299" t="s">
        <v>1698</v>
      </c>
      <c r="E13" s="299"/>
      <c r="F13" s="299"/>
      <c r="G13" s="299"/>
      <c r="H13" s="299"/>
    </row>
    <row r="14" spans="1:8">
      <c r="A14" s="304" t="s">
        <v>8</v>
      </c>
      <c r="B14" s="304"/>
      <c r="C14" s="144"/>
      <c r="D14" s="305" t="s">
        <v>1699</v>
      </c>
      <c r="E14" s="306"/>
      <c r="F14" s="306"/>
      <c r="G14" s="306"/>
      <c r="H14" s="306"/>
    </row>
    <row r="15" spans="1:8">
      <c r="A15" s="208"/>
      <c r="B15" s="208"/>
      <c r="C15" s="144"/>
      <c r="D15" s="209"/>
      <c r="E15" s="210"/>
      <c r="F15" s="210"/>
      <c r="G15" s="210"/>
      <c r="H15" s="210"/>
    </row>
    <row r="16" spans="1:8">
      <c r="A16" s="133" t="s">
        <v>669</v>
      </c>
      <c r="B16" s="134" t="s">
        <v>670</v>
      </c>
      <c r="D16" s="209"/>
      <c r="E16" s="210"/>
      <c r="F16" s="210"/>
      <c r="G16" s="210"/>
      <c r="H16" s="210"/>
    </row>
    <row r="17" spans="1:8">
      <c r="A17" s="135" t="s">
        <v>31</v>
      </c>
      <c r="B17" s="136" t="s">
        <v>675</v>
      </c>
      <c r="C17" s="144"/>
      <c r="D17" s="145"/>
      <c r="E17" s="145"/>
      <c r="F17" s="145"/>
      <c r="G17" s="145"/>
      <c r="H17" s="145"/>
    </row>
    <row r="18" spans="1:8" ht="32.25" customHeight="1">
      <c r="A18" s="307" t="s">
        <v>676</v>
      </c>
      <c r="B18" s="307" t="s">
        <v>677</v>
      </c>
      <c r="C18" s="307" t="s">
        <v>678</v>
      </c>
      <c r="D18" s="309" t="s">
        <v>679</v>
      </c>
      <c r="E18" s="310"/>
      <c r="F18" s="311"/>
      <c r="G18" s="307" t="s">
        <v>698</v>
      </c>
      <c r="H18" s="307" t="s">
        <v>699</v>
      </c>
    </row>
    <row r="19" spans="1:8" ht="88.65" customHeight="1">
      <c r="A19" s="308"/>
      <c r="B19" s="308"/>
      <c r="C19" s="308"/>
      <c r="D19" s="137" t="s">
        <v>680</v>
      </c>
      <c r="E19" s="137" t="s">
        <v>681</v>
      </c>
      <c r="F19" s="137" t="s">
        <v>682</v>
      </c>
      <c r="G19" s="308"/>
      <c r="H19" s="308"/>
    </row>
    <row r="20" spans="1:8" ht="25.5" customHeight="1">
      <c r="A20" s="138" t="s">
        <v>683</v>
      </c>
      <c r="B20" s="138" t="s">
        <v>684</v>
      </c>
      <c r="C20" s="138" t="s">
        <v>685</v>
      </c>
      <c r="D20" s="139" t="s">
        <v>686</v>
      </c>
      <c r="E20" s="139" t="s">
        <v>687</v>
      </c>
      <c r="F20" s="139" t="s">
        <v>688</v>
      </c>
      <c r="G20" s="140" t="s">
        <v>689</v>
      </c>
      <c r="H20" s="140" t="s">
        <v>690</v>
      </c>
    </row>
    <row r="21" spans="1:8" ht="25.5" customHeight="1">
      <c r="A21" s="240" t="s">
        <v>1650</v>
      </c>
      <c r="B21" s="240" t="s">
        <v>1651</v>
      </c>
      <c r="C21" s="240" t="s">
        <v>1652</v>
      </c>
      <c r="D21" s="243" t="s">
        <v>1653</v>
      </c>
      <c r="E21" s="243" t="s">
        <v>1654</v>
      </c>
      <c r="F21" s="242" t="s">
        <v>1655</v>
      </c>
      <c r="G21" s="242" t="s">
        <v>1656</v>
      </c>
      <c r="H21" s="242" t="s">
        <v>1657</v>
      </c>
    </row>
    <row r="22" spans="1:8" ht="26.4">
      <c r="A22" s="240" t="s">
        <v>1658</v>
      </c>
      <c r="B22" s="240" t="s">
        <v>1659</v>
      </c>
      <c r="C22" s="240" t="s">
        <v>1660</v>
      </c>
      <c r="D22" s="243">
        <v>136140576590</v>
      </c>
      <c r="E22" s="243">
        <v>12105504931135</v>
      </c>
      <c r="F22" s="242">
        <v>1.1246170842477662E-2</v>
      </c>
      <c r="G22" s="242"/>
      <c r="H22" s="242"/>
    </row>
    <row r="23" spans="1:8" s="254" customFormat="1" ht="26.4">
      <c r="A23" s="251" t="s">
        <v>1661</v>
      </c>
      <c r="B23" s="255" t="s">
        <v>1697</v>
      </c>
      <c r="C23" s="251" t="s">
        <v>1662</v>
      </c>
      <c r="D23" s="252">
        <v>1233595092150</v>
      </c>
      <c r="E23" s="252">
        <v>12105504931135</v>
      </c>
      <c r="F23" s="242">
        <v>0.10190364624752082</v>
      </c>
      <c r="G23" s="253">
        <v>1.5E-3</v>
      </c>
      <c r="H23" s="253" t="s">
        <v>1663</v>
      </c>
    </row>
    <row r="24" spans="1:8" ht="26.4">
      <c r="A24" s="240" t="s">
        <v>444</v>
      </c>
      <c r="B24" s="240" t="s">
        <v>1693</v>
      </c>
      <c r="C24" s="240" t="s">
        <v>1664</v>
      </c>
      <c r="D24" s="243">
        <v>911717778000</v>
      </c>
      <c r="E24" s="243">
        <v>12105504931135</v>
      </c>
      <c r="F24" s="242">
        <v>7.5314312222953123E-2</v>
      </c>
      <c r="G24" s="242">
        <v>1.5E-3</v>
      </c>
      <c r="H24" s="242" t="s">
        <v>1665</v>
      </c>
    </row>
    <row r="25" spans="1:8" ht="26.4">
      <c r="A25" s="251" t="s">
        <v>509</v>
      </c>
      <c r="B25" s="240" t="s">
        <v>1694</v>
      </c>
      <c r="C25" s="240" t="s">
        <v>1666</v>
      </c>
      <c r="D25" s="243">
        <v>2779604721100</v>
      </c>
      <c r="E25" s="243">
        <v>12105504931135</v>
      </c>
      <c r="F25" s="242">
        <v>0.22961493443788034</v>
      </c>
      <c r="G25" s="242">
        <v>1.4989999999999999E-3</v>
      </c>
      <c r="H25" s="242" t="s">
        <v>1667</v>
      </c>
    </row>
    <row r="26" spans="1:8" ht="26.4">
      <c r="A26" s="240" t="s">
        <v>512</v>
      </c>
      <c r="B26" s="240" t="s">
        <v>1695</v>
      </c>
      <c r="C26" s="240" t="s">
        <v>1668</v>
      </c>
      <c r="D26" s="243">
        <v>894385462000</v>
      </c>
      <c r="E26" s="243">
        <v>12105504931135</v>
      </c>
      <c r="F26" s="242">
        <v>7.3882540801719646E-2</v>
      </c>
      <c r="G26" s="242">
        <v>1.5E-3</v>
      </c>
      <c r="H26" s="242" t="s">
        <v>1669</v>
      </c>
    </row>
    <row r="27" spans="1:8" ht="26.4">
      <c r="A27" s="251" t="s">
        <v>515</v>
      </c>
      <c r="B27" s="257" t="s">
        <v>1702</v>
      </c>
      <c r="C27" s="240" t="s">
        <v>1670</v>
      </c>
      <c r="D27" s="243">
        <v>4170778654150</v>
      </c>
      <c r="E27" s="243">
        <v>12105504931135</v>
      </c>
      <c r="F27" s="242">
        <v>0.34453570320911447</v>
      </c>
      <c r="G27" s="242">
        <v>1.5E-3</v>
      </c>
      <c r="H27" s="242" t="s">
        <v>1671</v>
      </c>
    </row>
    <row r="28" spans="1:8" ht="26.4">
      <c r="A28" s="240" t="s">
        <v>535</v>
      </c>
      <c r="B28" s="240" t="s">
        <v>1696</v>
      </c>
      <c r="C28" s="240" t="s">
        <v>1672</v>
      </c>
      <c r="D28" s="243">
        <v>1979282647145</v>
      </c>
      <c r="E28" s="243">
        <v>12105504931135</v>
      </c>
      <c r="F28" s="242">
        <v>0.16350269223833397</v>
      </c>
      <c r="G28" s="242">
        <v>6.1200000000000002E-4</v>
      </c>
      <c r="H28" s="242" t="s">
        <v>1673</v>
      </c>
    </row>
    <row r="29" spans="1:8">
      <c r="A29" s="240"/>
      <c r="B29" s="240" t="s">
        <v>1674</v>
      </c>
      <c r="C29" s="240"/>
      <c r="D29" s="243">
        <v>12105504931135</v>
      </c>
      <c r="E29" s="243">
        <v>12105504931135</v>
      </c>
      <c r="F29" s="242">
        <v>1</v>
      </c>
      <c r="G29" s="242"/>
      <c r="H29" s="242"/>
    </row>
    <row r="30" spans="1:8" ht="25.5" customHeight="1">
      <c r="A30" s="216"/>
      <c r="B30" s="216"/>
      <c r="C30" s="216"/>
      <c r="D30" s="216"/>
      <c r="E30" s="216"/>
      <c r="F30" s="216"/>
      <c r="G30" s="216"/>
      <c r="H30" s="216"/>
    </row>
    <row r="31" spans="1:8" ht="25.5" customHeight="1">
      <c r="A31" s="142"/>
      <c r="B31" s="142"/>
      <c r="C31" s="142"/>
      <c r="D31" s="143"/>
      <c r="E31" s="143"/>
      <c r="F31" s="143"/>
      <c r="G31" s="143"/>
      <c r="H31" s="143"/>
    </row>
    <row r="32" spans="1:8" ht="25.5" customHeight="1">
      <c r="A32" s="312" t="s">
        <v>709</v>
      </c>
      <c r="B32" s="312"/>
      <c r="C32" s="312"/>
      <c r="D32" s="312"/>
      <c r="E32" s="312"/>
      <c r="F32" s="312"/>
      <c r="G32" s="312"/>
      <c r="H32" s="312"/>
    </row>
    <row r="33" spans="1:8">
      <c r="A33" s="144"/>
      <c r="B33" s="144"/>
      <c r="C33" s="144"/>
      <c r="D33" s="145"/>
      <c r="E33" s="145"/>
      <c r="F33" s="145"/>
      <c r="G33" s="145"/>
      <c r="H33" s="145"/>
    </row>
    <row r="34" spans="1:8">
      <c r="A34" s="144"/>
      <c r="B34" s="144"/>
      <c r="C34" s="144"/>
      <c r="D34" s="145"/>
      <c r="E34" s="145"/>
      <c r="F34" s="145"/>
      <c r="G34" s="145"/>
      <c r="H34" s="145"/>
    </row>
    <row r="35" spans="1:8">
      <c r="A35" s="146" t="s">
        <v>10</v>
      </c>
      <c r="B35" s="144"/>
      <c r="C35" s="147"/>
      <c r="D35" s="148"/>
      <c r="E35" s="148"/>
      <c r="F35" s="149"/>
      <c r="G35" s="150" t="s">
        <v>11</v>
      </c>
      <c r="H35" s="148"/>
    </row>
    <row r="36" spans="1:8">
      <c r="A36" s="151" t="s">
        <v>12</v>
      </c>
      <c r="B36" s="144"/>
      <c r="C36" s="147"/>
      <c r="D36" s="148"/>
      <c r="E36" s="148"/>
      <c r="F36" s="152"/>
      <c r="G36" s="153" t="s">
        <v>13</v>
      </c>
      <c r="H36" s="148"/>
    </row>
    <row r="37" spans="1:8">
      <c r="A37" s="151"/>
      <c r="B37" s="144"/>
      <c r="C37" s="147"/>
      <c r="D37" s="148"/>
      <c r="E37" s="148"/>
      <c r="F37" s="152"/>
      <c r="G37" s="153"/>
      <c r="H37" s="148"/>
    </row>
    <row r="38" spans="1:8">
      <c r="A38" s="151"/>
      <c r="B38" s="144"/>
      <c r="C38" s="147"/>
      <c r="D38" s="148"/>
      <c r="E38" s="148"/>
      <c r="F38" s="152"/>
      <c r="G38" s="153"/>
      <c r="H38" s="148"/>
    </row>
    <row r="39" spans="1:8">
      <c r="A39" s="151"/>
      <c r="B39" s="144"/>
      <c r="C39" s="147"/>
      <c r="D39" s="148"/>
      <c r="E39" s="148"/>
      <c r="F39" s="152"/>
      <c r="G39" s="153"/>
      <c r="H39" s="148"/>
    </row>
    <row r="40" spans="1:8">
      <c r="A40" s="151"/>
      <c r="B40" s="144"/>
      <c r="C40" s="147"/>
      <c r="D40" s="148"/>
      <c r="E40" s="148"/>
      <c r="F40" s="152"/>
      <c r="G40" s="153"/>
      <c r="H40" s="148"/>
    </row>
    <row r="41" spans="1:8">
      <c r="A41" s="151"/>
      <c r="B41" s="144"/>
      <c r="C41" s="147"/>
      <c r="D41" s="148"/>
      <c r="E41" s="148"/>
      <c r="F41" s="152"/>
      <c r="G41" s="153"/>
      <c r="H41" s="148"/>
    </row>
    <row r="42" spans="1:8">
      <c r="A42" s="151"/>
      <c r="B42" s="144"/>
      <c r="C42" s="147"/>
      <c r="D42" s="148"/>
      <c r="E42" s="148"/>
      <c r="F42" s="152"/>
      <c r="G42" s="153"/>
      <c r="H42" s="148"/>
    </row>
    <row r="43" spans="1:8">
      <c r="A43" s="144"/>
      <c r="B43" s="144"/>
      <c r="C43" s="147"/>
      <c r="D43" s="148"/>
      <c r="E43" s="148"/>
      <c r="F43" s="154"/>
      <c r="G43" s="147"/>
      <c r="H43" s="148"/>
    </row>
    <row r="44" spans="1:8">
      <c r="A44" s="144"/>
      <c r="B44" s="144"/>
      <c r="C44" s="147"/>
      <c r="D44" s="148"/>
      <c r="E44" s="148"/>
      <c r="F44" s="154"/>
      <c r="G44" s="147"/>
      <c r="H44" s="148"/>
    </row>
    <row r="45" spans="1:8">
      <c r="A45" s="144"/>
      <c r="B45" s="144"/>
      <c r="C45" s="147"/>
      <c r="D45" s="148"/>
      <c r="E45" s="148"/>
      <c r="F45" s="154"/>
      <c r="G45" s="147"/>
      <c r="H45" s="148"/>
    </row>
    <row r="46" spans="1:8">
      <c r="A46" s="144"/>
      <c r="B46" s="144"/>
      <c r="C46" s="147"/>
      <c r="D46" s="148"/>
      <c r="E46" s="148"/>
      <c r="F46" s="154"/>
      <c r="G46" s="147"/>
      <c r="H46" s="148"/>
    </row>
    <row r="47" spans="1:8">
      <c r="A47" s="144"/>
      <c r="B47" s="144"/>
      <c r="C47" s="154"/>
      <c r="D47" s="148"/>
      <c r="E47" s="148"/>
      <c r="F47" s="154"/>
      <c r="G47" s="155"/>
      <c r="H47" s="217"/>
    </row>
    <row r="48" spans="1:8">
      <c r="A48" s="313" t="s">
        <v>14</v>
      </c>
      <c r="B48" s="313"/>
      <c r="C48" s="154"/>
      <c r="D48" s="148"/>
      <c r="E48" s="148"/>
      <c r="F48" s="149"/>
      <c r="G48" s="207" t="s">
        <v>1677</v>
      </c>
      <c r="H48" s="218"/>
    </row>
    <row r="49" spans="1:8">
      <c r="A49" s="314" t="s">
        <v>1681</v>
      </c>
      <c r="B49" s="314"/>
      <c r="C49" s="147"/>
      <c r="D49" s="148"/>
      <c r="E49" s="148"/>
      <c r="F49" s="149"/>
      <c r="G49" s="315" t="s">
        <v>1682</v>
      </c>
      <c r="H49" s="315"/>
    </row>
    <row r="50" spans="1:8">
      <c r="A50" s="316" t="s">
        <v>1701</v>
      </c>
      <c r="B50" s="316"/>
      <c r="C50" s="147"/>
      <c r="D50" s="148"/>
      <c r="E50" s="148"/>
      <c r="F50" s="154"/>
      <c r="G50" s="317" t="s">
        <v>1683</v>
      </c>
      <c r="H50" s="317"/>
    </row>
    <row r="51" spans="1:8">
      <c r="A51" s="144"/>
      <c r="B51" s="144"/>
      <c r="C51" s="144"/>
      <c r="D51" s="145"/>
      <c r="E51" s="145"/>
      <c r="F51" s="145"/>
      <c r="G51" s="145"/>
      <c r="H51" s="145"/>
    </row>
    <row r="52" spans="1:8">
      <c r="A52" s="144"/>
      <c r="B52" s="144"/>
      <c r="C52" s="144"/>
      <c r="D52" s="145"/>
      <c r="E52" s="145"/>
      <c r="F52" s="145"/>
      <c r="G52" s="145"/>
      <c r="H52" s="145"/>
    </row>
    <row r="53" spans="1:8">
      <c r="A53" s="144"/>
      <c r="B53" s="144"/>
      <c r="C53" s="144"/>
      <c r="D53" s="145"/>
      <c r="E53" s="145"/>
      <c r="F53" s="145"/>
      <c r="G53" s="145"/>
      <c r="H53" s="145"/>
    </row>
    <row r="54" spans="1:8">
      <c r="A54" s="144"/>
      <c r="B54" s="144"/>
      <c r="C54" s="144"/>
      <c r="D54" s="145"/>
      <c r="E54" s="145"/>
      <c r="F54" s="145"/>
      <c r="G54" s="145"/>
      <c r="H54" s="145"/>
    </row>
    <row r="55" spans="1:8">
      <c r="A55" s="144"/>
      <c r="B55" s="144"/>
      <c r="C55" s="144"/>
      <c r="D55" s="145"/>
      <c r="E55" s="145"/>
      <c r="F55" s="145"/>
      <c r="G55" s="145"/>
      <c r="H55" s="145"/>
    </row>
  </sheetData>
  <mergeCells count="32">
    <mergeCell ref="A32:H32"/>
    <mergeCell ref="A48:B48"/>
    <mergeCell ref="A49:B49"/>
    <mergeCell ref="G49:H49"/>
    <mergeCell ref="A50:B50"/>
    <mergeCell ref="G50:H50"/>
    <mergeCell ref="A14:B14"/>
    <mergeCell ref="D14:H14"/>
    <mergeCell ref="A18:A19"/>
    <mergeCell ref="B18:B19"/>
    <mergeCell ref="C18:C19"/>
    <mergeCell ref="D18:F18"/>
    <mergeCell ref="G18:G19"/>
    <mergeCell ref="H18:H19"/>
    <mergeCell ref="A11:B11"/>
    <mergeCell ref="D11:H11"/>
    <mergeCell ref="A12:B12"/>
    <mergeCell ref="D12:H12"/>
    <mergeCell ref="A13:B13"/>
    <mergeCell ref="D13:H13"/>
    <mergeCell ref="A8:C8"/>
    <mergeCell ref="D8:H8"/>
    <mergeCell ref="A9:B9"/>
    <mergeCell ref="D9:H9"/>
    <mergeCell ref="A10:B10"/>
    <mergeCell ref="D10:H10"/>
    <mergeCell ref="A1:H1"/>
    <mergeCell ref="A2:H2"/>
    <mergeCell ref="A3:H4"/>
    <mergeCell ref="A5:H5"/>
    <mergeCell ref="A7:B7"/>
    <mergeCell ref="D7:H7"/>
  </mergeCells>
  <phoneticPr fontId="32" type="noConversion"/>
  <pageMargins left="0.7" right="0.7" top="0.75" bottom="0.75" header="0.3" footer="0.3"/>
  <pageSetup scale="43" fitToHeight="0" orientation="landscape" horizontalDpi="4294967295" verticalDpi="4294967295"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55" zoomScaleNormal="85" zoomScaleSheetLayoutView="55" workbookViewId="0">
      <selection activeCell="E35" sqref="E35"/>
    </sheetView>
  </sheetViews>
  <sheetFormatPr defaultColWidth="9.109375" defaultRowHeight="13.8"/>
  <cols>
    <col min="1" max="1" width="4.88671875" style="215" customWidth="1"/>
    <col min="2" max="2" width="34.44140625" style="212" customWidth="1"/>
    <col min="3" max="3" width="14.44140625" style="212" customWidth="1"/>
    <col min="4" max="4" width="11.88671875" style="212" customWidth="1"/>
    <col min="5" max="5" width="12.33203125" style="212" customWidth="1"/>
    <col min="6" max="6" width="12.5546875" style="212" customWidth="1"/>
    <col min="7" max="7" width="16.44140625" style="212" customWidth="1"/>
    <col min="8" max="9" width="19" style="212" customWidth="1"/>
    <col min="10" max="10" width="43.5546875" style="212" customWidth="1"/>
    <col min="11" max="16384" width="9.109375" style="212"/>
  </cols>
  <sheetData>
    <row r="1" spans="1:10" s="211" customFormat="1" ht="46.5" customHeight="1">
      <c r="A1" s="328" t="s">
        <v>671</v>
      </c>
      <c r="B1" s="328"/>
      <c r="C1" s="328"/>
      <c r="D1" s="328"/>
      <c r="E1" s="328"/>
      <c r="F1" s="328"/>
      <c r="G1" s="328"/>
      <c r="H1" s="328"/>
      <c r="I1" s="328"/>
      <c r="J1" s="328"/>
    </row>
    <row r="2" spans="1:10" ht="48.9" customHeight="1">
      <c r="A2" s="329" t="s">
        <v>691</v>
      </c>
      <c r="B2" s="329"/>
      <c r="C2" s="329"/>
      <c r="D2" s="329"/>
      <c r="E2" s="329"/>
      <c r="F2" s="329"/>
      <c r="G2" s="329"/>
      <c r="H2" s="329"/>
      <c r="I2" s="329"/>
      <c r="J2" s="329"/>
    </row>
    <row r="3" spans="1:10" ht="19.2" customHeight="1">
      <c r="A3" s="330" t="s">
        <v>622</v>
      </c>
      <c r="B3" s="330"/>
      <c r="C3" s="330"/>
      <c r="D3" s="330"/>
      <c r="E3" s="330"/>
      <c r="F3" s="330"/>
      <c r="G3" s="330"/>
      <c r="H3" s="330"/>
      <c r="I3" s="330"/>
      <c r="J3" s="330"/>
    </row>
    <row r="4" spans="1:10" ht="21.6" customHeight="1">
      <c r="A4" s="330"/>
      <c r="B4" s="330"/>
      <c r="C4" s="330"/>
      <c r="D4" s="330"/>
      <c r="E4" s="330"/>
      <c r="F4" s="330"/>
      <c r="G4" s="330"/>
      <c r="H4" s="330"/>
      <c r="I4" s="330"/>
      <c r="J4" s="330"/>
    </row>
    <row r="5" spans="1:10">
      <c r="A5" s="331" t="str">
        <f>TONGQUAN!C2</f>
        <v>Năm 2023
/ Year 2023</v>
      </c>
      <c r="B5" s="331"/>
      <c r="C5" s="331"/>
      <c r="D5" s="331"/>
      <c r="E5" s="331"/>
      <c r="F5" s="331"/>
      <c r="G5" s="331"/>
      <c r="H5" s="331"/>
      <c r="I5" s="331"/>
      <c r="J5" s="331"/>
    </row>
    <row r="6" spans="1:10">
      <c r="A6" s="203"/>
      <c r="B6" s="203"/>
      <c r="C6" s="203"/>
      <c r="D6" s="203"/>
      <c r="E6" s="203"/>
      <c r="F6" s="88"/>
      <c r="G6" s="213"/>
      <c r="H6" s="213"/>
      <c r="I6" s="213"/>
      <c r="J6" s="213"/>
    </row>
    <row r="7" spans="1:10">
      <c r="A7" s="332" t="s">
        <v>2</v>
      </c>
      <c r="B7" s="333"/>
      <c r="C7" s="213"/>
      <c r="D7" s="213"/>
      <c r="E7" s="213"/>
      <c r="F7" s="213"/>
      <c r="G7" s="322" t="str">
        <f>TONGQUAN!D5</f>
        <v>Công ty Cổ phần Quản lý Quỹ Đầu tư Dragon Capital Việt Nam</v>
      </c>
      <c r="H7" s="322"/>
      <c r="I7" s="322"/>
      <c r="J7" s="322"/>
    </row>
    <row r="8" spans="1:10" ht="15" customHeight="1">
      <c r="A8" s="325" t="s">
        <v>15</v>
      </c>
      <c r="B8" s="325"/>
      <c r="C8" s="213"/>
      <c r="D8" s="213"/>
      <c r="E8" s="213"/>
      <c r="F8" s="213"/>
      <c r="G8" s="323" t="str">
        <f>TONGQUAN!D6</f>
        <v>Dragon Capital Vietfund Management Joint Stock Company</v>
      </c>
      <c r="H8" s="323"/>
      <c r="I8" s="323"/>
      <c r="J8" s="323"/>
    </row>
    <row r="9" spans="1:10">
      <c r="A9" s="320" t="s">
        <v>3</v>
      </c>
      <c r="B9" s="326"/>
      <c r="C9" s="213"/>
      <c r="D9" s="213"/>
      <c r="E9" s="213"/>
      <c r="F9" s="213"/>
      <c r="G9" s="327" t="str">
        <f>TONGQUAN!D7</f>
        <v>Ngân hàng TNHH Một thành viên Standard Chartered (Việt Nam)</v>
      </c>
      <c r="H9" s="327"/>
      <c r="I9" s="327"/>
      <c r="J9" s="327"/>
    </row>
    <row r="10" spans="1:10" ht="15" customHeight="1">
      <c r="A10" s="326" t="s">
        <v>4</v>
      </c>
      <c r="B10" s="326"/>
      <c r="C10" s="213"/>
      <c r="D10" s="213"/>
      <c r="E10" s="213"/>
      <c r="F10" s="213"/>
      <c r="G10" s="323" t="str">
        <f>TONGQUAN!D8</f>
        <v>Standard Chartered Bank (Vietnam) Limited</v>
      </c>
      <c r="H10" s="323"/>
      <c r="I10" s="323"/>
      <c r="J10" s="323"/>
    </row>
    <row r="11" spans="1:10" ht="15" customHeight="1">
      <c r="A11" s="320" t="s">
        <v>5</v>
      </c>
      <c r="B11" s="321"/>
      <c r="C11" s="213"/>
      <c r="D11" s="213"/>
      <c r="E11" s="213"/>
      <c r="F11" s="213"/>
      <c r="G11" s="322" t="str">
        <f>TONGQUAN!D9</f>
        <v>Quỹ Đầu tư Chứng khoán Năng động DC</v>
      </c>
      <c r="H11" s="322"/>
      <c r="I11" s="322"/>
      <c r="J11" s="322"/>
    </row>
    <row r="12" spans="1:10" ht="15" customHeight="1">
      <c r="A12" s="89" t="s">
        <v>609</v>
      </c>
      <c r="B12" s="204"/>
      <c r="C12" s="213"/>
      <c r="D12" s="213"/>
      <c r="E12" s="213"/>
      <c r="F12" s="213"/>
      <c r="G12" s="323" t="str">
        <f>TONGQUAN!D10</f>
        <v>DC Dynamic Securities Fund(DCDS)</v>
      </c>
      <c r="H12" s="323"/>
      <c r="I12" s="323"/>
      <c r="J12" s="323"/>
    </row>
    <row r="13" spans="1:10" ht="15" customHeight="1">
      <c r="A13" s="90" t="s">
        <v>7</v>
      </c>
      <c r="B13" s="91"/>
      <c r="C13" s="213"/>
      <c r="D13" s="213"/>
      <c r="E13" s="213"/>
      <c r="F13" s="213"/>
      <c r="G13" s="322" t="str">
        <f>TONGQUAN!D11</f>
        <v>Ngày 08 tháng 03 năm 2024</v>
      </c>
      <c r="H13" s="322"/>
      <c r="I13" s="322"/>
      <c r="J13" s="322"/>
    </row>
    <row r="14" spans="1:10">
      <c r="A14" s="92" t="s">
        <v>8</v>
      </c>
      <c r="B14" s="92"/>
      <c r="C14" s="94"/>
      <c r="D14" s="94"/>
      <c r="E14" s="94"/>
      <c r="F14" s="94"/>
      <c r="G14" s="324" t="str">
        <f>TONGQUAN!D12</f>
        <v>08 Mar 2024</v>
      </c>
      <c r="H14" s="324"/>
      <c r="I14" s="324"/>
      <c r="J14" s="324"/>
    </row>
    <row r="15" spans="1:10">
      <c r="A15" s="126" t="s">
        <v>669</v>
      </c>
      <c r="B15" s="127" t="s">
        <v>670</v>
      </c>
      <c r="C15" s="94"/>
      <c r="D15" s="94"/>
      <c r="E15" s="94"/>
      <c r="F15" s="94"/>
      <c r="G15" s="205"/>
      <c r="H15" s="205"/>
      <c r="I15" s="205"/>
      <c r="J15" s="205"/>
    </row>
    <row r="16" spans="1:10">
      <c r="A16" s="104" t="s">
        <v>29</v>
      </c>
      <c r="B16" s="105" t="s">
        <v>625</v>
      </c>
      <c r="C16" s="94"/>
      <c r="D16" s="94"/>
      <c r="E16" s="94"/>
      <c r="F16" s="94"/>
      <c r="G16" s="94"/>
      <c r="H16" s="94"/>
      <c r="I16" s="94"/>
      <c r="J16" s="94"/>
    </row>
    <row r="17" spans="1:10" s="93" customFormat="1" ht="36" customHeight="1">
      <c r="A17" s="318" t="s">
        <v>252</v>
      </c>
      <c r="B17" s="318" t="s">
        <v>660</v>
      </c>
      <c r="C17" s="318" t="s">
        <v>661</v>
      </c>
      <c r="D17" s="318" t="s">
        <v>662</v>
      </c>
      <c r="E17" s="318" t="s">
        <v>663</v>
      </c>
      <c r="F17" s="318" t="s">
        <v>664</v>
      </c>
      <c r="G17" s="318" t="s">
        <v>665</v>
      </c>
      <c r="H17" s="319"/>
      <c r="I17" s="318" t="s">
        <v>692</v>
      </c>
      <c r="J17" s="319"/>
    </row>
    <row r="18" spans="1:10" s="93" customFormat="1" ht="87" customHeight="1">
      <c r="A18" s="319"/>
      <c r="B18" s="319"/>
      <c r="C18" s="319"/>
      <c r="D18" s="319"/>
      <c r="E18" s="319"/>
      <c r="F18" s="319"/>
      <c r="G18" s="206" t="s">
        <v>666</v>
      </c>
      <c r="H18" s="206" t="s">
        <v>667</v>
      </c>
      <c r="I18" s="206" t="s">
        <v>666</v>
      </c>
      <c r="J18" s="206" t="s">
        <v>668</v>
      </c>
    </row>
    <row r="19" spans="1:10" s="93" customFormat="1" ht="45.75" customHeight="1">
      <c r="A19" s="240" t="s">
        <v>1281</v>
      </c>
      <c r="B19" s="240" t="s">
        <v>1282</v>
      </c>
      <c r="C19" s="240"/>
      <c r="D19" s="240"/>
      <c r="E19" s="240"/>
      <c r="F19" s="243"/>
      <c r="G19" s="240"/>
      <c r="H19" s="242"/>
      <c r="I19" s="240"/>
      <c r="J19" s="242"/>
    </row>
    <row r="20" spans="1:10">
      <c r="A20" s="240" t="s">
        <v>1283</v>
      </c>
      <c r="B20" s="240" t="s">
        <v>1284</v>
      </c>
      <c r="C20" s="240" t="s">
        <v>1285</v>
      </c>
      <c r="D20" s="240" t="s">
        <v>1286</v>
      </c>
      <c r="E20" s="240" t="s">
        <v>1287</v>
      </c>
      <c r="F20" s="243" t="s">
        <v>1288</v>
      </c>
      <c r="G20" s="240" t="s">
        <v>1289</v>
      </c>
      <c r="H20" s="242" t="s">
        <v>1290</v>
      </c>
      <c r="I20" s="240" t="s">
        <v>1291</v>
      </c>
      <c r="J20" s="242" t="s">
        <v>1292</v>
      </c>
    </row>
    <row r="21" spans="1:10" ht="26.4">
      <c r="A21" s="245" t="s">
        <v>1293</v>
      </c>
      <c r="B21" s="245" t="s">
        <v>1294</v>
      </c>
      <c r="C21" s="245"/>
      <c r="D21" s="245"/>
      <c r="E21" s="245"/>
      <c r="F21" s="247">
        <v>0</v>
      </c>
      <c r="G21" s="245"/>
      <c r="H21" s="246">
        <v>0</v>
      </c>
      <c r="I21" s="245"/>
      <c r="J21" s="246">
        <v>0</v>
      </c>
    </row>
    <row r="22" spans="1:10" ht="26.4">
      <c r="A22" s="240" t="s">
        <v>1295</v>
      </c>
      <c r="B22" s="240" t="s">
        <v>1296</v>
      </c>
      <c r="C22" s="240"/>
      <c r="D22" s="240"/>
      <c r="E22" s="240"/>
      <c r="F22" s="243"/>
      <c r="G22" s="240"/>
      <c r="H22" s="242"/>
      <c r="I22" s="240"/>
      <c r="J22" s="242"/>
    </row>
    <row r="23" spans="1:10">
      <c r="A23" s="240" t="s">
        <v>1297</v>
      </c>
      <c r="B23" s="240" t="s">
        <v>1298</v>
      </c>
      <c r="C23" s="240" t="s">
        <v>1299</v>
      </c>
      <c r="D23" s="240" t="s">
        <v>1300</v>
      </c>
      <c r="E23" s="240" t="s">
        <v>1301</v>
      </c>
      <c r="F23" s="243" t="s">
        <v>1302</v>
      </c>
      <c r="G23" s="240" t="s">
        <v>1303</v>
      </c>
      <c r="H23" s="242" t="s">
        <v>1304</v>
      </c>
      <c r="I23" s="240" t="s">
        <v>1305</v>
      </c>
      <c r="J23" s="242" t="s">
        <v>1306</v>
      </c>
    </row>
    <row r="24" spans="1:10" ht="26.4">
      <c r="A24" s="245" t="s">
        <v>1307</v>
      </c>
      <c r="B24" s="245" t="s">
        <v>1308</v>
      </c>
      <c r="C24" s="245"/>
      <c r="D24" s="245"/>
      <c r="E24" s="245"/>
      <c r="F24" s="247">
        <v>0</v>
      </c>
      <c r="G24" s="245"/>
      <c r="H24" s="246">
        <v>0</v>
      </c>
      <c r="I24" s="245"/>
      <c r="J24" s="246">
        <v>0</v>
      </c>
    </row>
    <row r="25" spans="1:10" ht="26.4">
      <c r="A25" s="245" t="s">
        <v>1309</v>
      </c>
      <c r="B25" s="245" t="s">
        <v>1310</v>
      </c>
      <c r="C25" s="245"/>
      <c r="D25" s="245"/>
      <c r="E25" s="245"/>
      <c r="F25" s="247">
        <v>0</v>
      </c>
      <c r="G25" s="245"/>
      <c r="H25" s="246">
        <v>0</v>
      </c>
      <c r="I25" s="245"/>
      <c r="J25" s="246">
        <v>0</v>
      </c>
    </row>
    <row r="26" spans="1:10" ht="26.4">
      <c r="A26" s="240" t="s">
        <v>1311</v>
      </c>
      <c r="B26" s="240" t="s">
        <v>1312</v>
      </c>
      <c r="C26" s="240"/>
      <c r="D26" s="240"/>
      <c r="E26" s="240"/>
      <c r="F26" s="243"/>
      <c r="G26" s="240"/>
      <c r="H26" s="242"/>
      <c r="I26" s="240"/>
      <c r="J26" s="242"/>
    </row>
    <row r="27" spans="1:10">
      <c r="A27" s="240" t="s">
        <v>1313</v>
      </c>
      <c r="B27" s="240" t="s">
        <v>1314</v>
      </c>
      <c r="C27" s="240" t="s">
        <v>1315</v>
      </c>
      <c r="D27" s="240" t="s">
        <v>1316</v>
      </c>
      <c r="E27" s="240" t="s">
        <v>1317</v>
      </c>
      <c r="F27" s="243" t="s">
        <v>1318</v>
      </c>
      <c r="G27" s="240" t="s">
        <v>1319</v>
      </c>
      <c r="H27" s="242" t="s">
        <v>1320</v>
      </c>
      <c r="I27" s="240" t="s">
        <v>1321</v>
      </c>
      <c r="J27" s="242" t="s">
        <v>1322</v>
      </c>
    </row>
    <row r="28" spans="1:10" ht="26.4">
      <c r="A28" s="245" t="s">
        <v>1323</v>
      </c>
      <c r="B28" s="245" t="s">
        <v>1324</v>
      </c>
      <c r="C28" s="245"/>
      <c r="D28" s="245"/>
      <c r="E28" s="245"/>
      <c r="F28" s="247">
        <v>0</v>
      </c>
      <c r="G28" s="245"/>
      <c r="H28" s="246">
        <v>0</v>
      </c>
      <c r="I28" s="245"/>
      <c r="J28" s="246">
        <v>0</v>
      </c>
    </row>
    <row r="29" spans="1:10" ht="26.4">
      <c r="A29" s="240" t="s">
        <v>1325</v>
      </c>
      <c r="B29" s="240" t="s">
        <v>1326</v>
      </c>
      <c r="C29" s="240"/>
      <c r="D29" s="240"/>
      <c r="E29" s="240"/>
      <c r="F29" s="243"/>
      <c r="G29" s="240"/>
      <c r="H29" s="242"/>
      <c r="I29" s="240"/>
      <c r="J29" s="242"/>
    </row>
    <row r="30" spans="1:10">
      <c r="A30" s="240" t="s">
        <v>1327</v>
      </c>
      <c r="B30" s="240" t="s">
        <v>1328</v>
      </c>
      <c r="C30" s="240" t="s">
        <v>1329</v>
      </c>
      <c r="D30" s="240" t="s">
        <v>1330</v>
      </c>
      <c r="E30" s="240" t="s">
        <v>1331</v>
      </c>
      <c r="F30" s="243" t="s">
        <v>1332</v>
      </c>
      <c r="G30" s="240" t="s">
        <v>1333</v>
      </c>
      <c r="H30" s="242" t="s">
        <v>1334</v>
      </c>
      <c r="I30" s="240" t="s">
        <v>1335</v>
      </c>
      <c r="J30" s="242" t="s">
        <v>1336</v>
      </c>
    </row>
    <row r="31" spans="1:10" ht="26.4">
      <c r="A31" s="245" t="s">
        <v>1337</v>
      </c>
      <c r="B31" s="245" t="s">
        <v>1338</v>
      </c>
      <c r="C31" s="245"/>
      <c r="D31" s="245"/>
      <c r="E31" s="245"/>
      <c r="F31" s="247">
        <v>0</v>
      </c>
      <c r="G31" s="245"/>
      <c r="H31" s="246">
        <v>0</v>
      </c>
      <c r="I31" s="245"/>
      <c r="J31" s="246">
        <v>0</v>
      </c>
    </row>
    <row r="32" spans="1:10" ht="39.6">
      <c r="A32" s="245" t="s">
        <v>1339</v>
      </c>
      <c r="B32" s="245" t="s">
        <v>1340</v>
      </c>
      <c r="C32" s="245"/>
      <c r="D32" s="245"/>
      <c r="E32" s="245"/>
      <c r="F32" s="247">
        <v>0</v>
      </c>
      <c r="G32" s="245"/>
      <c r="H32" s="246">
        <v>0</v>
      </c>
      <c r="I32" s="245"/>
      <c r="J32" s="246">
        <v>0</v>
      </c>
    </row>
    <row r="33" spans="1:10" s="214" customFormat="1" ht="45.75" customHeight="1">
      <c r="A33" s="95" t="s">
        <v>10</v>
      </c>
      <c r="B33" s="96"/>
      <c r="C33" s="97"/>
      <c r="D33" s="94"/>
      <c r="E33" s="94"/>
      <c r="F33" s="94"/>
      <c r="G33" s="94"/>
      <c r="H33" s="94"/>
      <c r="I33" s="98" t="s">
        <v>11</v>
      </c>
      <c r="J33" s="94"/>
    </row>
    <row r="34" spans="1:10">
      <c r="A34" s="99" t="s">
        <v>12</v>
      </c>
      <c r="B34" s="96"/>
      <c r="C34" s="97"/>
      <c r="D34" s="94"/>
      <c r="E34" s="94"/>
      <c r="F34" s="94"/>
      <c r="G34" s="94"/>
      <c r="H34" s="94"/>
      <c r="I34" s="100" t="s">
        <v>13</v>
      </c>
      <c r="J34" s="94"/>
    </row>
    <row r="35" spans="1:10">
      <c r="A35" s="96"/>
      <c r="B35" s="96"/>
      <c r="C35" s="97"/>
      <c r="D35" s="213"/>
      <c r="E35" s="213"/>
      <c r="F35" s="213"/>
      <c r="G35" s="213"/>
      <c r="H35" s="213"/>
      <c r="I35" s="97"/>
      <c r="J35" s="213"/>
    </row>
    <row r="36" spans="1:10">
      <c r="A36" s="220"/>
      <c r="B36" s="213"/>
      <c r="C36" s="213"/>
      <c r="D36" s="213"/>
      <c r="E36" s="213"/>
      <c r="F36" s="213"/>
      <c r="G36" s="94"/>
      <c r="H36" s="213"/>
      <c r="I36" s="213"/>
      <c r="J36" s="213"/>
    </row>
    <row r="37" spans="1:10">
      <c r="A37" s="220"/>
      <c r="B37" s="213"/>
      <c r="C37" s="213"/>
      <c r="D37" s="213"/>
      <c r="E37" s="213"/>
      <c r="F37" s="213"/>
      <c r="G37" s="213"/>
      <c r="H37" s="213"/>
      <c r="I37" s="213"/>
      <c r="J37" s="213"/>
    </row>
    <row r="38" spans="1:10">
      <c r="A38" s="220"/>
      <c r="B38" s="213"/>
      <c r="C38" s="213"/>
      <c r="D38" s="213"/>
      <c r="E38" s="213"/>
      <c r="F38" s="213"/>
      <c r="G38" s="213"/>
      <c r="H38" s="213"/>
      <c r="I38" s="213"/>
      <c r="J38" s="213"/>
    </row>
    <row r="39" spans="1:10">
      <c r="A39" s="220"/>
      <c r="B39" s="213"/>
      <c r="C39" s="213"/>
      <c r="D39" s="213"/>
      <c r="E39" s="213"/>
      <c r="F39" s="213"/>
      <c r="G39" s="213"/>
      <c r="H39" s="213"/>
      <c r="I39" s="213"/>
      <c r="J39" s="213"/>
    </row>
    <row r="40" spans="1:10" s="93" customFormat="1" ht="13.2">
      <c r="A40" s="313" t="s">
        <v>14</v>
      </c>
      <c r="B40" s="313"/>
      <c r="C40" s="94"/>
      <c r="D40" s="94"/>
      <c r="E40" s="94"/>
      <c r="F40" s="94"/>
      <c r="G40" s="94"/>
      <c r="H40" s="94"/>
      <c r="I40" s="237" t="s">
        <v>1677</v>
      </c>
      <c r="J40" s="238"/>
    </row>
    <row r="41" spans="1:10" s="93" customFormat="1" ht="13.2">
      <c r="A41" s="236" t="s">
        <v>1681</v>
      </c>
      <c r="B41" s="234"/>
      <c r="C41" s="94"/>
      <c r="D41" s="94"/>
      <c r="E41" s="94"/>
      <c r="F41" s="94"/>
      <c r="G41" s="94"/>
      <c r="H41" s="94"/>
      <c r="I41" s="105" t="s">
        <v>1682</v>
      </c>
      <c r="J41" s="94"/>
    </row>
    <row r="42" spans="1:10" s="93" customFormat="1" ht="13.2">
      <c r="A42" s="234" t="s">
        <v>1701</v>
      </c>
      <c r="B42" s="234"/>
      <c r="C42" s="94"/>
      <c r="D42" s="94"/>
      <c r="E42" s="94"/>
      <c r="F42" s="94"/>
      <c r="G42" s="94"/>
      <c r="H42" s="94"/>
      <c r="I42" s="94" t="s">
        <v>1683</v>
      </c>
      <c r="J42" s="94"/>
    </row>
    <row r="43" spans="1:10" s="93" customFormat="1" ht="13.2">
      <c r="A43" s="235"/>
      <c r="B43" s="94"/>
      <c r="C43" s="94"/>
      <c r="D43" s="94"/>
      <c r="E43" s="94"/>
      <c r="F43" s="94"/>
      <c r="G43" s="94"/>
      <c r="H43" s="94"/>
      <c r="I43" s="94"/>
      <c r="J43" s="94"/>
    </row>
    <row r="44" spans="1:10" s="93" customFormat="1" ht="13.2">
      <c r="A44" s="235"/>
      <c r="B44" s="94"/>
      <c r="C44" s="94"/>
      <c r="D44" s="94"/>
      <c r="E44" s="94"/>
      <c r="F44" s="94"/>
      <c r="G44" s="94"/>
      <c r="H44" s="94"/>
      <c r="I44" s="94"/>
      <c r="J44" s="94"/>
    </row>
    <row r="45" spans="1:10">
      <c r="A45" s="220"/>
      <c r="B45" s="213"/>
      <c r="C45" s="213"/>
      <c r="D45" s="213"/>
      <c r="E45" s="213"/>
      <c r="F45" s="213"/>
      <c r="G45" s="213"/>
      <c r="H45" s="213"/>
      <c r="I45" s="213"/>
      <c r="J45" s="213"/>
    </row>
    <row r="46" spans="1:10">
      <c r="A46" s="220"/>
      <c r="B46" s="213"/>
      <c r="C46" s="213"/>
      <c r="D46" s="213"/>
      <c r="E46" s="213"/>
      <c r="F46" s="213"/>
      <c r="G46" s="213"/>
      <c r="H46" s="213"/>
      <c r="I46" s="213"/>
      <c r="J46" s="213"/>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4"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ttfqYsWDKQI7IPsNO3DToCpLN/co1tVDPkTlaWW/Mxc=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ke5SfR5bebH1buOK4uPaYmg4hzsxHPr1rdbD8hC+Ut4=</DigestValue>
    </Reference>
  </SignedInfo>
  <SignatureValue>7jqOhZUExwJmSfXOdEHHWkaBlgJy3v+P6zznhSJVwAu5P1OFVhpXte4GAJd7PYGG1fiesujXqZ66
1nSApekzZhfMf5htdnz2RYpL0Kw1/Q/HNjQ2cfWC0uR56XOX8uCqjLNkHqWMYHL0EqIE7B+m6OD/
HB3RsZnDT98txIiRdh9++iZaZfiAR39rxZvhhb6NP+OAGWlV4V3NJzBDC0flyx1VO2Z4y00RAUyE
b97/mEAI2gQ2YBZmYKoxoowJptiW3iyXVbZgaTwt2yLOrJ/f7OLxNXJfDUhcdNznmYlzGfQU3FS6
0BLAY4/Bes8ltCO9I143WgQrPsN0td2szEXTUg==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Transform>
          <Transform Algorithm="http://www.w3.org/TR/2001/REC-xml-c14n-20010315"/>
        </Transforms>
        <DigestMethod Algorithm="http://www.w3.org/2001/04/xmlenc#sha256"/>
        <DigestValue>A86zVTj70nB/9aR3XUP5lCsvi9G/KrK3r+DW6c7tGf8=</DigestValue>
      </Reference>
      <Reference URI="/xl/calcChain.xml?ContentType=application/vnd.openxmlformats-officedocument.spreadsheetml.calcChain+xml">
        <DigestMethod Algorithm="http://www.w3.org/2001/04/xmlenc#sha256"/>
        <DigestValue>E4jWpCtw7Z2AGSYNa2HfuQiXAoSDjRyeTJvZl3G14zE=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tPhsQRPueh/H9pEh1pB3zOMJpceZY11lrEfrO4W9JMI=</DigestValue>
      </Reference>
      <Reference URI="/xl/drawings/drawing10.xml?ContentType=application/vnd.openxmlformats-officedocument.drawing+xml">
        <DigestMethod Algorithm="http://www.w3.org/2001/04/xmlenc#sha256"/>
        <DigestValue>qhjH4njR2UNLWEvrnO0TWpOCPnZjuWM7m6qUzb8MPcc=</DigestValue>
      </Reference>
      <Reference URI="/xl/drawings/drawing11.xml?ContentType=application/vnd.openxmlformats-officedocument.drawing+xml">
        <DigestMethod Algorithm="http://www.w3.org/2001/04/xmlenc#sha256"/>
        <DigestValue>uJIhsYR5Xtt2R+nGZhT+IktR+FoOku3Zm5YjAPteoVs=</DigestValue>
      </Reference>
      <Reference URI="/xl/drawings/drawing2.xml?ContentType=application/vnd.openxmlformats-officedocument.drawing+xml">
        <DigestMethod Algorithm="http://www.w3.org/2001/04/xmlenc#sha256"/>
        <DigestValue>NdJIxYtmLsQAwvpKcch7ERTUH6yoeqmUDBfwGXmSVjY=</DigestValue>
      </Reference>
      <Reference URI="/xl/drawings/drawing3.xml?ContentType=application/vnd.openxmlformats-officedocument.drawing+xml">
        <DigestMethod Algorithm="http://www.w3.org/2001/04/xmlenc#sha256"/>
        <DigestValue>6K8wjyqeOTlXDwMZaOdHx0bC+LctFNhzck2cn1PPBYA=</DigestValue>
      </Reference>
      <Reference URI="/xl/drawings/drawing4.xml?ContentType=application/vnd.openxmlformats-officedocument.drawing+xml">
        <DigestMethod Algorithm="http://www.w3.org/2001/04/xmlenc#sha256"/>
        <DigestValue>7W/g+feW9GCvIe4I++bvpR5/jeeAElTJ/MGDxobUxEc=</DigestValue>
      </Reference>
      <Reference URI="/xl/drawings/drawing5.xml?ContentType=application/vnd.openxmlformats-officedocument.drawing+xml">
        <DigestMethod Algorithm="http://www.w3.org/2001/04/xmlenc#sha256"/>
        <DigestValue>GHxUFPFrL5bDBBnxW0vt0Cge4n9Dw1ouIQytNLarLnM=</DigestValue>
      </Reference>
      <Reference URI="/xl/drawings/drawing6.xml?ContentType=application/vnd.openxmlformats-officedocument.drawing+xml">
        <DigestMethod Algorithm="http://www.w3.org/2001/04/xmlenc#sha256"/>
        <DigestValue>T9gC/Ueojl7ygSxpPmB0z2RANEP2TjUnI+XCTIwPYUU=</DigestValue>
      </Reference>
      <Reference URI="/xl/drawings/drawing7.xml?ContentType=application/vnd.openxmlformats-officedocument.drawing+xml">
        <DigestMethod Algorithm="http://www.w3.org/2001/04/xmlenc#sha256"/>
        <DigestValue>sMgjvlhMNE/J7mmzrkCgwvs+6/fOxwj3x1I5n/n30tc=</DigestValue>
      </Reference>
      <Reference URI="/xl/drawings/drawing8.xml?ContentType=application/vnd.openxmlformats-officedocument.drawing+xml">
        <DigestMethod Algorithm="http://www.w3.org/2001/04/xmlenc#sha256"/>
        <DigestValue>JxuYu85z8N0mUN3Ll5dOdW890iKCkpLr59/5X/SBItI=</DigestValue>
      </Reference>
      <Reference URI="/xl/drawings/drawing9.xml?ContentType=application/vnd.openxmlformats-officedocument.drawing+xml">
        <DigestMethod Algorithm="http://www.w3.org/2001/04/xmlenc#sha256"/>
        <DigestValue>sGdLzjG0/Po03a0OscTd7K9mdNFzxWhIa3FKQ4MOXtQ=</DigestValue>
      </Reference>
      <Reference URI="/xl/drawings/vmlDrawing1.vml?ContentType=application/vnd.openxmlformats-officedocument.vmlDrawing">
        <DigestMethod Algorithm="http://www.w3.org/2001/04/xmlenc#sha256"/>
        <DigestValue>eRg/BJsoh4WAA3a5bFtmw4Ry9mfKAK6z2Dl5u+sVLtg=</DigestValue>
      </Reference>
      <Reference URI="/xl/drawings/vmlDrawing10.vml?ContentType=application/vnd.openxmlformats-officedocument.vmlDrawing">
        <DigestMethod Algorithm="http://www.w3.org/2001/04/xmlenc#sha256"/>
        <DigestValue>X4eNiTdvdGJaKDvjqgZNSanQItApq1JKal2dOZf5vq8=</DigestValue>
      </Reference>
      <Reference URI="/xl/drawings/vmlDrawing11.vml?ContentType=application/vnd.openxmlformats-officedocument.vmlDrawing">
        <DigestMethod Algorithm="http://www.w3.org/2001/04/xmlenc#sha256"/>
        <DigestValue>Iq3iBIZchW+DbnaaY/DH0ZEmRFERnMlOC1l1aYr+++U=</DigestValue>
      </Reference>
      <Reference URI="/xl/drawings/vmlDrawing2.vml?ContentType=application/vnd.openxmlformats-officedocument.vmlDrawing">
        <DigestMethod Algorithm="http://www.w3.org/2001/04/xmlenc#sha256"/>
        <DigestValue>ZDhirc2WTsEPw/KvrbtQCrDcEh1sHVvRU448C9rW8Yk=</DigestValue>
      </Reference>
      <Reference URI="/xl/drawings/vmlDrawing3.vml?ContentType=application/vnd.openxmlformats-officedocument.vmlDrawing">
        <DigestMethod Algorithm="http://www.w3.org/2001/04/xmlenc#sha256"/>
        <DigestValue>QQ2esT45uuYA0bDnqERHKuzcvJU8MFkVZHoSdtNKCK8=</DigestValue>
      </Reference>
      <Reference URI="/xl/drawings/vmlDrawing4.vml?ContentType=application/vnd.openxmlformats-officedocument.vmlDrawing">
        <DigestMethod Algorithm="http://www.w3.org/2001/04/xmlenc#sha256"/>
        <DigestValue>HIHA8L8D3tQmqLiOLqWF2lIDThJsHVJCl1CjgaSNSVw=</DigestValue>
      </Reference>
      <Reference URI="/xl/drawings/vmlDrawing5.vml?ContentType=application/vnd.openxmlformats-officedocument.vmlDrawing">
        <DigestMethod Algorithm="http://www.w3.org/2001/04/xmlenc#sha256"/>
        <DigestValue>X8I0uw4QOWEjgNS7y12/fg309KK71Kg9ZRHTJBvM7hM=</DigestValue>
      </Reference>
      <Reference URI="/xl/drawings/vmlDrawing6.vml?ContentType=application/vnd.openxmlformats-officedocument.vmlDrawing">
        <DigestMethod Algorithm="http://www.w3.org/2001/04/xmlenc#sha256"/>
        <DigestValue>ROjhgVVgIghItxggSIrpci8uoW+Ik/BLMmcrQNg4/Ws=</DigestValue>
      </Reference>
      <Reference URI="/xl/drawings/vmlDrawing7.vml?ContentType=application/vnd.openxmlformats-officedocument.vmlDrawing">
        <DigestMethod Algorithm="http://www.w3.org/2001/04/xmlenc#sha256"/>
        <DigestValue>UoiS33olripeUFPVUYb0hIGtl53yFau+auZVeEWgYcc=</DigestValue>
      </Reference>
      <Reference URI="/xl/drawings/vmlDrawing8.vml?ContentType=application/vnd.openxmlformats-officedocument.vmlDrawing">
        <DigestMethod Algorithm="http://www.w3.org/2001/04/xmlenc#sha256"/>
        <DigestValue>+9EgjDGYuXBS+POunMnNqYSWyPZhi+zXLCia2hghELw=</DigestValue>
      </Reference>
      <Reference URI="/xl/drawings/vmlDrawing9.vml?ContentType=application/vnd.openxmlformats-officedocument.vmlDrawing">
        <DigestMethod Algorithm="http://www.w3.org/2001/04/xmlenc#sha256"/>
        <DigestValue>sevNk48b8Y+gQuTbmJgiYtxUsR2zlUCxJrHxRQmaX6g=</DigestValue>
      </Reference>
      <Reference URI="/xl/media/image1.emf?ContentType=image/x-emf">
        <DigestMethod Algorithm="http://www.w3.org/2001/04/xmlenc#sha256"/>
        <DigestValue>eGBAmcz/UipWCkpQOsjodOjlZBLihj+lrrdB7qHPi1Y=</DigestValue>
      </Reference>
      <Reference URI="/xl/media/image2.emf?ContentType=image/x-emf">
        <DigestMethod Algorithm="http://www.w3.org/2001/04/xmlenc#sha256"/>
        <DigestValue>eGBAmcz/UipWCkpQOsjodOjlZBLihj+lrrdB7qHPi1Y=</DigestValue>
      </Reference>
      <Reference URI="/xl/printerSettings/printerSettings1.bin?ContentType=application/vnd.openxmlformats-officedocument.spreadsheetml.printerSettings">
        <DigestMethod Algorithm="http://www.w3.org/2001/04/xmlenc#sha256"/>
        <DigestValue>AnNtauKwrCEltOcfl83R14ChjbSDaF2ZndmnGE5HeDs=</DigestValue>
      </Reference>
      <Reference URI="/xl/printerSettings/printerSettings10.bin?ContentType=application/vnd.openxmlformats-officedocument.spreadsheetml.printerSettings">
        <DigestMethod Algorithm="http://www.w3.org/2001/04/xmlenc#sha256"/>
        <DigestValue>8aN+jJGH9osIH4JT51r93fJ7ms4l1N0ZRbRyqpDZgv8=</DigestValue>
      </Reference>
      <Reference URI="/xl/printerSettings/printerSettings11.bin?ContentType=application/vnd.openxmlformats-officedocument.spreadsheetml.printerSettings">
        <DigestMethod Algorithm="http://www.w3.org/2001/04/xmlenc#sha256"/>
        <DigestValue>cjoRUT/KQQxYlzUtsuV/FpDDFs32R2frQDZJBkUR4Vc=</DigestValue>
      </Reference>
      <Reference URI="/xl/printerSettings/printerSettings12.bin?ContentType=application/vnd.openxmlformats-officedocument.spreadsheetml.printerSettings">
        <DigestMethod Algorithm="http://www.w3.org/2001/04/xmlenc#sha256"/>
        <DigestValue>H6nKp/c+k+pOCVF2L9GOU/TFbVJZuhWys8Qc2azzor4=</DigestValue>
      </Reference>
      <Reference URI="/xl/printerSettings/printerSettings2.bin?ContentType=application/vnd.openxmlformats-officedocument.spreadsheetml.printerSettings">
        <DigestMethod Algorithm="http://www.w3.org/2001/04/xmlenc#sha256"/>
        <DigestValue>8aN+jJGH9osIH4JT51r93fJ7ms4l1N0ZRbRyqpDZgv8=</DigestValue>
      </Reference>
      <Reference URI="/xl/printerSettings/printerSettings3.bin?ContentType=application/vnd.openxmlformats-officedocument.spreadsheetml.printerSettings">
        <DigestMethod Algorithm="http://www.w3.org/2001/04/xmlenc#sha256"/>
        <DigestValue>8aN+jJGH9osIH4JT51r93fJ7ms4l1N0ZRbRyqpDZgv8=</DigestValue>
      </Reference>
      <Reference URI="/xl/printerSettings/printerSettings4.bin?ContentType=application/vnd.openxmlformats-officedocument.spreadsheetml.printerSettings">
        <DigestMethod Algorithm="http://www.w3.org/2001/04/xmlenc#sha256"/>
        <DigestValue>8aN+jJGH9osIH4JT51r93fJ7ms4l1N0ZRbRyqpDZgv8=</DigestValue>
      </Reference>
      <Reference URI="/xl/printerSettings/printerSettings5.bin?ContentType=application/vnd.openxmlformats-officedocument.spreadsheetml.printerSettings">
        <DigestMethod Algorithm="http://www.w3.org/2001/04/xmlenc#sha256"/>
        <DigestValue>8aN+jJGH9osIH4JT51r93fJ7ms4l1N0ZRbRyqpDZgv8=</DigestValue>
      </Reference>
      <Reference URI="/xl/printerSettings/printerSettings6.bin?ContentType=application/vnd.openxmlformats-officedocument.spreadsheetml.printerSettings">
        <DigestMethod Algorithm="http://www.w3.org/2001/04/xmlenc#sha256"/>
        <DigestValue>8aN+jJGH9osIH4JT51r93fJ7ms4l1N0ZRbRyqpDZgv8=</DigestValue>
      </Reference>
      <Reference URI="/xl/printerSettings/printerSettings7.bin?ContentType=application/vnd.openxmlformats-officedocument.spreadsheetml.printerSettings">
        <DigestMethod Algorithm="http://www.w3.org/2001/04/xmlenc#sha256"/>
        <DigestValue>8aN+jJGH9osIH4JT51r93fJ7ms4l1N0ZRbRyqpDZgv8=</DigestValue>
      </Reference>
      <Reference URI="/xl/printerSettings/printerSettings8.bin?ContentType=application/vnd.openxmlformats-officedocument.spreadsheetml.printerSettings">
        <DigestMethod Algorithm="http://www.w3.org/2001/04/xmlenc#sha256"/>
        <DigestValue>8aN+jJGH9osIH4JT51r93fJ7ms4l1N0ZRbRyqpDZgv8=</DigestValue>
      </Reference>
      <Reference URI="/xl/printerSettings/printerSettings9.bin?ContentType=application/vnd.openxmlformats-officedocument.spreadsheetml.printerSettings">
        <DigestMethod Algorithm="http://www.w3.org/2001/04/xmlenc#sha256"/>
        <DigestValue>8aN+jJGH9osIH4JT51r93fJ7ms4l1N0ZRbRyqpDZgv8=</DigestValue>
      </Reference>
      <Reference URI="/xl/sharedStrings.xml?ContentType=application/vnd.openxmlformats-officedocument.spreadsheetml.sharedStrings+xml">
        <DigestMethod Algorithm="http://www.w3.org/2001/04/xmlenc#sha256"/>
        <DigestValue>quGNzvbNW/xdsva6fpAZp3HRcKBNKZvX6aoDF+gZCSo=</DigestValue>
      </Reference>
      <Reference URI="/xl/styles.xml?ContentType=application/vnd.openxmlformats-officedocument.spreadsheetml.styles+xml">
        <DigestMethod Algorithm="http://www.w3.org/2001/04/xmlenc#sha256"/>
        <DigestValue>OzXaEfWwqrSYUUvhmPXphri+FSt6K2krdKT4Bzt+4tg=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aF4mhVXv2R5CT3HH9smolZcJKPXCKVNlIPhof39aDEU=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An4A+o+d3Sze93X5XEAbuw8gitYghD5ppEBrPWX1Exg=</DigestValue>
      </Reference>
      <Reference URI="/xl/worksheets/sheet10.xml?ContentType=application/vnd.openxmlformats-officedocument.spreadsheetml.worksheet+xml">
        <DigestMethod Algorithm="http://www.w3.org/2001/04/xmlenc#sha256"/>
        <DigestValue>KH52i/DnfRIbz2rOQR7nfzgIu9VoUeOebdtWkUMT0Sc=</DigestValue>
      </Reference>
      <Reference URI="/xl/worksheets/sheet11.xml?ContentType=application/vnd.openxmlformats-officedocument.spreadsheetml.worksheet+xml">
        <DigestMethod Algorithm="http://www.w3.org/2001/04/xmlenc#sha256"/>
        <DigestValue>RmO7+5yHKST5DCDos+7RWQPEme5A7VDDANob6goIiIA=</DigestValue>
      </Reference>
      <Reference URI="/xl/worksheets/sheet12.xml?ContentType=application/vnd.openxmlformats-officedocument.spreadsheetml.worksheet+xml">
        <DigestMethod Algorithm="http://www.w3.org/2001/04/xmlenc#sha256"/>
        <DigestValue>2zKX0LZMf7PmPsUvYO3pbMN8yXVC7ev+yqS/rlzTgSY=</DigestValue>
      </Reference>
      <Reference URI="/xl/worksheets/sheet2.xml?ContentType=application/vnd.openxmlformats-officedocument.spreadsheetml.worksheet+xml">
        <DigestMethod Algorithm="http://www.w3.org/2001/04/xmlenc#sha256"/>
        <DigestValue>3UIlOBOUwQ78SfdNVsd1ksQU6H0jpjBOdJqWJO+39fY=</DigestValue>
      </Reference>
      <Reference URI="/xl/worksheets/sheet3.xml?ContentType=application/vnd.openxmlformats-officedocument.spreadsheetml.worksheet+xml">
        <DigestMethod Algorithm="http://www.w3.org/2001/04/xmlenc#sha256"/>
        <DigestValue>DnsC9s7eALicZ0puUeNgXSdI8JXd3ndrywpXhKY36Vs=</DigestValue>
      </Reference>
      <Reference URI="/xl/worksheets/sheet4.xml?ContentType=application/vnd.openxmlformats-officedocument.spreadsheetml.worksheet+xml">
        <DigestMethod Algorithm="http://www.w3.org/2001/04/xmlenc#sha256"/>
        <DigestValue>/TBoIIGutBRkanny+QHLV3EVft2dAL7T9QCSKMUQcFo=</DigestValue>
      </Reference>
      <Reference URI="/xl/worksheets/sheet5.xml?ContentType=application/vnd.openxmlformats-officedocument.spreadsheetml.worksheet+xml">
        <DigestMethod Algorithm="http://www.w3.org/2001/04/xmlenc#sha256"/>
        <DigestValue>BohPT6U+fWfqR9tMXd7xSt8H3apRj6NN6wGV4OP8tuE=</DigestValue>
      </Reference>
      <Reference URI="/xl/worksheets/sheet6.xml?ContentType=application/vnd.openxmlformats-officedocument.spreadsheetml.worksheet+xml">
        <DigestMethod Algorithm="http://www.w3.org/2001/04/xmlenc#sha256"/>
        <DigestValue>KiRr8Z5yZOxCEVJ7xAueYaji3EIyi12h9F7Z1pdFsU4=</DigestValue>
      </Reference>
      <Reference URI="/xl/worksheets/sheet7.xml?ContentType=application/vnd.openxmlformats-officedocument.spreadsheetml.worksheet+xml">
        <DigestMethod Algorithm="http://www.w3.org/2001/04/xmlenc#sha256"/>
        <DigestValue>URacwMVgJN5hKe5O5eePSl58XdcDFg9GdVEy8T9MyhM=</DigestValue>
      </Reference>
      <Reference URI="/xl/worksheets/sheet8.xml?ContentType=application/vnd.openxmlformats-officedocument.spreadsheetml.worksheet+xml">
        <DigestMethod Algorithm="http://www.w3.org/2001/04/xmlenc#sha256"/>
        <DigestValue>pfKGYuDctzzSL+JUwCc8sssfRR5Vug4toHnw8tWD7Qk=</DigestValue>
      </Reference>
      <Reference URI="/xl/worksheets/sheet9.xml?ContentType=application/vnd.openxmlformats-officedocument.spreadsheetml.worksheet+xml">
        <DigestMethod Algorithm="http://www.w3.org/2001/04/xmlenc#sha256"/>
        <DigestValue>uZ9TMwmJ8/faf6XiPsLrC6wpW26SYvGjs7xG/yi7q44=</DigestValue>
      </Reference>
    </Manifest>
    <SignatureProperties>
      <SignatureProperty Id="idSignatureTime" Target="#idPackageSignature">
        <mdssi:SignatureTime xmlns:mdssi="http://schemas.openxmlformats.org/package/2006/digital-signature">
          <mdssi:Format>YYYY-MM-DDThh:mm:ssTZD</mdssi:Format>
          <mdssi:Value>2024-03-12T04:28:06Z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2024-03-12T04:28:06Z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TONGQUAN</vt:lpstr>
      <vt:lpstr>BCThuNhap_06104</vt:lpstr>
      <vt:lpstr>BCTinhHinhTaiChinh_06105</vt:lpstr>
      <vt:lpstr>GTTSRong_06107</vt:lpstr>
      <vt:lpstr>BCDMDT_06108</vt:lpstr>
      <vt:lpstr>BCLCGT_06262</vt:lpstr>
      <vt:lpstr>BCTaiSan_06027</vt:lpstr>
      <vt:lpstr>BCKetQuaHoatDong_06028</vt:lpstr>
      <vt:lpstr>BCDanhMucDauTu_06029</vt:lpstr>
      <vt:lpstr>Khac_06030</vt:lpstr>
      <vt:lpstr>ThongKePhiGiaoDich_06145</vt:lpstr>
      <vt:lpstr>BCHoatDongVay_06026</vt:lpstr>
      <vt:lpstr>BCTaiSan_06027!Print_Area</vt:lpstr>
      <vt:lpstr>BCTinhHinhTaiChinh_06105!Print_Area</vt:lpstr>
      <vt:lpstr>GTTSRong_06107!Print_Area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2024-03-12T04:05:30Z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2024-03-12T03:29:31Z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396a4b07-c010-4ea2-99ae-e15e0668be53</vt:lpwstr>
  </property>
  <property fmtid="{D5CDD505-2E9C-101B-9397-08002B2CF9AE}" pid="8" name="MSIP_Label_ebbfc019-7f88-4fb6-96d6-94ffadd4b772_ContentBits">
    <vt:lpwstr>1</vt:lpwstr>
  </property>
</Properties>
</file>