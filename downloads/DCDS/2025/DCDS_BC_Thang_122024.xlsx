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5\01. Jan\07.01\"/>
    </mc:Choice>
  </mc:AlternateContent>
  <xr:revisionPtr revIDLastSave="0" documentId="13_ncr:1_{9C472027-3BCE-4DA0-80E8-A998FE8F3F95}"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INDEX(LogoFMS!$C$3:$C$76,MATCH(LogoFMS!$D$1,LogoFMS!$A$3:$A$76,0))</definedName>
    <definedName name="_xlnm.Print_Area" localSheetId="4">BCHoatDongVay_06026!$A$1:$J$49</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F19" i="1" l="1"/>
</calcChain>
</file>

<file path=xl/sharedStrings.xml><?xml version="1.0" encoding="utf-8"?>
<sst xmlns="http://schemas.openxmlformats.org/spreadsheetml/2006/main" count="1230" uniqueCount="998">
  <si>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</si>
  <si>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</si>
  <si>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</si>
  <si>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</si>
  <si>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</si>
  <si>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</si>
  <si>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</si>
  <si>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</si>
  <si>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</si>
  <si>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</si>
  <si>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</si>
  <si>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</si>
  <si>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</si>
  <si>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</si>
  <si>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</si>
  <si>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</si>
  <si>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</si>
  <si>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</si>
  <si>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</si>
  <si>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</si>
  <si>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</si>
  <si>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</si>
  <si>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</si>
  <si>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</si>
  <si>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</si>
  <si>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</si>
  <si>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</si>
  <si>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</si>
  <si>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</si>
  <si>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</si>
  <si>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</si>
  <si>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</si>
  <si>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</si>
  <si>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</si>
  <si>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</si>
  <si>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</si>
  <si>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</si>
  <si>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</si>
  <si>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</si>
  <si>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</si>
  <si>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</si>
  <si>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</si>
  <si>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</si>
  <si>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</si>
  <si>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</si>
  <si>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</si>
  <si>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</si>
  <si>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</si>
  <si>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</si>
  <si>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</si>
  <si>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</si>
  <si>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</si>
  <si>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</si>
  <si>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</si>
  <si>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</si>
  <si>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</si>
  <si>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</si>
  <si>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</si>
  <si>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</si>
  <si>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</si>
  <si>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</si>
  <si>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</si>
  <si>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</si>
  <si>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</si>
  <si>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</si>
  <si>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</si>
  <si>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</si>
  <si>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</si>
  <si>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</si>
  <si>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</si>
  <si>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</si>
  <si>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</si>
  <si>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</si>
  <si>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</si>
  <si>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</si>
  <si>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</si>
  <si>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</si>
  <si>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</si>
  <si>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</si>
  <si>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</si>
  <si>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</si>
  <si>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</si>
  <si>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</si>
  <si>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</si>
  <si>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</si>
  <si>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</si>
  <si>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</si>
  <si>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</si>
  <si>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</si>
  <si>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</si>
  <si>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</si>
  <si>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</si>
  <si>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</si>
  <si>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</si>
  <si>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</si>
  <si>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</si>
  <si>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</si>
  <si>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</si>
  <si>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</si>
  <si>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</si>
  <si>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</si>
  <si>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</si>
  <si>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</si>
  <si>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</si>
  <si>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</si>
  <si>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</si>
  <si>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</si>
  <si>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</si>
  <si>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</si>
  <si>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</si>
  <si>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</si>
  <si>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</si>
  <si>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</si>
  <si>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</si>
  <si>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</si>
  <si>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</si>
  <si>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</si>
  <si>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</si>
  <si>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</si>
  <si>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</si>
  <si>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</si>
  <si>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</si>
  <si>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</si>
  <si>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</si>
  <si>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</si>
  <si>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</si>
  <si>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</si>
  <si>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</si>
  <si>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</si>
  <si>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</si>
  <si>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</si>
  <si>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</si>
  <si>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</si>
  <si>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</si>
  <si>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</si>
  <si>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</si>
  <si>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</si>
  <si>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</si>
  <si>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</si>
  <si>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</si>
  <si>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</si>
  <si>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</si>
  <si>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</si>
  <si>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</si>
  <si>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</si>
  <si>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</si>
  <si>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</si>
  <si>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</si>
  <si>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</si>
  <si>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</si>
  <si>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</si>
  <si>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</si>
  <si>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</si>
  <si>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</si>
  <si>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</si>
  <si>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</si>
  <si>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</si>
  <si>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</si>
  <si>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</si>
  <si>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</si>
  <si>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</si>
  <si>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</si>
  <si>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</si>
  <si>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</si>
  <si>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</si>
  <si>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</si>
  <si>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</si>
  <si>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</si>
  <si>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</si>
  <si>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</si>
  <si>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</si>
  <si>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</si>
  <si>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</si>
  <si>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</si>
  <si>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</si>
  <si>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</si>
  <si>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</si>
  <si>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</si>
  <si>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</si>
  <si>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</si>
  <si>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</si>
  <si>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</si>
  <si>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</si>
  <si>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</si>
  <si>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</si>
  <si>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</si>
  <si>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</si>
  <si>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</si>
  <si>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</si>
  <si>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</si>
  <si>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</si>
  <si>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</si>
  <si>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</si>
  <si>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</si>
  <si>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</si>
  <si>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</si>
  <si>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</si>
  <si>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</si>
  <si>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</si>
  <si>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</si>
  <si>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</si>
  <si>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</si>
  <si>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</si>
  <si>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</si>
  <si>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</si>
  <si>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</si>
  <si>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</si>
  <si>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</si>
  <si>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</si>
  <si>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</si>
  <si>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</si>
  <si>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</si>
  <si>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</si>
  <si>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</si>
  <si>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</si>
  <si>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</si>
  <si>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</si>
  <si>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</si>
  <si>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</si>
  <si>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</si>
  <si>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</si>
  <si>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</si>
  <si>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</si>
  <si>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</si>
  <si>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</si>
  <si>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</si>
  <si>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</si>
  <si>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</si>
  <si>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</si>
  <si>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</si>
  <si>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</si>
  <si>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</si>
  <si>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</si>
  <si>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</si>
  <si>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</si>
  <si>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</si>
  <si>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</si>
  <si>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</si>
  <si>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</si>
  <si>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</si>
  <si>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</si>
  <si>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</si>
  <si>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</si>
  <si>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</si>
  <si>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</si>
  <si>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</si>
  <si>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</si>
  <si>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</si>
  <si>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</si>
  <si>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</si>
  <si>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</si>
  <si>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</si>
  <si>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</si>
  <si>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</si>
  <si>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</si>
  <si>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</si>
  <si>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</si>
  <si>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</si>
  <si>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</si>
  <si>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</si>
  <si>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</si>
  <si>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</si>
  <si>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</si>
  <si>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</si>
  <si>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</si>
  <si>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</si>
  <si>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</si>
  <si>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</si>
  <si>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</si>
  <si>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</si>
  <si>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</si>
  <si>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</si>
  <si>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</si>
  <si>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</si>
  <si>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</si>
  <si>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</si>
  <si>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</si>
  <si>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</si>
  <si>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</si>
  <si>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</si>
  <si>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</si>
  <si>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</si>
  <si>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</si>
  <si>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</si>
  <si>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</si>
  <si>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</si>
  <si>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</si>
  <si>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</si>
  <si>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</si>
  <si>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</si>
  <si>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</si>
  <si>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</si>
  <si>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</si>
  <si>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</si>
  <si>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</si>
  <si>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</si>
  <si>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</si>
  <si>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</si>
  <si>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</si>
  <si>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</si>
  <si>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</si>
  <si>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</si>
  <si>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</si>
  <si>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</si>
  <si>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</si>
  <si>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</si>
  <si>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</si>
  <si>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</si>
  <si>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</si>
  <si>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</si>
  <si>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</si>
  <si>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</si>
  <si>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</si>
  <si>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</si>
  <si>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</si>
  <si>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</si>
  <si>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</si>
  <si>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</si>
  <si>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</si>
  <si>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</si>
  <si>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</si>
  <si>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</si>
  <si>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</si>
  <si>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</si>
  <si>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</si>
  <si>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</si>
  <si>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</si>
  <si>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</si>
  <si>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</si>
  <si>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</si>
  <si>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</si>
  <si>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</si>
  <si>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</si>
  <si>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</si>
  <si>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</si>
  <si>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</si>
  <si>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</si>
  <si>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</si>
  <si>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</si>
  <si>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</si>
  <si>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</si>
  <si>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</si>
  <si>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</si>
  <si>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</si>
  <si>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</si>
  <si>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</si>
  <si>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</si>
  <si>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</si>
  <si>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</si>
  <si>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</si>
  <si>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</si>
  <si>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</si>
  <si>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</si>
  <si>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</si>
  <si>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</si>
  <si>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</si>
  <si>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</si>
  <si>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</si>
  <si>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</si>
  <si>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</si>
  <si>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</si>
  <si>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</si>
  <si>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</si>
  <si>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</si>
  <si>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</si>
  <si>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</si>
  <si>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</si>
  <si>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</si>
  <si>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</si>
  <si>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</si>
  <si>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</si>
  <si>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</si>
  <si>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</si>
  <si>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</si>
  <si>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</si>
  <si>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</si>
  <si>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</si>
  <si>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</si>
  <si>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</si>
  <si>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</si>
  <si>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</si>
  <si>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</si>
  <si>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</si>
  <si>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</si>
  <si>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</si>
  <si>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</si>
  <si>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</si>
  <si>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</si>
  <si>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BID</t>
  </si>
  <si>
    <t>2246.4</t>
  </si>
  <si>
    <t>5</t>
  </si>
  <si>
    <t>BWE</t>
  </si>
  <si>
    <t>2246.5</t>
  </si>
  <si>
    <t>6</t>
  </si>
  <si>
    <t>CMG</t>
  </si>
  <si>
    <t>2246.6</t>
  </si>
  <si>
    <t>7</t>
  </si>
  <si>
    <t>CSV</t>
  </si>
  <si>
    <t>2246.7</t>
  </si>
  <si>
    <t>8</t>
  </si>
  <si>
    <t>CTD</t>
  </si>
  <si>
    <t>2246.8</t>
  </si>
  <si>
    <t>9</t>
  </si>
  <si>
    <t>CTG</t>
  </si>
  <si>
    <t>2246.9</t>
  </si>
  <si>
    <t>10</t>
  </si>
  <si>
    <t>CTR</t>
  </si>
  <si>
    <t>2246.10</t>
  </si>
  <si>
    <t>11</t>
  </si>
  <si>
    <t>DGC</t>
  </si>
  <si>
    <t>2246.11</t>
  </si>
  <si>
    <t>12</t>
  </si>
  <si>
    <t>DXG</t>
  </si>
  <si>
    <t>2246.12</t>
  </si>
  <si>
    <t>13</t>
  </si>
  <si>
    <t>DXS</t>
  </si>
  <si>
    <t>2246.13</t>
  </si>
  <si>
    <t>14</t>
  </si>
  <si>
    <t>FPT</t>
  </si>
  <si>
    <t>2246.14</t>
  </si>
  <si>
    <t>15</t>
  </si>
  <si>
    <t>FRT</t>
  </si>
  <si>
    <t>2246.15</t>
  </si>
  <si>
    <t>16</t>
  </si>
  <si>
    <t>GMD</t>
  </si>
  <si>
    <t>2246.16</t>
  </si>
  <si>
    <t>17</t>
  </si>
  <si>
    <t>HAH</t>
  </si>
  <si>
    <t>2246.17</t>
  </si>
  <si>
    <t>18</t>
  </si>
  <si>
    <t>HDB</t>
  </si>
  <si>
    <t>2246.18</t>
  </si>
  <si>
    <t>19</t>
  </si>
  <si>
    <t>HDG</t>
  </si>
  <si>
    <t>2246.19</t>
  </si>
  <si>
    <t>20</t>
  </si>
  <si>
    <t>HPG</t>
  </si>
  <si>
    <t>2246.20</t>
  </si>
  <si>
    <t>21</t>
  </si>
  <si>
    <t>HSG</t>
  </si>
  <si>
    <t>2246.21</t>
  </si>
  <si>
    <t>22</t>
  </si>
  <si>
    <t>HVN</t>
  </si>
  <si>
    <t>2246.22</t>
  </si>
  <si>
    <t>23</t>
  </si>
  <si>
    <t>IDC</t>
  </si>
  <si>
    <t>2246.23</t>
  </si>
  <si>
    <t>24</t>
  </si>
  <si>
    <t>KBC</t>
  </si>
  <si>
    <t>2246.24</t>
  </si>
  <si>
    <t>25</t>
  </si>
  <si>
    <t>KDH</t>
  </si>
  <si>
    <t>2246.25</t>
  </si>
  <si>
    <t>26</t>
  </si>
  <si>
    <t>MBB</t>
  </si>
  <si>
    <t>2246.26</t>
  </si>
  <si>
    <t>27</t>
  </si>
  <si>
    <t>MCH</t>
  </si>
  <si>
    <t>2246.27</t>
  </si>
  <si>
    <t>28</t>
  </si>
  <si>
    <t>MSN</t>
  </si>
  <si>
    <t>2246.28</t>
  </si>
  <si>
    <t>29</t>
  </si>
  <si>
    <t>MWG</t>
  </si>
  <si>
    <t>2246.29</t>
  </si>
  <si>
    <t>30</t>
  </si>
  <si>
    <t>PDR</t>
  </si>
  <si>
    <t>2246.30</t>
  </si>
  <si>
    <t>31</t>
  </si>
  <si>
    <t>PNJ</t>
  </si>
  <si>
    <t>2246.31</t>
  </si>
  <si>
    <t>32</t>
  </si>
  <si>
    <t>PVD</t>
  </si>
  <si>
    <t>2246.32</t>
  </si>
  <si>
    <t>33</t>
  </si>
  <si>
    <t>PVS</t>
  </si>
  <si>
    <t>2246.33</t>
  </si>
  <si>
    <t>34</t>
  </si>
  <si>
    <t>QNS</t>
  </si>
  <si>
    <t>2246.34</t>
  </si>
  <si>
    <t>35</t>
  </si>
  <si>
    <t>REE</t>
  </si>
  <si>
    <t>2246.35</t>
  </si>
  <si>
    <t>36</t>
  </si>
  <si>
    <t>SIP</t>
  </si>
  <si>
    <t>2246.36</t>
  </si>
  <si>
    <t>37</t>
  </si>
  <si>
    <t>SSI</t>
  </si>
  <si>
    <t>2246.37</t>
  </si>
  <si>
    <t>38</t>
  </si>
  <si>
    <t>STB</t>
  </si>
  <si>
    <t>2246.38</t>
  </si>
  <si>
    <t>39</t>
  </si>
  <si>
    <t>SZC</t>
  </si>
  <si>
    <t>2246.39</t>
  </si>
  <si>
    <t>40</t>
  </si>
  <si>
    <t>TCB</t>
  </si>
  <si>
    <t>2246.40</t>
  </si>
  <si>
    <t>41</t>
  </si>
  <si>
    <t>TCH</t>
  </si>
  <si>
    <t>2246.41</t>
  </si>
  <si>
    <t>42</t>
  </si>
  <si>
    <t>TTN</t>
  </si>
  <si>
    <t>2246.42</t>
  </si>
  <si>
    <t>43</t>
  </si>
  <si>
    <t>VCB</t>
  </si>
  <si>
    <t>2246.43</t>
  </si>
  <si>
    <t>44</t>
  </si>
  <si>
    <t>VCI</t>
  </si>
  <si>
    <t>2246.44</t>
  </si>
  <si>
    <t>45</t>
  </si>
  <si>
    <t>VDS</t>
  </si>
  <si>
    <t>2246.45</t>
  </si>
  <si>
    <t>46</t>
  </si>
  <si>
    <t>VEA</t>
  </si>
  <si>
    <t>2246.46</t>
  </si>
  <si>
    <t>47</t>
  </si>
  <si>
    <t>VGI</t>
  </si>
  <si>
    <t>2246.47</t>
  </si>
  <si>
    <t>48</t>
  </si>
  <si>
    <t>VGS</t>
  </si>
  <si>
    <t>2246.48</t>
  </si>
  <si>
    <t>49</t>
  </si>
  <si>
    <t>VHC</t>
  </si>
  <si>
    <t>2246.49</t>
  </si>
  <si>
    <t>50</t>
  </si>
  <si>
    <t>VIB</t>
  </si>
  <si>
    <t>2246.50</t>
  </si>
  <si>
    <t>51</t>
  </si>
  <si>
    <t>VPB</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</si>
  <si>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</si>
  <si>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</si>
  <si>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</si>
  <si>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</si>
  <si>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</si>
  <si>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</si>
  <si>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</si>
  <si>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</si>
  <si>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</si>
  <si>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</si>
  <si>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</si>
  <si>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</si>
  <si>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</si>
  <si>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</si>
  <si>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</si>
  <si>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</si>
  <si>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</si>
  <si>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</si>
  <si>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</si>
  <si>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</si>
  <si>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</si>
  <si>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</si>
  <si>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</si>
  <si>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</si>
  <si>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</si>
  <si>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</si>
  <si>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</si>
  <si>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</si>
  <si>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</si>
  <si>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</si>
  <si>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</si>
  <si>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</si>
  <si>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</si>
  <si>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</si>
  <si>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</si>
  <si>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</si>
  <si>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</si>
  <si>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</si>
  <si>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</si>
  <si>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</si>
  <si>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</si>
  <si>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</si>
  <si>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</si>
  <si>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</si>
  <si>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</si>
  <si>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</si>
  <si>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</si>
  <si>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</si>
  <si>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</si>
  <si>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</si>
  <si>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</si>
  <si>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</si>
  <si>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</si>
  <si>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</si>
  <si>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</si>
  <si>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</si>
  <si>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</si>
  <si>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</si>
  <si>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</si>
  <si>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</si>
  <si>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</si>
  <si>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</si>
  <si>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</si>
  <si>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</si>
  <si>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</si>
  <si>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</si>
  <si>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</si>
  <si>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</si>
  <si>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</si>
  <si>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</si>
  <si>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</si>
  <si>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</si>
  <si>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</si>
  <si>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</si>
  <si>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</si>
  <si>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</si>
  <si>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</si>
  <si>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</si>
  <si>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</si>
  <si>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</si>
  <si>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</si>
  <si>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</si>
  <si>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</si>
  <si>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</si>
  <si>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</si>
  <si>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</si>
  <si>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</si>
  <si>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</si>
  <si>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</si>
  <si>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</si>
  <si>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</si>
  <si>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</si>
  <si>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</si>
  <si>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</si>
  <si>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</si>
  <si>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</si>
  <si>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</si>
  <si>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</si>
  <si>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</si>
  <si>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</si>
  <si>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</si>
  <si>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</si>
  <si>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</si>
  <si>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</si>
  <si>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</si>
  <si>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</si>
  <si>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</si>
  <si>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</si>
  <si>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</si>
  <si>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</si>
  <si>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</si>
  <si>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</si>
  <si>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</si>
  <si>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</si>
  <si>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</si>
  <si>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</si>
  <si>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</si>
  <si>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</si>
  <si>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</si>
  <si>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</si>
  <si>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</si>
  <si>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</si>
  <si>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</si>
  <si>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</si>
  <si>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</si>
  <si>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</si>
  <si>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</si>
  <si>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</si>
  <si>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</si>
  <si>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</si>
  <si>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</si>
  <si>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</si>
  <si>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</si>
  <si>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</si>
  <si>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</si>
  <si>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</si>
  <si>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</si>
  <si>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</si>
  <si>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</si>
  <si>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</si>
  <si>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</si>
  <si>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</si>
  <si>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</si>
  <si>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</si>
  <si>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</si>
  <si>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</si>
  <si>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</si>
  <si>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</si>
  <si>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</si>
  <si>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</si>
  <si>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</si>
  <si>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</si>
  <si>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</si>
  <si>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</si>
  <si>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</si>
  <si>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</si>
  <si>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</si>
  <si>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</si>
  <si>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</si>
  <si>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</si>
  <si>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</si>
  <si>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</si>
  <si>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</si>
  <si>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</si>
  <si>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</si>
  <si>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</si>
  <si>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</si>
  <si>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</si>
  <si>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</si>
  <si>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</si>
  <si>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</si>
  <si>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</si>
  <si>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</si>
  <si>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</si>
  <si>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</si>
  <si>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</si>
  <si>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</si>
  <si>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</si>
  <si>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</si>
  <si>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</si>
  <si>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</si>
  <si>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</si>
  <si>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</si>
  <si>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</si>
  <si>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</si>
  <si>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</si>
  <si>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</si>
  <si>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</si>
  <si>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</si>
  <si>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</si>
  <si>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</si>
  <si>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</si>
  <si>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</si>
  <si>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</si>
  <si>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</si>
  <si>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</si>
  <si>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</si>
  <si>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</si>
  <si>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</si>
  <si>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</si>
  <si>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</si>
  <si>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</si>
  <si>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</si>
  <si>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</si>
  <si>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</si>
  <si>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</si>
  <si>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</si>
  <si>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</si>
  <si>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</si>
  <si>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</si>
  <si>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</si>
  <si>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</si>
  <si>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</si>
  <si>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</si>
  <si>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</si>
  <si>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</si>
  <si>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</si>
  <si>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</si>
  <si>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</si>
  <si>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</si>
  <si>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</si>
  <si>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</si>
  <si>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</si>
  <si>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</si>
  <si>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</si>
  <si>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</si>
  <si>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</si>
  <si>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</si>
  <si>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</si>
  <si>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</si>
  <si>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</si>
  <si>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</si>
  <si>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</si>
  <si>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</si>
  <si>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</si>
  <si>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</si>
  <si>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</si>
  <si>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</si>
  <si>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</si>
  <si>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</si>
  <si>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</si>
  <si>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</si>
  <si>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</si>
  <si>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</si>
  <si>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</si>
  <si>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</si>
  <si>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</si>
  <si>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</si>
  <si>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</si>
  <si>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</si>
  <si>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</si>
  <si>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</si>
  <si>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</si>
  <si>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</si>
  <si>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</si>
  <si>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</si>
  <si>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</si>
  <si>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</si>
  <si>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</si>
  <si>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</si>
  <si>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</si>
  <si>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</si>
  <si>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</si>
  <si>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</si>
  <si>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</si>
  <si>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</si>
  <si>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</si>
  <si>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</si>
  <si>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</si>
  <si>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</si>
  <si>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</si>
  <si>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</si>
  <si>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</si>
  <si>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</si>
  <si>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</si>
  <si>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</si>
  <si>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</si>
  <si>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</si>
  <si>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</si>
  <si>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</si>
  <si>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</si>
  <si>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</si>
  <si>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</si>
  <si>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</si>
  <si>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</si>
  <si>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</si>
  <si>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</si>
  <si>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</si>
  <si>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</si>
  <si>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</si>
  <si>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</si>
  <si>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</si>
  <si>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</si>
  <si>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</si>
  <si>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</si>
  <si>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</si>
  <si>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</si>
  <si>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</si>
  <si>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</si>
  <si>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</si>
  <si>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</si>
  <si>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</si>
  <si>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</si>
  <si>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</si>
  <si>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</si>
  <si>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</si>
  <si>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</si>
  <si>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</si>
  <si>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</si>
  <si>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</si>
  <si>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</si>
  <si>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</si>
  <si>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</si>
  <si>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</si>
  <si>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</si>
  <si>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</si>
  <si>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</si>
  <si>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</si>
  <si>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</si>
  <si>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</si>
  <si>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</si>
  <si>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</si>
  <si>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</si>
  <si>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</si>
  <si>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</si>
  <si>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</si>
  <si>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</si>
  <si>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</si>
  <si>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</si>
  <si>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</si>
  <si>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</si>
  <si>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</si>
  <si>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</si>
  <si>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</si>
  <si>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</si>
  <si>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</si>
  <si>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</si>
  <si>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</si>
  <si>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</si>
  <si>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</si>
  <si>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</si>
  <si>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</si>
  <si>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</si>
  <si>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</si>
  <si>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</si>
  <si>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</si>
  <si>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</si>
  <si>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</si>
  <si>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</si>
  <si>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</si>
  <si>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</si>
  <si>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</si>
  <si>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</si>
  <si>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</si>
  <si>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</si>
  <si>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</si>
  <si>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</si>
  <si>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</si>
  <si>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</si>
  <si>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</si>
  <si>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</si>
  <si>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</si>
  <si>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</si>
  <si>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</si>
  <si>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</si>
  <si>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</si>
  <si>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</si>
  <si>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</si>
  <si>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</si>
  <si>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</si>
  <si>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</si>
  <si>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</si>
  <si>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</si>
  <si>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</si>
  <si>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</si>
  <si>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</si>
  <si>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</si>
  <si>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</si>
  <si>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</si>
  <si>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</si>
  <si>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</si>
  <si>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</si>
  <si>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</si>
  <si>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</si>
  <si>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</si>
  <si>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</si>
  <si>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</si>
  <si>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</si>
  <si>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</si>
  <si>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</si>
  <si>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</si>
  <si>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</si>
  <si>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</si>
  <si>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</si>
  <si>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</si>
  <si>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</si>
  <si>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</si>
  <si>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</si>
  <si>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</si>
  <si>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</si>
  <si>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</si>
  <si>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</si>
  <si>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</si>
  <si>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</si>
  <si>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</si>
  <si>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</si>
  <si>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</si>
  <si>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</si>
  <si>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</si>
  <si>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</si>
  <si>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</si>
  <si>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</si>
  <si>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</si>
  <si>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</si>
  <si>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</si>
  <si>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</si>
  <si>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</si>
  <si>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</si>
  <si>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</si>
  <si>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</si>
  <si>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</si>
  <si>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</si>
  <si>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</si>
  <si>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</si>
  <si>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</si>
  <si>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</si>
  <si>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</si>
  <si>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</si>
  <si>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</si>
  <si>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</si>
  <si>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</si>
  <si>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</si>
  <si>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</si>
  <si>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</si>
  <si>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</si>
  <si>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</si>
  <si>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</si>
  <si>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</si>
  <si>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</si>
  <si>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</si>
  <si>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</si>
  <si>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</si>
  <si>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</si>
  <si>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</si>
  <si>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</si>
  <si>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</si>
  <si>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</si>
  <si>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</si>
  <si>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</si>
  <si>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</si>
  <si>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</si>
  <si>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Tháng 12 năm 2024
/ Dec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</si>
  <si>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</si>
  <si>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</si>
  <si>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</si>
  <si>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</si>
  <si>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01 năm 2025</t>
  </si>
  <si>
    <t>02 Jan 2025</t>
  </si>
  <si>
    <t>Vũ Quang Phan</t>
  </si>
  <si>
    <t>Lê Hoàng Anh</t>
  </si>
  <si>
    <t>Phó phòng Dịch vụ nghiệp vụ giám sát Quỹ</t>
  </si>
  <si>
    <t>Quyền Giám đốc nghiệp vụ hỗ trợ đầu tư</t>
  </si>
  <si>
    <t>Ngày 31 tháng 12 năm 2024
 As at 31 Dec 2024</t>
  </si>
  <si>
    <t>Ngày 30 tháng 11 năm 2024
 As at 30 Nov 2024</t>
  </si>
  <si>
    <t>Tháng 12 năm 2024
Dec 2024</t>
  </si>
  <si>
    <t>Tháng 11 năm 2024
Nov 2024</t>
  </si>
  <si>
    <t>DC Dynamic Securities Fund (DCDS)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</si>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</sst>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86">
    <xf numFmtId="0" fontId="0" fillId="0" borderId="0" xfId="0"/>
    <xf numFmtId="0" fontId="5" fillId="0" borderId="0" xfId="0" applyFont="1"/>
    <xf numFmtId="0" fontId="6" fillId="3" borderId="0" xfId="0" applyFont="1" applyFill="1"/>
    <xf numFmtId="0" fontId="7" fillId="3" borderId="0" xfId="0" applyFont="1" applyFill="1"/>
    <xf numFmtId="0" fontId="6" fillId="3" borderId="0" xfId="0" applyFont="1" applyFill="1" applyAlignment="1">
      <alignment vertical="center" wrapText="1"/>
    </xf>
    <xf numFmtId="0" fontId="7" fillId="3" borderId="0" xfId="0" applyFont="1" applyFill="1" applyAlignment="1">
      <alignment horizontal="lef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17" fillId="3" borderId="0" xfId="0" applyFont="1" applyFill="1"/>
    <xf numFmtId="0" fontId="19" fillId="3" borderId="0" xfId="0" applyFont="1" applyFill="1" applyAlignment="1">
      <alignment vertical="center"/>
    </xf>
    <xf numFmtId="0" fontId="19" fillId="3" borderId="0" xfId="0" applyFont="1" applyFill="1"/>
    <xf numFmtId="0" fontId="17"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16" fillId="3" borderId="0" xfId="16" applyFont="1" applyFill="1" applyAlignment="1">
      <alignment horizontal="center" vertical="center"/>
    </xf>
    <xf numFmtId="0" fontId="16" fillId="3" borderId="0" xfId="16" applyFont="1" applyFill="1" applyAlignment="1">
      <alignment vertical="center"/>
    </xf>
    <xf numFmtId="0" fontId="16" fillId="2" borderId="9" xfId="6" applyFont="1" applyFill="1" applyBorder="1" applyAlignment="1">
      <alignment horizontal="center" vertical="center" wrapText="1"/>
    </xf>
    <xf numFmtId="165" fontId="16" fillId="2" borderId="9" xfId="7" applyNumberFormat="1" applyFont="1" applyFill="1" applyBorder="1" applyAlignment="1" applyProtection="1">
      <alignment horizontal="center" vertical="center" wrapText="1"/>
      <protection locked="0"/>
    </xf>
    <xf numFmtId="165" fontId="16" fillId="2" borderId="9" xfId="10" applyNumberFormat="1" applyFont="1" applyFill="1" applyBorder="1" applyAlignment="1" applyProtection="1">
      <alignment horizontal="center" vertical="center" wrapText="1"/>
    </xf>
    <xf numFmtId="0" fontId="16" fillId="14" borderId="21" xfId="0" applyNumberFormat="1" applyFont="1" applyFill="1" applyBorder="1" applyAlignment="1" applyProtection="1">
      <alignment horizontal="center" vertical="center" wrapText="1"/>
      <protection locked="0"/>
    </xf>
    <xf numFmtId="0" fontId="16" fillId="13" borderId="20" xfId="0" applyNumberFormat="1" applyFont="1" applyFill="1" applyBorder="1" applyAlignment="1" applyProtection="1">
      <alignment horizontal="left" vertical="center" wrapText="1"/>
      <protection locked="0"/>
    </xf>
    <xf numFmtId="165" fontId="16" fillId="16" borderId="23" xfId="0" applyNumberFormat="1" applyFont="1" applyFill="1" applyBorder="1" applyAlignment="1" applyProtection="1">
      <alignment horizontal="right" vertical="center" wrapText="1"/>
      <protection locked="0"/>
    </xf>
    <xf numFmtId="10" fontId="16" fillId="15" borderId="22" xfId="0" applyNumberFormat="1" applyFont="1" applyFill="1" applyBorder="1" applyAlignment="1" applyProtection="1">
      <alignment horizontal="right" vertical="center" wrapText="1"/>
      <protection locked="0"/>
    </xf>
    <xf numFmtId="4" fontId="17" fillId="9" borderId="16" xfId="0" applyNumberFormat="1" applyFont="1" applyFill="1" applyBorder="1" applyAlignment="1" applyProtection="1">
      <alignment horizontal="center" vertical="center" wrapText="1"/>
      <protection locked="0"/>
    </xf>
    <xf numFmtId="4" fontId="17" fillId="8" borderId="15" xfId="0" applyNumberFormat="1" applyFont="1" applyFill="1" applyBorder="1" applyAlignment="1" applyProtection="1">
      <alignment horizontal="left" vertical="center" wrapText="1"/>
      <protection locked="0"/>
    </xf>
    <xf numFmtId="165" fontId="17" fillId="12" borderId="19" xfId="0" applyNumberFormat="1" applyFont="1" applyFill="1" applyBorder="1" applyAlignment="1" applyProtection="1">
      <alignment horizontal="right" vertical="center" wrapText="1"/>
      <protection locked="0"/>
    </xf>
    <xf numFmtId="10" fontId="17" fillId="11" borderId="18" xfId="0" applyNumberFormat="1" applyFont="1" applyFill="1" applyBorder="1" applyAlignment="1" applyProtection="1">
      <alignment horizontal="right" vertical="center" wrapText="1"/>
      <protection locked="0"/>
    </xf>
    <xf numFmtId="43" fontId="17" fillId="17" borderId="24" xfId="0"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17" fillId="3" borderId="0" xfId="0" applyFont="1" applyFill="1" applyAlignment="1">
      <alignment horizontal="left" vertical="center"/>
    </xf>
    <xf numFmtId="0" fontId="18" fillId="3" borderId="0" xfId="1" applyFont="1" applyFill="1" applyAlignment="1">
      <alignment vertical="center"/>
    </xf>
    <xf numFmtId="0" fontId="18" fillId="3" borderId="0" xfId="0" applyFont="1" applyFill="1" applyAlignment="1">
      <alignment horizontal="left" vertical="center"/>
    </xf>
    <xf numFmtId="0" fontId="18" fillId="3" borderId="0" xfId="0" applyFont="1" applyFill="1"/>
    <xf numFmtId="0" fontId="17" fillId="3" borderId="8" xfId="0" applyFont="1" applyFill="1" applyBorder="1" applyAlignment="1">
      <alignment horizontal="left" vertical="center"/>
    </xf>
    <xf numFmtId="0" fontId="16" fillId="3" borderId="5" xfId="0" applyFont="1" applyFill="1" applyBorder="1" applyAlignment="1">
      <alignment horizontal="left" vertical="center"/>
    </xf>
    <xf numFmtId="0" fontId="17" fillId="3" borderId="5" xfId="0" applyFont="1" applyFill="1" applyBorder="1" applyAlignment="1">
      <alignment horizontal="left" vertical="center"/>
    </xf>
    <xf numFmtId="0" fontId="16" fillId="3" borderId="0" xfId="0" applyFont="1" applyFill="1" applyAlignment="1">
      <alignment horizontal="left" vertical="center"/>
    </xf>
    <xf numFmtId="0" fontId="19" fillId="0" borderId="0" xfId="0" applyFont="1" applyAlignment="1">
      <alignment vertical="center"/>
    </xf>
    <xf numFmtId="0" fontId="20" fillId="3" borderId="0" xfId="0" applyFont="1" applyFill="1" applyAlignment="1">
      <alignment horizontal="lef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16" fillId="7" borderId="9" xfId="14"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9" xfId="0" applyFont="1" applyFill="1" applyBorder="1" applyAlignment="1">
      <alignment horizontal="center" vertical="center"/>
    </xf>
    <xf numFmtId="49" fontId="16" fillId="7" borderId="9" xfId="14" applyNumberFormat="1" applyFont="1" applyFill="1" applyBorder="1" applyAlignment="1">
      <alignment horizontal="left" vertical="center" wrapText="1"/>
    </xf>
    <xf numFmtId="49" fontId="16" fillId="7" borderId="9" xfId="14" applyNumberFormat="1" applyFont="1" applyFill="1" applyBorder="1" applyAlignment="1">
      <alignment horizontal="center" vertical="center" wrapText="1"/>
    </xf>
    <xf numFmtId="41" fontId="16" fillId="7" borderId="9" xfId="22" applyNumberFormat="1" applyFont="1" applyFill="1" applyBorder="1" applyAlignment="1">
      <alignment horizontal="left"/>
    </xf>
    <xf numFmtId="0" fontId="21" fillId="0" borderId="0" xfId="0" applyFont="1" applyAlignment="1">
      <alignment vertical="center"/>
    </xf>
    <xf numFmtId="0" fontId="17" fillId="5" borderId="9" xfId="15" applyFont="1" applyBorder="1" applyAlignment="1">
      <alignment horizontal="center" vertical="center"/>
    </xf>
    <xf numFmtId="49" fontId="17" fillId="5" borderId="9" xfId="14" applyNumberFormat="1" applyFont="1" applyBorder="1" applyAlignment="1">
      <alignment horizontal="left" vertical="center" wrapText="1"/>
    </xf>
    <xf numFmtId="49" fontId="17" fillId="5" borderId="9" xfId="14" applyNumberFormat="1" applyFont="1" applyBorder="1" applyAlignment="1">
      <alignment horizontal="center" vertical="center" wrapText="1"/>
    </xf>
    <xf numFmtId="41" fontId="17" fillId="5" borderId="9" xfId="22" applyNumberFormat="1" applyFont="1" applyBorder="1"/>
    <xf numFmtId="0" fontId="17" fillId="0" borderId="9" xfId="0" applyFont="1" applyBorder="1" applyAlignment="1">
      <alignment horizontal="left"/>
    </xf>
    <xf numFmtId="41" fontId="17" fillId="0" borderId="9" xfId="0" applyNumberFormat="1" applyFont="1" applyBorder="1" applyAlignment="1">
      <alignment horizontal="left"/>
    </xf>
    <xf numFmtId="0" fontId="18" fillId="5" borderId="9" xfId="15" applyFont="1" applyBorder="1" applyAlignment="1">
      <alignment horizontal="center" vertical="center"/>
    </xf>
    <xf numFmtId="49" fontId="18" fillId="5" borderId="9" xfId="14" applyNumberFormat="1" applyFont="1" applyBorder="1" applyAlignment="1">
      <alignment horizontal="left" vertical="center" wrapText="1"/>
    </xf>
    <xf numFmtId="49" fontId="18" fillId="5" borderId="9" xfId="14" applyNumberFormat="1" applyFont="1" applyBorder="1" applyAlignment="1">
      <alignment horizontal="center" vertical="center" wrapText="1"/>
    </xf>
    <xf numFmtId="0" fontId="18" fillId="3" borderId="9" xfId="15" applyFont="1" applyFill="1" applyBorder="1" applyAlignment="1">
      <alignment horizontal="center" vertical="center"/>
    </xf>
    <xf numFmtId="49" fontId="18" fillId="3" borderId="9" xfId="14" applyNumberFormat="1" applyFont="1" applyFill="1" applyBorder="1" applyAlignment="1">
      <alignment horizontal="left" vertical="center" wrapText="1"/>
    </xf>
    <xf numFmtId="49" fontId="18" fillId="3" borderId="9" xfId="14" applyNumberFormat="1" applyFont="1" applyFill="1" applyBorder="1" applyAlignment="1">
      <alignment horizontal="center" vertical="center" wrapText="1"/>
    </xf>
    <xf numFmtId="41" fontId="16" fillId="7" borderId="9" xfId="22" applyNumberFormat="1" applyFont="1" applyFill="1" applyBorder="1"/>
    <xf numFmtId="0" fontId="17" fillId="3" borderId="9" xfId="15" applyFont="1" applyFill="1" applyBorder="1" applyAlignment="1">
      <alignment horizontal="center" vertical="center"/>
    </xf>
    <xf numFmtId="0" fontId="17" fillId="5" borderId="9" xfId="14" applyFont="1" applyBorder="1" applyAlignment="1">
      <alignment horizontal="left" vertical="center" wrapText="1"/>
    </xf>
    <xf numFmtId="0" fontId="18" fillId="5" borderId="9" xfId="14" applyFont="1" applyBorder="1" applyAlignment="1">
      <alignment horizontal="left" vertical="center" wrapText="1"/>
    </xf>
    <xf numFmtId="0" fontId="18" fillId="0" borderId="9" xfId="4" applyFont="1" applyBorder="1" applyAlignment="1">
      <alignment horizontal="left" vertical="center" wrapText="1"/>
    </xf>
    <xf numFmtId="0" fontId="16" fillId="7" borderId="9" xfId="15" applyFont="1" applyFill="1" applyBorder="1" applyAlignment="1">
      <alignment horizontal="center" vertical="center"/>
    </xf>
    <xf numFmtId="0" fontId="23" fillId="0" borderId="0" xfId="0" applyFont="1" applyAlignment="1">
      <alignment vertical="center"/>
    </xf>
    <xf numFmtId="0" fontId="17" fillId="0" borderId="9" xfId="0" applyFont="1" applyBorder="1" applyAlignment="1">
      <alignment horizontal="center" vertical="center"/>
    </xf>
    <xf numFmtId="0" fontId="21" fillId="3" borderId="5" xfId="0" applyFont="1" applyFill="1" applyBorder="1" applyAlignment="1">
      <alignment vertical="center"/>
    </xf>
    <xf numFmtId="0" fontId="19" fillId="3" borderId="5" xfId="0" applyFont="1" applyFill="1" applyBorder="1" applyAlignment="1">
      <alignment vertical="center"/>
    </xf>
    <xf numFmtId="0" fontId="21" fillId="3" borderId="0" xfId="0" applyFont="1" applyFill="1" applyAlignment="1">
      <alignment vertical="center"/>
    </xf>
    <xf numFmtId="0" fontId="19" fillId="3" borderId="0" xfId="0" applyFont="1" applyFill="1" applyBorder="1" applyAlignment="1">
      <alignment vertical="center"/>
    </xf>
    <xf numFmtId="0" fontId="21" fillId="3" borderId="0" xfId="0" applyFont="1" applyFill="1" applyBorder="1" applyAlignment="1">
      <alignment vertical="center"/>
    </xf>
    <xf numFmtId="0" fontId="19" fillId="0" borderId="0" xfId="0" applyFont="1"/>
    <xf numFmtId="0" fontId="21" fillId="2" borderId="9" xfId="0" applyFont="1" applyFill="1" applyBorder="1" applyAlignment="1">
      <alignment horizontal="center" vertical="center" wrapText="1"/>
    </xf>
    <xf numFmtId="0" fontId="17" fillId="10" borderId="17" xfId="0" applyNumberFormat="1" applyFont="1" applyFill="1" applyBorder="1" applyAlignment="1" applyProtection="1">
      <alignment horizontal="center" vertical="center" wrapText="1"/>
      <protection locked="0"/>
    </xf>
    <xf numFmtId="37" fontId="17" fillId="18" borderId="25" xfId="0" applyNumberFormat="1" applyFont="1" applyFill="1" applyBorder="1" applyAlignment="1" applyProtection="1">
      <alignment horizontal="right" vertical="center" wrapText="1"/>
      <protection locked="0"/>
    </xf>
    <xf numFmtId="0" fontId="24" fillId="3" borderId="0" xfId="0" applyFont="1" applyFill="1" applyAlignment="1">
      <alignment vertical="center"/>
    </xf>
    <xf numFmtId="0" fontId="16" fillId="3" borderId="5" xfId="1" applyFont="1" applyFill="1" applyBorder="1" applyAlignment="1">
      <alignment vertical="center"/>
    </xf>
    <xf numFmtId="0" fontId="16" fillId="3" borderId="0" xfId="1" applyFont="1" applyFill="1" applyAlignment="1">
      <alignment vertical="center"/>
    </xf>
    <xf numFmtId="0" fontId="17" fillId="3" borderId="0" xfId="1" applyFont="1" applyFill="1" applyAlignment="1">
      <alignment vertical="center"/>
    </xf>
    <xf numFmtId="0" fontId="26" fillId="4" borderId="0" xfId="12" applyFont="1" applyFill="1" applyAlignment="1">
      <alignment vertical="center"/>
    </xf>
    <xf numFmtId="0" fontId="26" fillId="4" borderId="0" xfId="12" applyFont="1" applyFill="1"/>
    <xf numFmtId="0" fontId="18" fillId="3" borderId="0" xfId="11" applyFont="1" applyFill="1" applyAlignment="1">
      <alignment horizontal="center" vertical="center"/>
    </xf>
    <xf numFmtId="0" fontId="17" fillId="3" borderId="0" xfId="11" applyFont="1" applyFill="1"/>
    <xf numFmtId="0" fontId="26" fillId="3" borderId="0" xfId="12" applyFont="1" applyFill="1"/>
    <xf numFmtId="0" fontId="24" fillId="3" borderId="0" xfId="11" applyFont="1" applyFill="1" applyAlignment="1">
      <alignment horizontal="left" vertical="top"/>
    </xf>
    <xf numFmtId="0" fontId="24" fillId="3" borderId="0" xfId="11" applyFont="1" applyFill="1" applyAlignment="1">
      <alignment horizontal="left" vertical="top" wrapText="1"/>
    </xf>
    <xf numFmtId="0" fontId="28" fillId="3" borderId="0" xfId="11" applyFont="1" applyFill="1" applyAlignment="1">
      <alignment horizontal="left" vertical="top"/>
    </xf>
    <xf numFmtId="0" fontId="17" fillId="3" borderId="0" xfId="11" applyFont="1" applyFill="1" applyAlignment="1">
      <alignment horizontal="left" vertical="top"/>
    </xf>
    <xf numFmtId="0" fontId="19" fillId="3" borderId="0" xfId="11" applyFont="1" applyFill="1" applyAlignment="1">
      <alignment horizontal="left" vertical="top"/>
    </xf>
    <xf numFmtId="0" fontId="19" fillId="3" borderId="0" xfId="12" applyFont="1" applyFill="1"/>
    <xf numFmtId="37" fontId="17" fillId="3" borderId="0" xfId="11" applyNumberFormat="1" applyFont="1" applyFill="1" applyAlignment="1">
      <alignment horizontal="left"/>
    </xf>
    <xf numFmtId="0" fontId="21" fillId="3" borderId="0" xfId="12" applyFont="1" applyFill="1" applyAlignment="1">
      <alignment horizontal="center"/>
    </xf>
    <xf numFmtId="0" fontId="21" fillId="3" borderId="0" xfId="12" applyFont="1" applyFill="1"/>
    <xf numFmtId="0" fontId="19" fillId="4" borderId="0" xfId="12" applyFont="1" applyFill="1"/>
    <xf numFmtId="0" fontId="16" fillId="6" borderId="13" xfId="0" applyFont="1" applyFill="1" applyBorder="1" applyAlignment="1">
      <alignment horizontal="center" vertical="center" wrapText="1"/>
    </xf>
    <xf numFmtId="0" fontId="21" fillId="3" borderId="0" xfId="11" applyFont="1" applyFill="1"/>
    <xf numFmtId="0" fontId="19" fillId="3" borderId="0" xfId="11" applyFont="1" applyFill="1"/>
    <xf numFmtId="165" fontId="19" fillId="3" borderId="0" xfId="13" applyNumberFormat="1" applyFont="1" applyFill="1">
      <protection locked="0"/>
    </xf>
    <xf numFmtId="165" fontId="21" fillId="3" borderId="0" xfId="13" applyNumberFormat="1" applyFont="1" applyFill="1">
      <protection locked="0"/>
    </xf>
    <xf numFmtId="0" fontId="26" fillId="0" borderId="0" xfId="0" applyFont="1"/>
    <xf numFmtId="0" fontId="23" fillId="3" borderId="0" xfId="11" applyFont="1" applyFill="1"/>
    <xf numFmtId="165" fontId="23" fillId="3" borderId="0" xfId="13" applyNumberFormat="1" applyFont="1" applyFill="1">
      <protection locked="0"/>
    </xf>
    <xf numFmtId="0" fontId="26" fillId="3" borderId="0" xfId="12" applyFont="1" applyFill="1" applyAlignment="1">
      <alignment horizontal="center"/>
    </xf>
    <xf numFmtId="0" fontId="26" fillId="3" borderId="8" xfId="12" applyFont="1" applyFill="1" applyBorder="1" applyAlignment="1">
      <alignment horizontal="center"/>
    </xf>
    <xf numFmtId="0" fontId="26" fillId="3" borderId="8" xfId="12" applyFont="1" applyFill="1" applyBorder="1"/>
    <xf numFmtId="0" fontId="21" fillId="3" borderId="0" xfId="17" applyFont="1" applyFill="1" applyBorder="1" applyAlignment="1">
      <alignment vertical="center"/>
    </xf>
    <xf numFmtId="0" fontId="21" fillId="3" borderId="5" xfId="12" applyFont="1" applyFill="1" applyBorder="1"/>
    <xf numFmtId="0" fontId="19" fillId="3" borderId="5" xfId="12" applyFont="1" applyFill="1" applyBorder="1"/>
    <xf numFmtId="0" fontId="19" fillId="3" borderId="0" xfId="12" applyFont="1" applyFill="1" applyAlignment="1">
      <alignment horizontal="center"/>
    </xf>
    <xf numFmtId="0" fontId="26" fillId="4" borderId="0" xfId="12" applyFont="1" applyFill="1" applyAlignment="1">
      <alignment horizontal="center"/>
    </xf>
    <xf numFmtId="0" fontId="21" fillId="0" borderId="0" xfId="0" applyFont="1" applyAlignment="1">
      <alignment wrapText="1"/>
    </xf>
    <xf numFmtId="0" fontId="23" fillId="0" borderId="0" xfId="0" applyFont="1" applyAlignment="1">
      <alignment wrapText="1"/>
    </xf>
    <xf numFmtId="0" fontId="23" fillId="0" borderId="0" xfId="0" applyFont="1"/>
    <xf numFmtId="0" fontId="21" fillId="7" borderId="9" xfId="0" applyFont="1" applyFill="1" applyBorder="1" applyAlignment="1">
      <alignment horizontal="center" vertical="center" wrapText="1"/>
    </xf>
    <xf numFmtId="4" fontId="16" fillId="7" borderId="13" xfId="0" applyNumberFormat="1" applyFont="1" applyFill="1" applyBorder="1" applyAlignment="1">
      <alignment horizontal="center" vertical="center" wrapText="1"/>
    </xf>
    <xf numFmtId="49" fontId="21" fillId="3" borderId="9" xfId="0" applyNumberFormat="1" applyFont="1" applyFill="1" applyBorder="1" applyAlignment="1">
      <alignment horizontal="center" vertical="center"/>
    </xf>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0" fontId="21" fillId="0" borderId="0" xfId="0" applyFont="1"/>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43" fontId="17" fillId="3" borderId="12" xfId="7" applyFont="1" applyFill="1" applyBorder="1" applyAlignment="1" applyProtection="1">
      <alignment horizontal="right" vertical="center" wrapText="1"/>
      <protection locked="0"/>
    </xf>
    <xf numFmtId="43" fontId="16" fillId="3" borderId="12" xfId="7" applyFont="1" applyFill="1" applyBorder="1" applyAlignment="1" applyProtection="1">
      <alignment horizontal="right" vertical="center" wrapText="1"/>
      <protection locked="0"/>
    </xf>
    <xf numFmtId="41" fontId="17" fillId="3" borderId="12" xfId="7" applyNumberFormat="1" applyFont="1" applyFill="1" applyBorder="1" applyAlignment="1" applyProtection="1">
      <alignment horizontal="right" vertical="center" wrapText="1"/>
      <protection locked="0"/>
    </xf>
    <xf numFmtId="0" fontId="23" fillId="3" borderId="0" xfId="0" applyFont="1" applyFill="1" applyAlignment="1">
      <alignment vertical="center"/>
    </xf>
    <xf numFmtId="0" fontId="19" fillId="3" borderId="8" xfId="0" applyFont="1" applyFill="1" applyBorder="1" applyAlignment="1">
      <alignment vertical="center"/>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6" fillId="3" borderId="0" xfId="0" applyFont="1" applyFill="1" applyAlignment="1">
      <alignment horizontal="right" vertical="center" wrapText="1"/>
    </xf>
    <xf numFmtId="0" fontId="18" fillId="3" borderId="0" xfId="0" applyFont="1" applyFill="1" applyAlignment="1">
      <alignment horizontal="right" vertical="center" wrapText="1"/>
    </xf>
    <xf numFmtId="0" fontId="16" fillId="3" borderId="0" xfId="0" applyFont="1" applyFill="1" applyAlignment="1">
      <alignment horizontal="center" vertical="center" wrapText="1"/>
    </xf>
    <xf numFmtId="0" fontId="18" fillId="3" borderId="0" xfId="0" applyFont="1" applyFill="1" applyAlignment="1">
      <alignment horizontal="center" vertical="center"/>
    </xf>
    <xf numFmtId="0" fontId="20" fillId="3" borderId="0" xfId="0" applyFont="1" applyFill="1" applyAlignment="1">
      <alignment horizontal="left" vertical="center" wrapText="1"/>
    </xf>
    <xf numFmtId="0" fontId="17" fillId="3" borderId="0" xfId="0" applyFont="1" applyFill="1" applyAlignment="1">
      <alignment horizontal="left" vertical="center" wrapText="1"/>
    </xf>
    <xf numFmtId="0" fontId="19" fillId="3" borderId="0" xfId="0" applyFont="1" applyFill="1" applyAlignment="1">
      <alignment horizontal="left" vertical="center"/>
    </xf>
    <xf numFmtId="0" fontId="21" fillId="3" borderId="0" xfId="0" applyFont="1" applyFill="1" applyAlignment="1">
      <alignment horizontal="right" vertical="center" wrapText="1"/>
    </xf>
    <xf numFmtId="0" fontId="23" fillId="3" borderId="0" xfId="0" applyFont="1" applyFill="1" applyAlignment="1">
      <alignment horizontal="right" vertical="center" wrapText="1"/>
    </xf>
    <xf numFmtId="0" fontId="21"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16" fillId="6" borderId="13" xfId="0" applyFont="1" applyFill="1" applyBorder="1" applyAlignment="1">
      <alignment horizontal="center" vertical="center" wrapText="1"/>
    </xf>
    <xf numFmtId="0" fontId="16" fillId="6" borderId="13" xfId="0" applyFont="1" applyFill="1" applyBorder="1" applyAlignment="1">
      <alignment horizontal="center" vertical="center"/>
    </xf>
    <xf numFmtId="0" fontId="20" fillId="3" borderId="0" xfId="11" applyFont="1" applyFill="1" applyAlignment="1">
      <alignment horizontal="left" vertical="top" wrapText="1"/>
    </xf>
    <xf numFmtId="0" fontId="24" fillId="3" borderId="0" xfId="11" applyFont="1" applyFill="1" applyAlignment="1">
      <alignment horizontal="left" vertical="top" wrapText="1"/>
    </xf>
    <xf numFmtId="0" fontId="28" fillId="3" borderId="0" xfId="11" applyFont="1" applyFill="1" applyAlignment="1">
      <alignment horizontal="left" vertical="center" wrapText="1"/>
    </xf>
    <xf numFmtId="0" fontId="29" fillId="3" borderId="0" xfId="11" applyFont="1" applyFill="1" applyAlignment="1">
      <alignment horizontal="left" vertical="center" wrapText="1"/>
    </xf>
    <xf numFmtId="37" fontId="17" fillId="3" borderId="0" xfId="11" applyNumberFormat="1" applyFont="1" applyFill="1" applyAlignment="1">
      <alignment horizontal="left"/>
    </xf>
    <xf numFmtId="0" fontId="17" fillId="3" borderId="0" xfId="11" applyFont="1" applyFill="1" applyAlignment="1">
      <alignment horizontal="left" vertical="center" wrapText="1"/>
    </xf>
    <xf numFmtId="0" fontId="19" fillId="3" borderId="0" xfId="11" applyFont="1" applyFill="1" applyAlignment="1">
      <alignment horizontal="left" vertical="top" wrapText="1"/>
    </xf>
    <xf numFmtId="0" fontId="28" fillId="3" borderId="0" xfId="11" applyFont="1" applyFill="1" applyAlignment="1">
      <alignment horizontal="left" vertical="top" wrapText="1"/>
    </xf>
    <xf numFmtId="0" fontId="25" fillId="0" borderId="0" xfId="11" applyFont="1" applyAlignment="1">
      <alignment horizontal="right" vertical="center" wrapText="1"/>
    </xf>
    <xf numFmtId="0" fontId="27" fillId="3" borderId="0" xfId="11" applyFont="1" applyFill="1" applyAlignment="1">
      <alignment horizontal="right" vertical="center" wrapText="1"/>
    </xf>
    <xf numFmtId="0" fontId="16" fillId="0" borderId="0" xfId="11" applyFont="1" applyAlignment="1">
      <alignment horizontal="center" vertical="center" wrapText="1"/>
    </xf>
    <xf numFmtId="0" fontId="18" fillId="3" borderId="0" xfId="11" applyFont="1" applyFill="1" applyAlignment="1">
      <alignment horizontal="center" vertical="center"/>
    </xf>
    <xf numFmtId="0" fontId="20" fillId="3" borderId="0" xfId="11" applyFont="1" applyFill="1" applyAlignment="1">
      <alignment horizontal="left" vertical="center" wrapText="1"/>
    </xf>
    <xf numFmtId="0" fontId="16" fillId="3" borderId="0" xfId="11" applyFont="1" applyFill="1" applyAlignment="1">
      <alignment horizontal="left" vertical="center"/>
    </xf>
    <xf numFmtId="0" fontId="19" fillId="3" borderId="0" xfId="0" applyFont="1" applyFill="1" applyAlignment="1">
      <alignment horizontal="left" vertical="center" wrapText="1"/>
    </xf>
    <xf numFmtId="49" fontId="19" fillId="3" borderId="9" xfId="0" applyNumberFormat="1" applyFont="1" applyFill="1" applyBorder="1" applyAlignment="1">
      <alignment horizontal="center" vertical="center"/>
    </xf>
    <xf numFmtId="49" fontId="19" fillId="3" borderId="10" xfId="0" applyNumberFormat="1" applyFont="1" applyFill="1" applyBorder="1" applyAlignment="1">
      <alignment horizontal="center" vertical="center"/>
    </xf>
    <xf numFmtId="49" fontId="19" fillId="3" borderId="14" xfId="0" applyNumberFormat="1" applyFont="1" applyFill="1" applyBorder="1" applyAlignment="1">
      <alignment horizontal="center" vertical="center"/>
    </xf>
    <xf numFmtId="49" fontId="19"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7"/>
    <col min="3" max="3" width="30.1796875" style="7" customWidth="1"/>
    <col min="4" max="4" width="30.81640625" style="7" customWidth="1"/>
    <col min="5" max="5" width="21.1796875" style="7" customWidth="1"/>
    <col min="6" max="9" width="9.1796875" style="7"/>
    <col min="10" max="10" width="11.81640625" style="7" customWidth="1"/>
    <col min="11" max="11" width="15" style="7" customWidth="1"/>
    <col min="12" max="16384" width="9.1796875" style="7"/>
  </cols>
  <sheetData>
    <row r="1" spans="1:11">
      <c r="A1" s="6" t="s">
        <v>0</v>
      </c>
      <c r="C1" s="149" t="s">
        <v>980</v>
      </c>
      <c r="D1" s="150"/>
    </row>
    <row r="2" spans="1:11">
      <c r="C2" s="8" t="s">
        <v>981</v>
      </c>
      <c r="D2" s="9"/>
    </row>
    <row r="3" spans="1:11">
      <c r="D3" s="10"/>
    </row>
    <row r="4" spans="1:11">
      <c r="A4" s="6" t="s">
        <v>1</v>
      </c>
      <c r="D4" s="10"/>
    </row>
    <row r="5" spans="1:11" ht="15" customHeight="1">
      <c r="C5" s="11" t="s">
        <v>2</v>
      </c>
      <c r="D5" s="152" t="s">
        <v>982</v>
      </c>
      <c r="E5" s="152"/>
      <c r="F5" s="152"/>
      <c r="G5" s="152"/>
      <c r="H5" s="152"/>
      <c r="I5" s="152"/>
    </row>
    <row r="6" spans="1:11">
      <c r="C6" s="5" t="s">
        <v>15</v>
      </c>
      <c r="D6" s="151" t="s">
        <v>983</v>
      </c>
      <c r="E6" s="151"/>
      <c r="F6" s="151"/>
      <c r="G6" s="151"/>
      <c r="H6" s="151"/>
      <c r="I6" s="151"/>
    </row>
    <row r="7" spans="1:11">
      <c r="C7" s="12" t="s">
        <v>3</v>
      </c>
      <c r="D7" s="152" t="s">
        <v>984</v>
      </c>
      <c r="E7" s="152"/>
      <c r="F7" s="152"/>
      <c r="G7" s="152"/>
      <c r="H7" s="152"/>
      <c r="I7" s="152"/>
    </row>
    <row r="8" spans="1:11" ht="15" customHeight="1">
      <c r="C8" s="4" t="s">
        <v>4</v>
      </c>
      <c r="D8" s="151" t="s">
        <v>985</v>
      </c>
      <c r="E8" s="151"/>
      <c r="F8" s="151"/>
      <c r="G8" s="151"/>
      <c r="H8" s="151"/>
      <c r="I8" s="151"/>
    </row>
    <row r="9" spans="1:11" ht="15" customHeight="1">
      <c r="C9" s="12" t="s">
        <v>5</v>
      </c>
      <c r="D9" s="152" t="s">
        <v>352</v>
      </c>
      <c r="E9" s="152"/>
      <c r="F9" s="152"/>
      <c r="G9" s="152"/>
      <c r="H9" s="152"/>
      <c r="I9" s="152"/>
    </row>
    <row r="10" spans="1:11" ht="15" customHeight="1">
      <c r="C10" s="13" t="s">
        <v>6</v>
      </c>
      <c r="D10" s="151" t="s">
        <v>996</v>
      </c>
      <c r="E10" s="151"/>
      <c r="F10" s="151"/>
      <c r="G10" s="151"/>
      <c r="H10" s="151"/>
      <c r="I10" s="151"/>
    </row>
    <row r="11" spans="1:11">
      <c r="C11" s="14" t="s">
        <v>7</v>
      </c>
      <c r="D11" s="152" t="s">
        <v>986</v>
      </c>
      <c r="E11" s="152"/>
      <c r="F11" s="152"/>
      <c r="G11" s="152"/>
      <c r="H11" s="152"/>
      <c r="I11" s="152"/>
    </row>
    <row r="12" spans="1:11">
      <c r="C12" s="3" t="s">
        <v>8</v>
      </c>
      <c r="D12" s="151" t="s">
        <v>987</v>
      </c>
      <c r="E12" s="151"/>
      <c r="F12" s="151"/>
      <c r="G12" s="151"/>
      <c r="H12" s="151"/>
      <c r="I12" s="151"/>
    </row>
    <row r="13" spans="1:11">
      <c r="D13" s="10"/>
    </row>
    <row r="14" spans="1:11">
      <c r="A14" s="6" t="s">
        <v>9</v>
      </c>
      <c r="D14" s="10"/>
    </row>
    <row r="15" spans="1:11">
      <c r="D15" s="10"/>
    </row>
    <row r="16" spans="1:11">
      <c r="C16" s="15" t="s">
        <v>10</v>
      </c>
      <c r="D16" s="16"/>
      <c r="F16" s="15" t="s">
        <v>11</v>
      </c>
      <c r="G16" s="17"/>
      <c r="H16" s="17"/>
      <c r="I16" s="17"/>
      <c r="J16" s="17"/>
      <c r="K16" s="18"/>
    </row>
    <row r="17" spans="3:11">
      <c r="C17" s="19" t="s">
        <v>12</v>
      </c>
      <c r="D17" s="20"/>
      <c r="F17" s="19" t="s">
        <v>13</v>
      </c>
      <c r="G17" s="2"/>
      <c r="H17" s="2"/>
      <c r="I17" s="2"/>
      <c r="J17" s="2"/>
      <c r="K17" s="21"/>
    </row>
    <row r="18" spans="3:11">
      <c r="C18" s="22"/>
      <c r="D18" s="20"/>
      <c r="F18" s="22"/>
      <c r="G18" s="2"/>
      <c r="H18" s="2"/>
      <c r="I18" s="2"/>
      <c r="J18" s="2"/>
      <c r="K18" s="21"/>
    </row>
    <row r="19" spans="3:11">
      <c r="C19" s="23" t="s">
        <v>14</v>
      </c>
      <c r="D19" s="20"/>
      <c r="F19" s="23" t="str">
        <f>D5</f>
        <v>Công ty Cổ phần Quản lý Quỹ Đầu tư Dragon Capital Việt Nam</v>
      </c>
      <c r="G19" s="2"/>
      <c r="H19" s="2"/>
      <c r="I19" s="2"/>
      <c r="J19" s="2"/>
      <c r="K19" s="21"/>
    </row>
    <row r="20" spans="3:11">
      <c r="C20" s="23" t="s">
        <v>988</v>
      </c>
      <c r="D20" s="20"/>
      <c r="F20" s="23" t="s">
        <v>989</v>
      </c>
      <c r="G20" s="2"/>
      <c r="H20" s="2"/>
      <c r="I20" s="2"/>
      <c r="J20" s="2"/>
      <c r="K20" s="21"/>
    </row>
    <row r="21" spans="3:11">
      <c r="C21" s="24" t="s">
        <v>990</v>
      </c>
      <c r="D21" s="9"/>
      <c r="F21" s="24" t="s">
        <v>991</v>
      </c>
      <c r="G21" s="25"/>
      <c r="H21" s="25"/>
      <c r="I21" s="25"/>
      <c r="J21" s="25"/>
      <c r="K21" s="26"/>
    </row>
    <row r="22" spans="3:11">
      <c r="D22" s="10"/>
    </row>
    <row r="23" spans="3:11">
      <c r="D23" s="10"/>
    </row>
    <row r="24" spans="3:11">
      <c r="D24" s="10"/>
    </row>
    <row r="25" spans="3:11">
      <c r="D25" s="10"/>
    </row>
    <row r="26" spans="3:11">
      <c r="D26" s="10"/>
    </row>
    <row r="27" spans="3:11">
      <c r="D27" s="10"/>
    </row>
    <row r="28" spans="3:11">
      <c r="D28" s="10"/>
    </row>
    <row r="29" spans="3:11">
      <c r="D29" s="10"/>
    </row>
    <row r="30" spans="3:11">
      <c r="D30" s="10"/>
    </row>
    <row r="31" spans="3:11">
      <c r="D31" s="10"/>
    </row>
    <row r="32" spans="3:11">
      <c r="D32" s="10"/>
    </row>
    <row r="33" spans="4:4">
      <c r="D33" s="10"/>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16" zoomScale="80" zoomScaleNormal="100" zoomScaleSheetLayoutView="80" workbookViewId="0">
      <selection activeCell="A51" sqref="A51:XFD51"/>
    </sheetView>
  </sheetViews>
  <sheetFormatPr defaultColWidth="8.7265625" defaultRowHeight="15"/>
  <cols>
    <col min="1" max="1" width="8.7265625" style="30"/>
    <col min="2" max="2" width="44.26953125" style="30" customWidth="1"/>
    <col min="3" max="3" width="10.26953125" style="30" customWidth="1"/>
    <col min="4" max="5" width="41.1796875" style="30" customWidth="1"/>
    <col min="6" max="6" width="37.54296875" style="30" customWidth="1"/>
    <col min="7" max="16384" width="8.7265625" style="30"/>
  </cols>
  <sheetData>
    <row r="1" spans="1:6" s="28" customFormat="1" ht="54.75" customHeight="1">
      <c r="A1" s="153" t="s">
        <v>301</v>
      </c>
      <c r="B1" s="153"/>
      <c r="C1" s="153"/>
      <c r="D1" s="153"/>
      <c r="E1" s="153"/>
      <c r="F1" s="153"/>
    </row>
    <row r="2" spans="1:6" s="28" customFormat="1" ht="50.5" customHeight="1">
      <c r="A2" s="154" t="s">
        <v>302</v>
      </c>
      <c r="B2" s="154"/>
      <c r="C2" s="154"/>
      <c r="D2" s="154"/>
      <c r="E2" s="154"/>
      <c r="F2" s="154"/>
    </row>
    <row r="3" spans="1:6" s="28" customFormat="1">
      <c r="A3" s="155" t="s">
        <v>252</v>
      </c>
      <c r="B3" s="155"/>
      <c r="C3" s="155"/>
      <c r="D3" s="155"/>
      <c r="E3" s="155"/>
      <c r="F3" s="155"/>
    </row>
    <row r="4" spans="1:6" s="28" customFormat="1" ht="32.65" customHeight="1">
      <c r="A4" s="155"/>
      <c r="B4" s="155"/>
      <c r="C4" s="155"/>
      <c r="D4" s="155"/>
      <c r="E4" s="155"/>
      <c r="F4" s="155"/>
    </row>
    <row r="5" spans="1:6" s="28" customFormat="1" ht="16.899999999999999" customHeight="1">
      <c r="A5" s="156" t="str">
        <f>TONGQUAN!C1</f>
        <v>Tại ngày 31 tháng 12 năm 2024
/ As at 31 Dec 2024</v>
      </c>
      <c r="B5" s="156"/>
      <c r="C5" s="156"/>
      <c r="D5" s="156"/>
      <c r="E5" s="156"/>
      <c r="F5" s="156"/>
    </row>
    <row r="6" spans="1:6">
      <c r="A6" s="29"/>
      <c r="B6" s="29"/>
      <c r="C6" s="29"/>
      <c r="D6" s="29"/>
      <c r="E6" s="29"/>
      <c r="F6" s="29"/>
    </row>
    <row r="7" spans="1:6" ht="16.899999999999999" customHeight="1">
      <c r="A7" s="157" t="s">
        <v>2</v>
      </c>
      <c r="B7" s="157"/>
      <c r="C7" s="157" t="str">
        <f>TONGQUAN!D5</f>
        <v>Công ty Cổ phần Quản lý Quỹ Đầu tư Dragon Capital Việt Nam</v>
      </c>
      <c r="D7" s="157"/>
      <c r="E7" s="157"/>
      <c r="F7" s="157"/>
    </row>
    <row r="8" spans="1:6" s="28" customFormat="1" ht="16.899999999999999" customHeight="1">
      <c r="A8" s="158" t="s">
        <v>15</v>
      </c>
      <c r="B8" s="158"/>
      <c r="C8" s="158" t="str">
        <f>TONGQUAN!D6</f>
        <v>Dragon Capital Vietfund Management Joint Stock Company</v>
      </c>
      <c r="D8" s="158"/>
      <c r="E8" s="158"/>
      <c r="F8" s="158"/>
    </row>
    <row r="9" spans="1:6" ht="16.899999999999999" customHeight="1">
      <c r="A9" s="157" t="s">
        <v>3</v>
      </c>
      <c r="B9" s="157"/>
      <c r="C9" s="157" t="str">
        <f>TONGQUAN!D7</f>
        <v>Ngân hàng TNHH Một thành viên Standard Chartered (Việt Nam)</v>
      </c>
      <c r="D9" s="157"/>
      <c r="E9" s="157"/>
      <c r="F9" s="157"/>
    </row>
    <row r="10" spans="1:6" s="28" customFormat="1" ht="16.899999999999999" customHeight="1">
      <c r="A10" s="158" t="s">
        <v>4</v>
      </c>
      <c r="B10" s="158"/>
      <c r="C10" s="158" t="str">
        <f>TONGQUAN!D8</f>
        <v>Standard Chartered Bank (Vietnam) Limited</v>
      </c>
      <c r="D10" s="158"/>
      <c r="E10" s="158"/>
      <c r="F10" s="158"/>
    </row>
    <row r="11" spans="1:6" ht="16.899999999999999" customHeight="1">
      <c r="A11" s="157" t="s">
        <v>5</v>
      </c>
      <c r="B11" s="157"/>
      <c r="C11" s="157" t="str">
        <f>TONGQUAN!D9</f>
        <v>Quỹ Đầu tư Chứng khoán Năng động DC</v>
      </c>
      <c r="D11" s="157"/>
      <c r="E11" s="157"/>
      <c r="F11" s="157"/>
    </row>
    <row r="12" spans="1:6" s="28" customFormat="1" ht="16.899999999999999" customHeight="1">
      <c r="A12" s="158" t="s">
        <v>6</v>
      </c>
      <c r="B12" s="158"/>
      <c r="C12" s="158" t="str">
        <f>TONGQUAN!D10</f>
        <v>DC Dynamic Securities Fund (DCDS)</v>
      </c>
      <c r="D12" s="158"/>
      <c r="E12" s="158"/>
      <c r="F12" s="158"/>
    </row>
    <row r="13" spans="1:6" ht="16.899999999999999" customHeight="1">
      <c r="A13" s="157" t="s">
        <v>7</v>
      </c>
      <c r="B13" s="157"/>
      <c r="C13" s="157" t="str">
        <f>TONGQUAN!D11</f>
        <v>Ngày 02 tháng 01 năm 2025</v>
      </c>
      <c r="D13" s="157"/>
      <c r="E13" s="157"/>
      <c r="F13" s="157"/>
    </row>
    <row r="14" spans="1:6" s="28" customFormat="1" ht="16.899999999999999" customHeight="1">
      <c r="A14" s="158" t="s">
        <v>8</v>
      </c>
      <c r="B14" s="158"/>
      <c r="C14" s="158" t="str">
        <f>TONGQUAN!D12</f>
        <v>02 Jan 2025</v>
      </c>
      <c r="D14" s="158"/>
      <c r="E14" s="158"/>
      <c r="F14" s="158"/>
    </row>
    <row r="15" spans="1:6" s="28" customFormat="1" ht="7.5" customHeight="1">
      <c r="A15" s="31"/>
      <c r="B15" s="31"/>
      <c r="C15" s="31"/>
      <c r="D15" s="31"/>
      <c r="E15" s="31"/>
      <c r="F15" s="31"/>
    </row>
    <row r="16" spans="1:6" s="28" customFormat="1" ht="16.899999999999999" customHeight="1">
      <c r="A16" s="32" t="s">
        <v>299</v>
      </c>
      <c r="B16" s="33" t="s">
        <v>300</v>
      </c>
      <c r="C16" s="31"/>
      <c r="D16" s="31"/>
      <c r="E16" s="31"/>
      <c r="F16" s="31"/>
    </row>
    <row r="17" spans="1:6" s="28" customFormat="1" ht="16.899999999999999" customHeight="1">
      <c r="A17" s="34" t="s">
        <v>16</v>
      </c>
      <c r="B17" s="35" t="s">
        <v>253</v>
      </c>
      <c r="C17" s="31"/>
      <c r="D17" s="31"/>
      <c r="E17" s="31"/>
      <c r="F17" s="31"/>
    </row>
    <row r="18" spans="1:6" s="28" customFormat="1" ht="50.65" customHeight="1">
      <c r="A18" s="36" t="s">
        <v>17</v>
      </c>
      <c r="B18" s="36" t="s">
        <v>18</v>
      </c>
      <c r="C18" s="36" t="s">
        <v>19</v>
      </c>
      <c r="D18" s="37" t="s">
        <v>992</v>
      </c>
      <c r="E18" s="37" t="s">
        <v>993</v>
      </c>
      <c r="F18" s="38" t="s">
        <v>20</v>
      </c>
    </row>
    <row r="19" spans="1:6" ht="39" customHeight="1">
      <c r="A19" s="39" t="s">
        <v>671</v>
      </c>
      <c r="B19" s="40" t="s">
        <v>672</v>
      </c>
      <c r="C19" s="39" t="s">
        <v>673</v>
      </c>
      <c r="D19" s="41"/>
      <c r="E19" s="41"/>
      <c r="F19" s="42"/>
    </row>
    <row r="20" spans="1:6" ht="39" customHeight="1">
      <c r="A20" s="43" t="s">
        <v>674</v>
      </c>
      <c r="B20" s="44" t="s">
        <v>675</v>
      </c>
      <c r="C20" s="43" t="s">
        <v>676</v>
      </c>
      <c r="D20" s="45">
        <v>133059118550</v>
      </c>
      <c r="E20" s="45">
        <v>104882199495</v>
      </c>
      <c r="F20" s="46">
        <v>2.2236303494891501</v>
      </c>
    </row>
    <row r="21" spans="1:6" ht="39" customHeight="1">
      <c r="A21" s="43" t="s">
        <v>677</v>
      </c>
      <c r="B21" s="44" t="s">
        <v>678</v>
      </c>
      <c r="C21" s="43" t="s">
        <v>679</v>
      </c>
      <c r="D21" s="45"/>
      <c r="E21" s="45"/>
      <c r="F21" s="46"/>
    </row>
    <row r="22" spans="1:6" ht="39" customHeight="1">
      <c r="A22" s="43" t="s">
        <v>680</v>
      </c>
      <c r="B22" s="44" t="s">
        <v>681</v>
      </c>
      <c r="C22" s="43" t="s">
        <v>682</v>
      </c>
      <c r="D22" s="45" t="s">
        <v>683</v>
      </c>
      <c r="E22" s="45" t="s">
        <v>684</v>
      </c>
      <c r="F22" s="46" t="s">
        <v>685</v>
      </c>
    </row>
    <row r="23" spans="1:6" ht="39" customHeight="1">
      <c r="A23" s="43" t="s">
        <v>686</v>
      </c>
      <c r="B23" s="44" t="s">
        <v>687</v>
      </c>
      <c r="C23" s="43" t="s">
        <v>688</v>
      </c>
      <c r="D23" s="45">
        <v>133059118550</v>
      </c>
      <c r="E23" s="45">
        <v>104882199495</v>
      </c>
      <c r="F23" s="46">
        <v>2.2236303494891501</v>
      </c>
    </row>
    <row r="24" spans="1:6" ht="39" customHeight="1">
      <c r="A24" s="43" t="s">
        <v>689</v>
      </c>
      <c r="B24" s="44" t="s">
        <v>690</v>
      </c>
      <c r="C24" s="43" t="s">
        <v>691</v>
      </c>
      <c r="D24" s="45" t="s">
        <v>692</v>
      </c>
      <c r="E24" s="45" t="s">
        <v>693</v>
      </c>
      <c r="F24" s="46" t="s">
        <v>694</v>
      </c>
    </row>
    <row r="25" spans="1:6" ht="54.5" customHeight="1">
      <c r="A25" s="43" t="s">
        <v>695</v>
      </c>
      <c r="B25" s="44" t="s">
        <v>696</v>
      </c>
      <c r="C25" s="43" t="s">
        <v>697</v>
      </c>
      <c r="D25" s="45">
        <v>4222973819</v>
      </c>
      <c r="E25" s="45">
        <v>13538887098</v>
      </c>
      <c r="F25" s="46">
        <v>2.9158114877340902</v>
      </c>
    </row>
    <row r="26" spans="1:6" ht="67" customHeight="1">
      <c r="A26" s="43" t="s">
        <v>698</v>
      </c>
      <c r="B26" s="44" t="s">
        <v>699</v>
      </c>
      <c r="C26" s="43" t="s">
        <v>700</v>
      </c>
      <c r="D26" s="45">
        <v>183572977</v>
      </c>
      <c r="E26" s="45">
        <v>169629402</v>
      </c>
      <c r="F26" s="46">
        <v>1.3492917454114399</v>
      </c>
    </row>
    <row r="27" spans="1:6" ht="42" customHeight="1">
      <c r="A27" s="43" t="s">
        <v>701</v>
      </c>
      <c r="B27" s="44" t="s">
        <v>702</v>
      </c>
      <c r="C27" s="43" t="s">
        <v>703</v>
      </c>
      <c r="D27" s="45">
        <v>128652571754</v>
      </c>
      <c r="E27" s="45">
        <v>91173682995</v>
      </c>
      <c r="F27" s="46">
        <v>2.2084635473924101</v>
      </c>
    </row>
    <row r="28" spans="1:6" ht="60" customHeight="1">
      <c r="A28" s="43" t="s">
        <v>704</v>
      </c>
      <c r="B28" s="44" t="s">
        <v>705</v>
      </c>
      <c r="C28" s="43" t="s">
        <v>706</v>
      </c>
      <c r="D28" s="45">
        <v>0</v>
      </c>
      <c r="E28" s="45">
        <v>0</v>
      </c>
      <c r="F28" s="46"/>
    </row>
    <row r="29" spans="1:6" ht="39" customHeight="1">
      <c r="A29" s="43" t="s">
        <v>707</v>
      </c>
      <c r="B29" s="44" t="s">
        <v>708</v>
      </c>
      <c r="C29" s="43" t="s">
        <v>709</v>
      </c>
      <c r="D29" s="45">
        <v>0</v>
      </c>
      <c r="E29" s="45">
        <v>0</v>
      </c>
      <c r="F29" s="46"/>
    </row>
    <row r="30" spans="1:6" ht="39" customHeight="1">
      <c r="A30" s="43" t="s">
        <v>710</v>
      </c>
      <c r="B30" s="44" t="s">
        <v>711</v>
      </c>
      <c r="C30" s="43" t="s">
        <v>712</v>
      </c>
      <c r="D30" s="45">
        <v>2779933654900</v>
      </c>
      <c r="E30" s="45">
        <v>2781782932900</v>
      </c>
      <c r="F30" s="46">
        <v>1.89229938493084</v>
      </c>
    </row>
    <row r="31" spans="1:6" ht="39" customHeight="1">
      <c r="A31" s="43" t="s">
        <v>713</v>
      </c>
      <c r="B31" s="44" t="s">
        <v>714</v>
      </c>
      <c r="C31" s="43" t="s">
        <v>715</v>
      </c>
      <c r="D31" s="45" t="s">
        <v>716</v>
      </c>
      <c r="E31" s="45" t="s">
        <v>717</v>
      </c>
      <c r="F31" s="46" t="s">
        <v>718</v>
      </c>
    </row>
    <row r="32" spans="1:6" ht="39" customHeight="1">
      <c r="A32" s="43" t="s">
        <v>719</v>
      </c>
      <c r="B32" s="44" t="s">
        <v>720</v>
      </c>
      <c r="C32" s="43" t="s">
        <v>721</v>
      </c>
      <c r="D32" s="45">
        <v>2779933654900</v>
      </c>
      <c r="E32" s="45">
        <v>2781782932900</v>
      </c>
      <c r="F32" s="46">
        <v>1.9147961652627401</v>
      </c>
    </row>
    <row r="33" spans="1:6" ht="39" customHeight="1">
      <c r="A33" s="43" t="s">
        <v>722</v>
      </c>
      <c r="B33" s="44" t="s">
        <v>723</v>
      </c>
      <c r="C33" s="43" t="s">
        <v>724</v>
      </c>
      <c r="D33" s="45">
        <v>0</v>
      </c>
      <c r="E33" s="45">
        <v>0</v>
      </c>
      <c r="F33" s="46"/>
    </row>
    <row r="34" spans="1:6" ht="39" customHeight="1">
      <c r="A34" s="43" t="s">
        <v>725</v>
      </c>
      <c r="B34" s="44" t="s">
        <v>726</v>
      </c>
      <c r="C34" s="43" t="s">
        <v>727</v>
      </c>
      <c r="D34" s="45">
        <v>0</v>
      </c>
      <c r="E34" s="45">
        <v>0</v>
      </c>
      <c r="F34" s="46">
        <v>0</v>
      </c>
    </row>
    <row r="35" spans="1:6" ht="39" customHeight="1">
      <c r="A35" s="43" t="s">
        <v>728</v>
      </c>
      <c r="B35" s="44" t="s">
        <v>729</v>
      </c>
      <c r="C35" s="43" t="s">
        <v>730</v>
      </c>
      <c r="D35" s="45">
        <v>0</v>
      </c>
      <c r="E35" s="45">
        <v>0</v>
      </c>
      <c r="F35" s="46"/>
    </row>
    <row r="36" spans="1:6" ht="55.5" customHeight="1">
      <c r="A36" s="43" t="s">
        <v>731</v>
      </c>
      <c r="B36" s="44" t="s">
        <v>732</v>
      </c>
      <c r="C36" s="43" t="s">
        <v>733</v>
      </c>
      <c r="D36" s="45">
        <v>0</v>
      </c>
      <c r="E36" s="45">
        <v>0</v>
      </c>
      <c r="F36" s="46"/>
    </row>
    <row r="37" spans="1:6" ht="39" customHeight="1">
      <c r="A37" s="43" t="s">
        <v>734</v>
      </c>
      <c r="B37" s="44" t="s">
        <v>735</v>
      </c>
      <c r="C37" s="43" t="s">
        <v>736</v>
      </c>
      <c r="D37" s="45">
        <v>0</v>
      </c>
      <c r="E37" s="45">
        <v>0</v>
      </c>
      <c r="F37" s="46">
        <v>0</v>
      </c>
    </row>
    <row r="38" spans="1:6" ht="39" customHeight="1">
      <c r="A38" s="43" t="s">
        <v>737</v>
      </c>
      <c r="B38" s="44" t="s">
        <v>738</v>
      </c>
      <c r="C38" s="43" t="s">
        <v>739</v>
      </c>
      <c r="D38" s="45">
        <v>0</v>
      </c>
      <c r="E38" s="45">
        <v>0</v>
      </c>
      <c r="F38" s="46"/>
    </row>
    <row r="39" spans="1:6" ht="39" customHeight="1">
      <c r="A39" s="43" t="s">
        <v>740</v>
      </c>
      <c r="B39" s="44" t="s">
        <v>741</v>
      </c>
      <c r="C39" s="43" t="s">
        <v>742</v>
      </c>
      <c r="D39" s="45">
        <v>0</v>
      </c>
      <c r="E39" s="45">
        <v>0</v>
      </c>
      <c r="F39" s="46"/>
    </row>
    <row r="40" spans="1:6" ht="39" customHeight="1">
      <c r="A40" s="43" t="s">
        <v>743</v>
      </c>
      <c r="B40" s="44" t="s">
        <v>744</v>
      </c>
      <c r="C40" s="43" t="s">
        <v>745</v>
      </c>
      <c r="D40" s="45">
        <v>0</v>
      </c>
      <c r="E40" s="45">
        <v>0</v>
      </c>
      <c r="F40" s="46"/>
    </row>
    <row r="41" spans="1:6" ht="69" customHeight="1">
      <c r="A41" s="43" t="s">
        <v>746</v>
      </c>
      <c r="B41" s="44" t="s">
        <v>747</v>
      </c>
      <c r="C41" s="43" t="s">
        <v>748</v>
      </c>
      <c r="D41" s="45">
        <v>0</v>
      </c>
      <c r="E41" s="45">
        <v>0</v>
      </c>
      <c r="F41" s="46"/>
    </row>
    <row r="42" spans="1:6" ht="39" customHeight="1">
      <c r="A42" s="43" t="s">
        <v>749</v>
      </c>
      <c r="B42" s="44" t="s">
        <v>750</v>
      </c>
      <c r="C42" s="43" t="s">
        <v>751</v>
      </c>
      <c r="D42" s="45" t="s">
        <v>752</v>
      </c>
      <c r="E42" s="45" t="s">
        <v>753</v>
      </c>
      <c r="F42" s="46" t="s">
        <v>754</v>
      </c>
    </row>
    <row r="43" spans="1:6" ht="39" customHeight="1">
      <c r="A43" s="43" t="s">
        <v>755</v>
      </c>
      <c r="B43" s="44" t="s">
        <v>756</v>
      </c>
      <c r="C43" s="43" t="s">
        <v>757</v>
      </c>
      <c r="D43" s="45">
        <v>1534400000</v>
      </c>
      <c r="E43" s="45">
        <v>7772558982</v>
      </c>
      <c r="F43" s="46">
        <v>0.52024720423385595</v>
      </c>
    </row>
    <row r="44" spans="1:6" ht="39" customHeight="1">
      <c r="A44" s="43" t="s">
        <v>758</v>
      </c>
      <c r="B44" s="44" t="s">
        <v>759</v>
      </c>
      <c r="C44" s="43" t="s">
        <v>760</v>
      </c>
      <c r="D44" s="45" t="s">
        <v>761</v>
      </c>
      <c r="E44" s="45" t="s">
        <v>762</v>
      </c>
      <c r="F44" s="46" t="s">
        <v>763</v>
      </c>
    </row>
    <row r="45" spans="1:6" ht="39" customHeight="1">
      <c r="A45" s="43" t="s">
        <v>764</v>
      </c>
      <c r="B45" s="44" t="s">
        <v>765</v>
      </c>
      <c r="C45" s="43" t="s">
        <v>766</v>
      </c>
      <c r="D45" s="45">
        <v>1534400000</v>
      </c>
      <c r="E45" s="45">
        <v>7772558982</v>
      </c>
      <c r="F45" s="46">
        <v>0.53639096693001498</v>
      </c>
    </row>
    <row r="46" spans="1:6" ht="39" customHeight="1">
      <c r="A46" s="43" t="s">
        <v>767</v>
      </c>
      <c r="B46" s="44" t="s">
        <v>768</v>
      </c>
      <c r="C46" s="43" t="s">
        <v>769</v>
      </c>
      <c r="D46" s="45">
        <v>0</v>
      </c>
      <c r="E46" s="45">
        <v>0</v>
      </c>
      <c r="F46" s="46">
        <v>0</v>
      </c>
    </row>
    <row r="47" spans="1:6" ht="39" customHeight="1">
      <c r="A47" s="43" t="s">
        <v>770</v>
      </c>
      <c r="B47" s="44" t="s">
        <v>771</v>
      </c>
      <c r="C47" s="43" t="s">
        <v>772</v>
      </c>
      <c r="D47" s="45">
        <v>0</v>
      </c>
      <c r="E47" s="45">
        <v>0</v>
      </c>
      <c r="F47" s="46"/>
    </row>
    <row r="48" spans="1:6" ht="39" customHeight="1">
      <c r="A48" s="43" t="s">
        <v>773</v>
      </c>
      <c r="B48" s="44" t="s">
        <v>774</v>
      </c>
      <c r="C48" s="43" t="s">
        <v>775</v>
      </c>
      <c r="D48" s="45" t="s">
        <v>776</v>
      </c>
      <c r="E48" s="45" t="s">
        <v>777</v>
      </c>
      <c r="F48" s="46" t="s">
        <v>778</v>
      </c>
    </row>
    <row r="49" spans="1:6" ht="39" customHeight="1">
      <c r="A49" s="43" t="s">
        <v>779</v>
      </c>
      <c r="B49" s="44" t="s">
        <v>780</v>
      </c>
      <c r="C49" s="43" t="s">
        <v>781</v>
      </c>
      <c r="D49" s="45">
        <v>0</v>
      </c>
      <c r="E49" s="45">
        <v>0</v>
      </c>
      <c r="F49" s="46"/>
    </row>
    <row r="50" spans="1:6" ht="58.5" customHeight="1">
      <c r="A50" s="43" t="s">
        <v>782</v>
      </c>
      <c r="B50" s="44" t="s">
        <v>783</v>
      </c>
      <c r="C50" s="43" t="s">
        <v>784</v>
      </c>
      <c r="D50" s="45">
        <v>0</v>
      </c>
      <c r="E50" s="45">
        <v>0</v>
      </c>
      <c r="F50" s="46"/>
    </row>
    <row r="51" spans="1:6" ht="53.5" customHeight="1">
      <c r="A51" s="43" t="s">
        <v>785</v>
      </c>
      <c r="B51" s="44" t="s">
        <v>786</v>
      </c>
      <c r="C51" s="43" t="s">
        <v>787</v>
      </c>
      <c r="D51" s="45">
        <v>0</v>
      </c>
      <c r="E51" s="45">
        <v>0</v>
      </c>
      <c r="F51" s="46"/>
    </row>
    <row r="52" spans="1:6" ht="66.5" customHeight="1">
      <c r="A52" s="43" t="s">
        <v>788</v>
      </c>
      <c r="B52" s="44" t="s">
        <v>789</v>
      </c>
      <c r="C52" s="43" t="s">
        <v>790</v>
      </c>
      <c r="D52" s="45">
        <v>0</v>
      </c>
      <c r="E52" s="45">
        <v>0</v>
      </c>
      <c r="F52" s="46"/>
    </row>
    <row r="53" spans="1:6" ht="39" customHeight="1">
      <c r="A53" s="43" t="s">
        <v>791</v>
      </c>
      <c r="B53" s="44" t="s">
        <v>792</v>
      </c>
      <c r="C53" s="43" t="s">
        <v>793</v>
      </c>
      <c r="D53" s="45" t="s">
        <v>794</v>
      </c>
      <c r="E53" s="45" t="s">
        <v>795</v>
      </c>
      <c r="F53" s="46" t="s">
        <v>796</v>
      </c>
    </row>
    <row r="54" spans="1:6" ht="39" customHeight="1">
      <c r="A54" s="43" t="s">
        <v>797</v>
      </c>
      <c r="B54" s="44" t="s">
        <v>798</v>
      </c>
      <c r="C54" s="43" t="s">
        <v>799</v>
      </c>
      <c r="D54" s="45">
        <v>117900715000</v>
      </c>
      <c r="E54" s="45">
        <v>26154990000</v>
      </c>
      <c r="F54" s="46">
        <v>4.12629374623552</v>
      </c>
    </row>
    <row r="55" spans="1:6" ht="39" customHeight="1">
      <c r="A55" s="43" t="s">
        <v>800</v>
      </c>
      <c r="B55" s="44" t="s">
        <v>801</v>
      </c>
      <c r="C55" s="43" t="s">
        <v>802</v>
      </c>
      <c r="D55" s="45" t="s">
        <v>803</v>
      </c>
      <c r="E55" s="45" t="s">
        <v>804</v>
      </c>
      <c r="F55" s="46" t="s">
        <v>805</v>
      </c>
    </row>
    <row r="56" spans="1:6" ht="39" customHeight="1">
      <c r="A56" s="43" t="s">
        <v>806</v>
      </c>
      <c r="B56" s="44" t="s">
        <v>807</v>
      </c>
      <c r="C56" s="43" t="s">
        <v>808</v>
      </c>
      <c r="D56" s="45">
        <v>-866400000</v>
      </c>
      <c r="E56" s="45">
        <v>-866400000</v>
      </c>
      <c r="F56" s="46">
        <v>1</v>
      </c>
    </row>
    <row r="57" spans="1:6" ht="39" customHeight="1">
      <c r="A57" s="43" t="s">
        <v>809</v>
      </c>
      <c r="B57" s="44" t="s">
        <v>810</v>
      </c>
      <c r="C57" s="43" t="s">
        <v>811</v>
      </c>
      <c r="D57" s="45" t="s">
        <v>812</v>
      </c>
      <c r="E57" s="45" t="s">
        <v>813</v>
      </c>
      <c r="F57" s="46" t="s">
        <v>814</v>
      </c>
    </row>
    <row r="58" spans="1:6" ht="39" customHeight="1">
      <c r="A58" s="43" t="s">
        <v>815</v>
      </c>
      <c r="B58" s="44" t="s">
        <v>816</v>
      </c>
      <c r="C58" s="43" t="s">
        <v>817</v>
      </c>
      <c r="D58" s="45">
        <v>0</v>
      </c>
      <c r="E58" s="45">
        <v>0</v>
      </c>
      <c r="F58" s="46"/>
    </row>
    <row r="59" spans="1:6" ht="39" customHeight="1">
      <c r="A59" s="43" t="s">
        <v>818</v>
      </c>
      <c r="B59" s="44" t="s">
        <v>819</v>
      </c>
      <c r="C59" s="43" t="s">
        <v>820</v>
      </c>
      <c r="D59" s="45">
        <v>-866400000</v>
      </c>
      <c r="E59" s="45">
        <v>-866400000</v>
      </c>
      <c r="F59" s="46">
        <v>1</v>
      </c>
    </row>
    <row r="60" spans="1:6" ht="39" customHeight="1">
      <c r="A60" s="43" t="s">
        <v>821</v>
      </c>
      <c r="B60" s="44" t="s">
        <v>822</v>
      </c>
      <c r="C60" s="43" t="s">
        <v>823</v>
      </c>
      <c r="D60" s="45">
        <v>0</v>
      </c>
      <c r="E60" s="45">
        <v>0</v>
      </c>
      <c r="F60" s="46"/>
    </row>
    <row r="61" spans="1:6" ht="39" customHeight="1">
      <c r="A61" s="43" t="s">
        <v>824</v>
      </c>
      <c r="B61" s="44" t="s">
        <v>825</v>
      </c>
      <c r="C61" s="43" t="s">
        <v>826</v>
      </c>
      <c r="D61" s="45">
        <v>0</v>
      </c>
      <c r="E61" s="45">
        <v>12283629</v>
      </c>
      <c r="F61" s="46"/>
    </row>
    <row r="62" spans="1:6" ht="39" customHeight="1">
      <c r="A62" s="43" t="s">
        <v>827</v>
      </c>
      <c r="B62" s="44" t="s">
        <v>828</v>
      </c>
      <c r="C62" s="43" t="s">
        <v>829</v>
      </c>
      <c r="D62" s="45" t="s">
        <v>830</v>
      </c>
      <c r="E62" s="45" t="s">
        <v>831</v>
      </c>
      <c r="F62" s="46" t="s">
        <v>832</v>
      </c>
    </row>
    <row r="63" spans="1:6" ht="39" customHeight="1">
      <c r="A63" s="39" t="s">
        <v>833</v>
      </c>
      <c r="B63" s="40" t="s">
        <v>834</v>
      </c>
      <c r="C63" s="39" t="s">
        <v>835</v>
      </c>
      <c r="D63" s="41">
        <v>3031561488450</v>
      </c>
      <c r="E63" s="41">
        <v>2919738565006</v>
      </c>
      <c r="F63" s="42">
        <v>1.9438422520093801</v>
      </c>
    </row>
    <row r="64" spans="1:6" ht="39" customHeight="1">
      <c r="A64" s="39" t="s">
        <v>836</v>
      </c>
      <c r="B64" s="40" t="s">
        <v>837</v>
      </c>
      <c r="C64" s="39" t="s">
        <v>838</v>
      </c>
      <c r="D64" s="41"/>
      <c r="E64" s="41"/>
      <c r="F64" s="42"/>
    </row>
    <row r="65" spans="1:6" ht="60">
      <c r="A65" s="43" t="s">
        <v>839</v>
      </c>
      <c r="B65" s="44" t="s">
        <v>840</v>
      </c>
      <c r="C65" s="43" t="s">
        <v>841</v>
      </c>
      <c r="D65" s="45">
        <v>0</v>
      </c>
      <c r="E65" s="45">
        <v>0</v>
      </c>
      <c r="F65" s="46"/>
    </row>
    <row r="66" spans="1:6" ht="39" customHeight="1">
      <c r="A66" s="43" t="s">
        <v>842</v>
      </c>
      <c r="B66" s="44" t="s">
        <v>843</v>
      </c>
      <c r="C66" s="43" t="s">
        <v>844</v>
      </c>
      <c r="D66" s="45" t="s">
        <v>845</v>
      </c>
      <c r="E66" s="45" t="s">
        <v>846</v>
      </c>
      <c r="F66" s="46" t="s">
        <v>847</v>
      </c>
    </row>
    <row r="67" spans="1:6" ht="39" customHeight="1">
      <c r="A67" s="43" t="s">
        <v>848</v>
      </c>
      <c r="B67" s="44" t="s">
        <v>849</v>
      </c>
      <c r="C67" s="43" t="s">
        <v>850</v>
      </c>
      <c r="D67" s="45">
        <v>124365310000</v>
      </c>
      <c r="E67" s="45">
        <v>88280153300</v>
      </c>
      <c r="F67" s="46">
        <v>2.8467802438315601</v>
      </c>
    </row>
    <row r="68" spans="1:6" ht="39" customHeight="1">
      <c r="A68" s="43" t="s">
        <v>851</v>
      </c>
      <c r="B68" s="44" t="s">
        <v>852</v>
      </c>
      <c r="C68" s="43" t="s">
        <v>853</v>
      </c>
      <c r="D68" s="45" t="s">
        <v>854</v>
      </c>
      <c r="E68" s="45" t="s">
        <v>855</v>
      </c>
      <c r="F68" s="46" t="s">
        <v>856</v>
      </c>
    </row>
    <row r="69" spans="1:6" ht="39" customHeight="1">
      <c r="A69" s="43" t="s">
        <v>857</v>
      </c>
      <c r="B69" s="44" t="s">
        <v>858</v>
      </c>
      <c r="C69" s="43" t="s">
        <v>859</v>
      </c>
      <c r="D69" s="45">
        <v>42654086153</v>
      </c>
      <c r="E69" s="45">
        <v>28603373790</v>
      </c>
      <c r="F69" s="46">
        <v>4.5014952240139703</v>
      </c>
    </row>
    <row r="70" spans="1:6" ht="39" customHeight="1">
      <c r="A70" s="43" t="s">
        <v>860</v>
      </c>
      <c r="B70" s="44" t="s">
        <v>861</v>
      </c>
      <c r="C70" s="43" t="s">
        <v>862</v>
      </c>
      <c r="D70" s="45" t="s">
        <v>863</v>
      </c>
      <c r="E70" s="45" t="s">
        <v>864</v>
      </c>
      <c r="F70" s="46" t="s">
        <v>865</v>
      </c>
    </row>
    <row r="71" spans="1:6" ht="39" customHeight="1">
      <c r="A71" s="43" t="s">
        <v>866</v>
      </c>
      <c r="B71" s="44" t="s">
        <v>867</v>
      </c>
      <c r="C71" s="43" t="s">
        <v>868</v>
      </c>
      <c r="D71" s="45">
        <v>36341325300</v>
      </c>
      <c r="E71" s="45">
        <v>23168884536</v>
      </c>
      <c r="F71" s="46">
        <v>5.9801843077029702</v>
      </c>
    </row>
    <row r="72" spans="1:6" ht="56.5" customHeight="1">
      <c r="A72" s="43" t="s">
        <v>869</v>
      </c>
      <c r="B72" s="44" t="s">
        <v>870</v>
      </c>
      <c r="C72" s="43" t="s">
        <v>871</v>
      </c>
      <c r="D72" s="45">
        <v>4222973819</v>
      </c>
      <c r="E72" s="45">
        <v>13538887098</v>
      </c>
      <c r="F72" s="46">
        <v>2.9158114877340902</v>
      </c>
    </row>
    <row r="73" spans="1:6" ht="48" customHeight="1">
      <c r="A73" s="43" t="s">
        <v>872</v>
      </c>
      <c r="B73" s="44" t="s">
        <v>873</v>
      </c>
      <c r="C73" s="43" t="s">
        <v>874</v>
      </c>
      <c r="D73" s="45">
        <v>0</v>
      </c>
      <c r="E73" s="45">
        <v>0</v>
      </c>
      <c r="F73" s="46"/>
    </row>
    <row r="74" spans="1:6" ht="39" customHeight="1">
      <c r="A74" s="43" t="s">
        <v>875</v>
      </c>
      <c r="B74" s="44" t="s">
        <v>876</v>
      </c>
      <c r="C74" s="43" t="s">
        <v>877</v>
      </c>
      <c r="D74" s="45">
        <v>0</v>
      </c>
      <c r="E74" s="45">
        <v>0</v>
      </c>
      <c r="F74" s="46"/>
    </row>
    <row r="75" spans="1:6" ht="52" customHeight="1">
      <c r="A75" s="43" t="s">
        <v>878</v>
      </c>
      <c r="B75" s="44" t="s">
        <v>879</v>
      </c>
      <c r="C75" s="43" t="s">
        <v>880</v>
      </c>
      <c r="D75" s="45">
        <v>32118351481</v>
      </c>
      <c r="E75" s="45">
        <v>9629997438</v>
      </c>
      <c r="F75" s="46">
        <v>6.9390231987507001</v>
      </c>
    </row>
    <row r="76" spans="1:6" ht="56.5" customHeight="1">
      <c r="A76" s="43" t="s">
        <v>881</v>
      </c>
      <c r="B76" s="44" t="s">
        <v>882</v>
      </c>
      <c r="C76" s="43" t="s">
        <v>883</v>
      </c>
      <c r="D76" s="45">
        <v>178195905</v>
      </c>
      <c r="E76" s="45">
        <v>46065096</v>
      </c>
      <c r="F76" s="46">
        <v>7.3231664323980397</v>
      </c>
    </row>
    <row r="77" spans="1:6" ht="90">
      <c r="A77" s="43" t="s">
        <v>884</v>
      </c>
      <c r="B77" s="44" t="s">
        <v>885</v>
      </c>
      <c r="C77" s="43" t="s">
        <v>886</v>
      </c>
      <c r="D77" s="45">
        <v>452294040</v>
      </c>
      <c r="E77" s="45">
        <v>286462921</v>
      </c>
      <c r="F77" s="46">
        <v>2.1453107307727102</v>
      </c>
    </row>
    <row r="78" spans="1:6" ht="40" customHeight="1">
      <c r="A78" s="43" t="s">
        <v>887</v>
      </c>
      <c r="B78" s="44" t="s">
        <v>888</v>
      </c>
      <c r="C78" s="43" t="s">
        <v>889</v>
      </c>
      <c r="D78" s="45">
        <v>39925000</v>
      </c>
      <c r="E78" s="45">
        <v>39925000</v>
      </c>
      <c r="F78" s="46">
        <v>1</v>
      </c>
    </row>
    <row r="79" spans="1:6" ht="52.5" customHeight="1">
      <c r="A79" s="43" t="s">
        <v>890</v>
      </c>
      <c r="B79" s="44" t="s">
        <v>891</v>
      </c>
      <c r="C79" s="43" t="s">
        <v>892</v>
      </c>
      <c r="D79" s="45">
        <v>22265027</v>
      </c>
      <c r="E79" s="45">
        <v>21248634</v>
      </c>
      <c r="F79" s="46">
        <v>0.92770945833333296</v>
      </c>
    </row>
    <row r="80" spans="1:6" ht="39" customHeight="1">
      <c r="A80" s="43" t="s">
        <v>893</v>
      </c>
      <c r="B80" s="44" t="s">
        <v>894</v>
      </c>
      <c r="C80" s="43" t="s">
        <v>895</v>
      </c>
      <c r="D80" s="45">
        <v>4673049304</v>
      </c>
      <c r="E80" s="45">
        <v>4259301281</v>
      </c>
      <c r="F80" s="46">
        <v>1.9088969728790199</v>
      </c>
    </row>
    <row r="81" spans="1:6" ht="39" customHeight="1">
      <c r="A81" s="43" t="s">
        <v>896</v>
      </c>
      <c r="B81" s="44" t="s">
        <v>897</v>
      </c>
      <c r="C81" s="43" t="s">
        <v>898</v>
      </c>
      <c r="D81" s="45">
        <v>65901975</v>
      </c>
      <c r="E81" s="45">
        <v>60067069</v>
      </c>
      <c r="F81" s="46">
        <v>1.9088968204698999</v>
      </c>
    </row>
    <row r="82" spans="1:6" ht="39" customHeight="1">
      <c r="A82" s="43" t="s">
        <v>899</v>
      </c>
      <c r="B82" s="44" t="s">
        <v>900</v>
      </c>
      <c r="C82" s="43" t="s">
        <v>901</v>
      </c>
      <c r="D82" s="45">
        <v>105443164</v>
      </c>
      <c r="E82" s="45">
        <v>96107312</v>
      </c>
      <c r="F82" s="46">
        <v>1.9088969689113799</v>
      </c>
    </row>
    <row r="83" spans="1:6" ht="39" customHeight="1">
      <c r="A83" s="43" t="s">
        <v>902</v>
      </c>
      <c r="B83" s="44" t="s">
        <v>903</v>
      </c>
      <c r="C83" s="43" t="s">
        <v>904</v>
      </c>
      <c r="D83" s="45">
        <v>265462170</v>
      </c>
      <c r="E83" s="45">
        <v>134872004</v>
      </c>
      <c r="F83" s="46">
        <v>1.98811547149283</v>
      </c>
    </row>
    <row r="84" spans="1:6" ht="39" customHeight="1">
      <c r="A84" s="43" t="s">
        <v>905</v>
      </c>
      <c r="B84" s="44" t="s">
        <v>906</v>
      </c>
      <c r="C84" s="43" t="s">
        <v>907</v>
      </c>
      <c r="D84" s="45">
        <v>265462170</v>
      </c>
      <c r="E84" s="45">
        <v>134872004</v>
      </c>
      <c r="F84" s="46">
        <v>1.98811547149283</v>
      </c>
    </row>
    <row r="85" spans="1:6" ht="46" customHeight="1">
      <c r="A85" s="43" t="s">
        <v>908</v>
      </c>
      <c r="B85" s="44" t="s">
        <v>909</v>
      </c>
      <c r="C85" s="43" t="s">
        <v>910</v>
      </c>
      <c r="D85" s="45">
        <v>0</v>
      </c>
      <c r="E85" s="45">
        <v>0</v>
      </c>
      <c r="F85" s="46"/>
    </row>
    <row r="86" spans="1:6" ht="39" customHeight="1">
      <c r="A86" s="43" t="s">
        <v>911</v>
      </c>
      <c r="B86" s="44" t="s">
        <v>912</v>
      </c>
      <c r="C86" s="43" t="s">
        <v>913</v>
      </c>
      <c r="D86" s="45">
        <v>165357422</v>
      </c>
      <c r="E86" s="45">
        <v>162370281</v>
      </c>
      <c r="F86" s="46">
        <v>1.5701053322951</v>
      </c>
    </row>
    <row r="87" spans="1:6" ht="39" customHeight="1">
      <c r="A87" s="43" t="s">
        <v>914</v>
      </c>
      <c r="B87" s="44" t="s">
        <v>915</v>
      </c>
      <c r="C87" s="43" t="s">
        <v>916</v>
      </c>
      <c r="D87" s="45">
        <v>95857422</v>
      </c>
      <c r="E87" s="45">
        <v>87370281</v>
      </c>
      <c r="F87" s="46">
        <v>1.9088969276069101</v>
      </c>
    </row>
    <row r="88" spans="1:6" ht="39" customHeight="1">
      <c r="A88" s="43" t="s">
        <v>917</v>
      </c>
      <c r="B88" s="44" t="s">
        <v>918</v>
      </c>
      <c r="C88" s="43" t="s">
        <v>919</v>
      </c>
      <c r="D88" s="45">
        <v>58500000</v>
      </c>
      <c r="E88" s="45">
        <v>64000000</v>
      </c>
      <c r="F88" s="46">
        <v>1.3265306122449001</v>
      </c>
    </row>
    <row r="89" spans="1:6" ht="68" customHeight="1">
      <c r="A89" s="43" t="s">
        <v>920</v>
      </c>
      <c r="B89" s="44" t="s">
        <v>921</v>
      </c>
      <c r="C89" s="43" t="s">
        <v>922</v>
      </c>
      <c r="D89" s="45">
        <v>11000000</v>
      </c>
      <c r="E89" s="45">
        <v>11000000</v>
      </c>
      <c r="F89" s="46">
        <v>1</v>
      </c>
    </row>
    <row r="90" spans="1:6" ht="39" customHeight="1">
      <c r="A90" s="43" t="s">
        <v>923</v>
      </c>
      <c r="B90" s="44" t="s">
        <v>924</v>
      </c>
      <c r="C90" s="43" t="s">
        <v>925</v>
      </c>
      <c r="D90" s="45">
        <v>102480000</v>
      </c>
      <c r="E90" s="45">
        <v>85430000</v>
      </c>
      <c r="F90" s="46">
        <v>1</v>
      </c>
    </row>
    <row r="91" spans="1:6" ht="39" customHeight="1">
      <c r="A91" s="43" t="s">
        <v>926</v>
      </c>
      <c r="B91" s="44" t="s">
        <v>927</v>
      </c>
      <c r="C91" s="43" t="s">
        <v>928</v>
      </c>
      <c r="D91" s="45">
        <v>45003880</v>
      </c>
      <c r="E91" s="45">
        <v>38391936</v>
      </c>
      <c r="F91" s="46"/>
    </row>
    <row r="92" spans="1:6" ht="39" customHeight="1">
      <c r="A92" s="43" t="s">
        <v>929</v>
      </c>
      <c r="B92" s="44" t="s">
        <v>930</v>
      </c>
      <c r="C92" s="43" t="s">
        <v>931</v>
      </c>
      <c r="D92" s="45">
        <v>0</v>
      </c>
      <c r="E92" s="45">
        <v>0</v>
      </c>
      <c r="F92" s="46"/>
    </row>
    <row r="93" spans="1:6" ht="39" customHeight="1">
      <c r="A93" s="43" t="s">
        <v>932</v>
      </c>
      <c r="B93" s="44" t="s">
        <v>933</v>
      </c>
      <c r="C93" s="43" t="s">
        <v>934</v>
      </c>
      <c r="D93" s="45">
        <v>13200000</v>
      </c>
      <c r="E93" s="45">
        <v>13200000</v>
      </c>
      <c r="F93" s="46">
        <v>1</v>
      </c>
    </row>
    <row r="94" spans="1:6" ht="69" customHeight="1">
      <c r="A94" s="43" t="s">
        <v>935</v>
      </c>
      <c r="B94" s="44" t="s">
        <v>936</v>
      </c>
      <c r="C94" s="43" t="s">
        <v>937</v>
      </c>
      <c r="D94" s="45">
        <v>0</v>
      </c>
      <c r="E94" s="45">
        <v>0</v>
      </c>
      <c r="F94" s="46"/>
    </row>
    <row r="95" spans="1:6" ht="71.5" customHeight="1">
      <c r="A95" s="43" t="s">
        <v>938</v>
      </c>
      <c r="B95" s="44" t="s">
        <v>939</v>
      </c>
      <c r="C95" s="43" t="s">
        <v>940</v>
      </c>
      <c r="D95" s="45">
        <v>0</v>
      </c>
      <c r="E95" s="45">
        <v>0</v>
      </c>
      <c r="F95" s="46"/>
    </row>
    <row r="96" spans="1:6" ht="39" customHeight="1">
      <c r="A96" s="43" t="s">
        <v>941</v>
      </c>
      <c r="B96" s="44" t="s">
        <v>942</v>
      </c>
      <c r="C96" s="43" t="s">
        <v>943</v>
      </c>
      <c r="D96" s="45">
        <v>184182966</v>
      </c>
      <c r="E96" s="45">
        <v>191047720</v>
      </c>
      <c r="F96" s="46">
        <v>0.889024558924842</v>
      </c>
    </row>
    <row r="97" spans="1:6" ht="39" customHeight="1">
      <c r="A97" s="43" t="s">
        <v>944</v>
      </c>
      <c r="B97" s="44" t="s">
        <v>945</v>
      </c>
      <c r="C97" s="43" t="s">
        <v>946</v>
      </c>
      <c r="D97" s="45">
        <v>0</v>
      </c>
      <c r="E97" s="45">
        <v>0</v>
      </c>
      <c r="F97" s="46">
        <v>0</v>
      </c>
    </row>
    <row r="98" spans="1:6" ht="72" customHeight="1">
      <c r="A98" s="43" t="s">
        <v>947</v>
      </c>
      <c r="B98" s="44" t="s">
        <v>948</v>
      </c>
      <c r="C98" s="43" t="s">
        <v>949</v>
      </c>
      <c r="D98" s="45">
        <v>0</v>
      </c>
      <c r="E98" s="45">
        <v>0</v>
      </c>
      <c r="F98" s="46"/>
    </row>
    <row r="99" spans="1:6" ht="69.5" customHeight="1">
      <c r="A99" s="43" t="s">
        <v>950</v>
      </c>
      <c r="B99" s="44" t="s">
        <v>951</v>
      </c>
      <c r="C99" s="43" t="s">
        <v>952</v>
      </c>
      <c r="D99" s="45">
        <v>0</v>
      </c>
      <c r="E99" s="45">
        <v>6864754</v>
      </c>
      <c r="F99" s="46"/>
    </row>
    <row r="100" spans="1:6" ht="39" customHeight="1">
      <c r="A100" s="43" t="s">
        <v>953</v>
      </c>
      <c r="B100" s="44" t="s">
        <v>954</v>
      </c>
      <c r="C100" s="43" t="s">
        <v>955</v>
      </c>
      <c r="D100" s="45">
        <v>184182966</v>
      </c>
      <c r="E100" s="45">
        <v>184182966</v>
      </c>
      <c r="F100" s="46">
        <v>1.0027698498519799</v>
      </c>
    </row>
    <row r="101" spans="1:6" ht="39" customHeight="1">
      <c r="A101" s="43" t="s">
        <v>956</v>
      </c>
      <c r="B101" s="44" t="s">
        <v>957</v>
      </c>
      <c r="C101" s="43" t="s">
        <v>958</v>
      </c>
      <c r="D101" s="45">
        <v>0</v>
      </c>
      <c r="E101" s="45">
        <v>0</v>
      </c>
      <c r="F101" s="46"/>
    </row>
    <row r="102" spans="1:6" ht="39" customHeight="1">
      <c r="A102" s="43" t="s">
        <v>959</v>
      </c>
      <c r="B102" s="44" t="s">
        <v>960</v>
      </c>
      <c r="C102" s="43" t="s">
        <v>961</v>
      </c>
      <c r="D102" s="45">
        <v>0</v>
      </c>
      <c r="E102" s="45">
        <v>0</v>
      </c>
      <c r="F102" s="46"/>
    </row>
    <row r="103" spans="1:6" ht="39" customHeight="1">
      <c r="A103" s="43" t="s">
        <v>962</v>
      </c>
      <c r="B103" s="44" t="s">
        <v>963</v>
      </c>
      <c r="C103" s="43" t="s">
        <v>964</v>
      </c>
      <c r="D103" s="45">
        <v>0</v>
      </c>
      <c r="E103" s="45">
        <v>0</v>
      </c>
      <c r="F103" s="46"/>
    </row>
    <row r="104" spans="1:6" ht="39" customHeight="1">
      <c r="A104" s="43" t="s">
        <v>965</v>
      </c>
      <c r="B104" s="44" t="s">
        <v>966</v>
      </c>
      <c r="C104" s="43" t="s">
        <v>967</v>
      </c>
      <c r="D104" s="45">
        <v>0</v>
      </c>
      <c r="E104" s="45">
        <v>0</v>
      </c>
      <c r="F104" s="46"/>
    </row>
    <row r="105" spans="1:6" ht="39" customHeight="1">
      <c r="A105" s="39" t="s">
        <v>968</v>
      </c>
      <c r="B105" s="40" t="s">
        <v>969</v>
      </c>
      <c r="C105" s="39" t="s">
        <v>970</v>
      </c>
      <c r="D105" s="41">
        <v>167019396153</v>
      </c>
      <c r="E105" s="41">
        <v>116883527090</v>
      </c>
      <c r="F105" s="42">
        <v>3.14171572600041</v>
      </c>
    </row>
    <row r="106" spans="1:6" ht="39" customHeight="1">
      <c r="A106" s="43" t="s">
        <v>971</v>
      </c>
      <c r="B106" s="44" t="s">
        <v>972</v>
      </c>
      <c r="C106" s="43" t="s">
        <v>973</v>
      </c>
      <c r="D106" s="45">
        <v>2864542092297</v>
      </c>
      <c r="E106" s="45">
        <v>2802855037916</v>
      </c>
      <c r="F106" s="46">
        <v>1.90156879117816</v>
      </c>
    </row>
    <row r="107" spans="1:6" ht="39" customHeight="1">
      <c r="A107" s="43" t="s">
        <v>974</v>
      </c>
      <c r="B107" s="44" t="s">
        <v>975</v>
      </c>
      <c r="C107" s="43" t="s">
        <v>976</v>
      </c>
      <c r="D107" s="47">
        <v>35173789.07</v>
      </c>
      <c r="E107" s="47">
        <v>35337823.729999997</v>
      </c>
      <c r="F107" s="46">
        <v>1.53457662189574</v>
      </c>
    </row>
    <row r="108" spans="1:6" ht="39" customHeight="1">
      <c r="A108" s="43" t="s">
        <v>977</v>
      </c>
      <c r="B108" s="44" t="s">
        <v>978</v>
      </c>
      <c r="C108" s="43" t="s">
        <v>979</v>
      </c>
      <c r="D108" s="47">
        <v>81439.67</v>
      </c>
      <c r="E108" s="47">
        <v>79316</v>
      </c>
      <c r="F108" s="46">
        <v>1.23914876951146</v>
      </c>
    </row>
    <row r="109" spans="1:6" s="28" customFormat="1" ht="16.899999999999999" customHeight="1"/>
    <row r="110" spans="1:6" s="28" customFormat="1" ht="16.899999999999999" customHeight="1">
      <c r="A110" s="48" t="s">
        <v>10</v>
      </c>
      <c r="B110" s="49"/>
      <c r="C110" s="49"/>
      <c r="E110" s="48" t="s">
        <v>11</v>
      </c>
      <c r="F110" s="49"/>
    </row>
    <row r="111" spans="1:6" s="52" customFormat="1" ht="16.899999999999999" customHeight="1">
      <c r="A111" s="50" t="s">
        <v>12</v>
      </c>
      <c r="B111" s="51"/>
      <c r="C111" s="51"/>
      <c r="E111" s="50" t="s">
        <v>13</v>
      </c>
      <c r="F111" s="51"/>
    </row>
    <row r="112" spans="1:6" s="28" customFormat="1" ht="16.899999999999999" customHeight="1">
      <c r="A112" s="49"/>
      <c r="B112" s="49"/>
      <c r="C112" s="49"/>
      <c r="D112" s="49"/>
      <c r="E112" s="49"/>
      <c r="F112" s="49"/>
    </row>
    <row r="113" spans="1:6" s="28" customFormat="1" ht="16.899999999999999" customHeight="1">
      <c r="A113" s="49"/>
      <c r="B113" s="49"/>
      <c r="C113" s="49"/>
      <c r="D113" s="49"/>
      <c r="E113" s="49"/>
      <c r="F113" s="49"/>
    </row>
    <row r="114" spans="1:6" s="28" customFormat="1" ht="16.899999999999999" customHeight="1">
      <c r="A114" s="49"/>
      <c r="B114" s="49"/>
      <c r="C114" s="49"/>
      <c r="D114" s="49"/>
      <c r="E114" s="49"/>
      <c r="F114" s="49"/>
    </row>
    <row r="115" spans="1:6" s="28" customFormat="1" ht="16.899999999999999" customHeight="1">
      <c r="A115" s="49"/>
      <c r="B115" s="49"/>
      <c r="C115" s="49"/>
      <c r="D115" s="49"/>
      <c r="E115" s="49"/>
      <c r="F115" s="49"/>
    </row>
    <row r="116" spans="1:6" s="28" customFormat="1" ht="16.899999999999999" customHeight="1">
      <c r="A116" s="49"/>
      <c r="B116" s="49"/>
      <c r="C116" s="49"/>
      <c r="D116" s="49"/>
      <c r="E116" s="49"/>
      <c r="F116" s="49"/>
    </row>
    <row r="117" spans="1:6" s="28" customFormat="1" ht="16.899999999999999" customHeight="1">
      <c r="A117" s="49"/>
      <c r="B117" s="49"/>
      <c r="C117" s="49"/>
      <c r="D117" s="49"/>
      <c r="E117" s="49"/>
      <c r="F117" s="49"/>
    </row>
    <row r="118" spans="1:6" s="28" customFormat="1" ht="16.899999999999999" customHeight="1">
      <c r="A118" s="53"/>
      <c r="B118" s="53"/>
      <c r="C118" s="49"/>
      <c r="D118" s="49"/>
      <c r="E118" s="53"/>
      <c r="F118" s="53"/>
    </row>
    <row r="119" spans="1:6" s="28" customFormat="1" ht="16.899999999999999" customHeight="1">
      <c r="A119" s="54" t="s">
        <v>14</v>
      </c>
      <c r="B119" s="55"/>
      <c r="C119" s="49"/>
      <c r="E119" s="54" t="s">
        <v>982</v>
      </c>
      <c r="F119" s="55"/>
    </row>
    <row r="120" spans="1:6" s="28" customFormat="1" ht="16.899999999999999" customHeight="1">
      <c r="A120" s="56" t="s">
        <v>988</v>
      </c>
      <c r="B120" s="49"/>
      <c r="C120" s="49"/>
      <c r="E120" s="56" t="s">
        <v>989</v>
      </c>
      <c r="F120" s="49"/>
    </row>
    <row r="121" spans="1:6" s="28" customFormat="1" ht="16.899999999999999" customHeight="1">
      <c r="A121" s="49" t="s">
        <v>990</v>
      </c>
      <c r="B121" s="49"/>
      <c r="C121" s="49"/>
      <c r="E121" s="49" t="s">
        <v>991</v>
      </c>
      <c r="F121" s="49"/>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5" zoomScale="80" zoomScaleNormal="100" zoomScaleSheetLayoutView="80" workbookViewId="0">
      <selection activeCell="A55" sqref="A55:XFD55"/>
    </sheetView>
  </sheetViews>
  <sheetFormatPr defaultColWidth="8.7265625" defaultRowHeight="15"/>
  <cols>
    <col min="1" max="1" width="8.7265625" style="29"/>
    <col min="2" max="2" width="46.26953125" style="29" customWidth="1"/>
    <col min="3" max="3" width="10.7265625" style="29" bestFit="1" customWidth="1"/>
    <col min="4" max="6" width="36.81640625" style="29" customWidth="1"/>
    <col min="7" max="16384" width="8.7265625" style="57"/>
  </cols>
  <sheetData>
    <row r="1" spans="1:6" ht="54.75" customHeight="1">
      <c r="A1" s="160" t="s">
        <v>301</v>
      </c>
      <c r="B1" s="160"/>
      <c r="C1" s="160"/>
      <c r="D1" s="160"/>
      <c r="E1" s="160"/>
      <c r="F1" s="160"/>
    </row>
    <row r="2" spans="1:6" ht="54.75" customHeight="1">
      <c r="A2" s="161" t="s">
        <v>302</v>
      </c>
      <c r="B2" s="161"/>
      <c r="C2" s="161"/>
      <c r="D2" s="161"/>
      <c r="E2" s="161"/>
      <c r="F2" s="161"/>
    </row>
    <row r="3" spans="1:6" ht="22.5" customHeight="1">
      <c r="A3" s="162" t="s">
        <v>252</v>
      </c>
      <c r="B3" s="162"/>
      <c r="C3" s="162"/>
      <c r="D3" s="162"/>
      <c r="E3" s="162"/>
      <c r="F3" s="162"/>
    </row>
    <row r="4" spans="1:6" ht="21" customHeight="1">
      <c r="A4" s="162"/>
      <c r="B4" s="162"/>
      <c r="C4" s="162"/>
      <c r="D4" s="162"/>
      <c r="E4" s="162"/>
      <c r="F4" s="162"/>
    </row>
    <row r="5" spans="1:6" ht="16.149999999999999" customHeight="1">
      <c r="A5" s="163" t="s">
        <v>981</v>
      </c>
      <c r="B5" s="163"/>
      <c r="C5" s="163"/>
      <c r="D5" s="163"/>
      <c r="E5" s="163"/>
      <c r="F5" s="163"/>
    </row>
    <row r="7" spans="1:6" ht="16.899999999999999" customHeight="1">
      <c r="A7" s="58" t="s">
        <v>2</v>
      </c>
      <c r="C7" s="164" t="s">
        <v>982</v>
      </c>
      <c r="D7" s="164"/>
      <c r="E7" s="164"/>
      <c r="F7" s="164"/>
    </row>
    <row r="8" spans="1:6" ht="16.899999999999999" customHeight="1">
      <c r="A8" s="29" t="s">
        <v>15</v>
      </c>
      <c r="C8" s="159" t="s">
        <v>983</v>
      </c>
      <c r="D8" s="159"/>
      <c r="E8" s="159"/>
      <c r="F8" s="159"/>
    </row>
    <row r="9" spans="1:6" ht="16.899999999999999" customHeight="1">
      <c r="A9" s="58" t="s">
        <v>3</v>
      </c>
      <c r="C9" s="164" t="s">
        <v>984</v>
      </c>
      <c r="D9" s="164"/>
      <c r="E9" s="164"/>
      <c r="F9" s="164"/>
    </row>
    <row r="10" spans="1:6" ht="16.899999999999999" customHeight="1">
      <c r="A10" s="29" t="s">
        <v>4</v>
      </c>
      <c r="C10" s="159" t="s">
        <v>985</v>
      </c>
      <c r="D10" s="159"/>
      <c r="E10" s="159"/>
      <c r="F10" s="159"/>
    </row>
    <row r="11" spans="1:6" ht="16.899999999999999" customHeight="1">
      <c r="A11" s="58" t="s">
        <v>5</v>
      </c>
      <c r="C11" s="164" t="s">
        <v>352</v>
      </c>
      <c r="D11" s="164"/>
      <c r="E11" s="164"/>
      <c r="F11" s="164"/>
    </row>
    <row r="12" spans="1:6" ht="16.899999999999999" customHeight="1">
      <c r="A12" s="29" t="s">
        <v>6</v>
      </c>
      <c r="C12" s="159" t="s">
        <v>996</v>
      </c>
      <c r="D12" s="159"/>
      <c r="E12" s="159"/>
      <c r="F12" s="159"/>
    </row>
    <row r="13" spans="1:6" ht="16.899999999999999" customHeight="1">
      <c r="A13" s="58" t="s">
        <v>7</v>
      </c>
      <c r="C13" s="164" t="s">
        <v>986</v>
      </c>
      <c r="D13" s="164"/>
      <c r="E13" s="164"/>
      <c r="F13" s="164"/>
    </row>
    <row r="14" spans="1:6" ht="16.899999999999999" customHeight="1">
      <c r="A14" s="29" t="s">
        <v>8</v>
      </c>
      <c r="C14" s="159" t="s">
        <v>987</v>
      </c>
      <c r="D14" s="159"/>
      <c r="E14" s="159"/>
      <c r="F14" s="159"/>
    </row>
    <row r="15" spans="1:6" ht="16.899999999999999" customHeight="1"/>
    <row r="16" spans="1:6" ht="16.899999999999999" customHeight="1">
      <c r="A16" s="32" t="s">
        <v>299</v>
      </c>
      <c r="B16" s="33" t="s">
        <v>300</v>
      </c>
    </row>
    <row r="17" spans="1:6" ht="16.899999999999999" customHeight="1">
      <c r="A17" s="59" t="s">
        <v>21</v>
      </c>
      <c r="B17" s="60" t="s">
        <v>22</v>
      </c>
    </row>
    <row r="18" spans="1:6" ht="45">
      <c r="A18" s="61" t="s">
        <v>17</v>
      </c>
      <c r="B18" s="61" t="s">
        <v>18</v>
      </c>
      <c r="C18" s="61" t="s">
        <v>19</v>
      </c>
      <c r="D18" s="62" t="s">
        <v>994</v>
      </c>
      <c r="E18" s="62" t="s">
        <v>995</v>
      </c>
      <c r="F18" s="62" t="s">
        <v>305</v>
      </c>
    </row>
    <row r="19" spans="1:6" s="67" customFormat="1" ht="43" customHeight="1">
      <c r="A19" s="63" t="s">
        <v>16</v>
      </c>
      <c r="B19" s="64" t="s">
        <v>30</v>
      </c>
      <c r="C19" s="65" t="s">
        <v>44</v>
      </c>
      <c r="D19" s="66">
        <v>4307598232</v>
      </c>
      <c r="E19" s="66">
        <v>7162755167</v>
      </c>
      <c r="F19" s="66">
        <v>41776161931</v>
      </c>
    </row>
    <row r="20" spans="1:6" ht="54.5" customHeight="1">
      <c r="A20" s="68">
        <v>1</v>
      </c>
      <c r="B20" s="69" t="s">
        <v>256</v>
      </c>
      <c r="C20" s="70" t="s">
        <v>51</v>
      </c>
      <c r="D20" s="71">
        <v>0</v>
      </c>
      <c r="E20" s="71">
        <v>0</v>
      </c>
      <c r="F20" s="71">
        <v>0</v>
      </c>
    </row>
    <row r="21" spans="1:6">
      <c r="A21" s="72" t="s">
        <v>257</v>
      </c>
      <c r="B21" s="72" t="s">
        <v>257</v>
      </c>
      <c r="C21" s="72" t="s">
        <v>257</v>
      </c>
      <c r="D21" s="73" t="s">
        <v>257</v>
      </c>
      <c r="E21" s="73" t="s">
        <v>258</v>
      </c>
      <c r="F21" s="73" t="s">
        <v>258</v>
      </c>
    </row>
    <row r="22" spans="1:6" ht="40" customHeight="1">
      <c r="A22" s="68">
        <v>2</v>
      </c>
      <c r="B22" s="69" t="s">
        <v>214</v>
      </c>
      <c r="C22" s="70" t="s">
        <v>45</v>
      </c>
      <c r="D22" s="71">
        <v>4287321000</v>
      </c>
      <c r="E22" s="71">
        <v>7126024582</v>
      </c>
      <c r="F22" s="71">
        <v>41509953444</v>
      </c>
    </row>
    <row r="23" spans="1:6">
      <c r="A23" s="72" t="s">
        <v>257</v>
      </c>
      <c r="B23" s="72" t="s">
        <v>257</v>
      </c>
      <c r="C23" s="72" t="s">
        <v>257</v>
      </c>
      <c r="D23" s="73" t="s">
        <v>257</v>
      </c>
      <c r="E23" s="73" t="s">
        <v>258</v>
      </c>
      <c r="F23" s="73" t="s">
        <v>258</v>
      </c>
    </row>
    <row r="24" spans="1:6" ht="38" customHeight="1">
      <c r="A24" s="74"/>
      <c r="B24" s="75" t="s">
        <v>215</v>
      </c>
      <c r="C24" s="76" t="s">
        <v>46</v>
      </c>
      <c r="D24" s="71">
        <v>4287321000</v>
      </c>
      <c r="E24" s="71">
        <v>7126024582</v>
      </c>
      <c r="F24" s="71">
        <v>41465569882</v>
      </c>
    </row>
    <row r="25" spans="1:6" ht="38" customHeight="1">
      <c r="A25" s="74"/>
      <c r="B25" s="75" t="s">
        <v>216</v>
      </c>
      <c r="C25" s="76" t="s">
        <v>47</v>
      </c>
      <c r="D25" s="71">
        <v>0</v>
      </c>
      <c r="E25" s="71">
        <v>0</v>
      </c>
      <c r="F25" s="71">
        <v>44383562</v>
      </c>
    </row>
    <row r="26" spans="1:6" ht="38" customHeight="1">
      <c r="A26" s="68">
        <v>3</v>
      </c>
      <c r="B26" s="69" t="s">
        <v>217</v>
      </c>
      <c r="C26" s="70" t="s">
        <v>48</v>
      </c>
      <c r="D26" s="71">
        <v>20277232</v>
      </c>
      <c r="E26" s="71">
        <v>36730585</v>
      </c>
      <c r="F26" s="71">
        <v>266208487</v>
      </c>
    </row>
    <row r="27" spans="1:6">
      <c r="A27" s="72" t="s">
        <v>257</v>
      </c>
      <c r="B27" s="72" t="s">
        <v>257</v>
      </c>
      <c r="C27" s="72" t="s">
        <v>257</v>
      </c>
      <c r="D27" s="73" t="s">
        <v>257</v>
      </c>
      <c r="E27" s="73" t="s">
        <v>257</v>
      </c>
      <c r="F27" s="73" t="s">
        <v>257</v>
      </c>
    </row>
    <row r="28" spans="1:6" ht="42" customHeight="1">
      <c r="A28" s="74"/>
      <c r="B28" s="75" t="s">
        <v>181</v>
      </c>
      <c r="C28" s="76" t="s">
        <v>49</v>
      </c>
      <c r="D28" s="71">
        <v>20277232</v>
      </c>
      <c r="E28" s="71">
        <v>36730585</v>
      </c>
      <c r="F28" s="71">
        <v>266208487</v>
      </c>
    </row>
    <row r="29" spans="1:6" ht="55" customHeight="1">
      <c r="A29" s="74"/>
      <c r="B29" s="75" t="s">
        <v>364</v>
      </c>
      <c r="C29" s="76" t="s">
        <v>50</v>
      </c>
      <c r="D29" s="71">
        <v>0</v>
      </c>
      <c r="E29" s="71">
        <v>0</v>
      </c>
      <c r="F29" s="71">
        <v>0</v>
      </c>
    </row>
    <row r="30" spans="1:6" ht="40" customHeight="1">
      <c r="A30" s="74"/>
      <c r="B30" s="75" t="s">
        <v>232</v>
      </c>
      <c r="C30" s="76" t="s">
        <v>180</v>
      </c>
      <c r="D30" s="71">
        <v>0</v>
      </c>
      <c r="E30" s="71">
        <v>0</v>
      </c>
      <c r="F30" s="71">
        <v>0</v>
      </c>
    </row>
    <row r="31" spans="1:6" s="67" customFormat="1" ht="41.5" customHeight="1">
      <c r="A31" s="68">
        <v>4</v>
      </c>
      <c r="B31" s="69" t="s">
        <v>218</v>
      </c>
      <c r="C31" s="70" t="s">
        <v>51</v>
      </c>
      <c r="D31" s="71">
        <v>0</v>
      </c>
      <c r="E31" s="71">
        <v>0</v>
      </c>
      <c r="F31" s="71">
        <v>0</v>
      </c>
    </row>
    <row r="32" spans="1:6">
      <c r="A32" s="72" t="s">
        <v>257</v>
      </c>
      <c r="B32" s="72" t="s">
        <v>257</v>
      </c>
      <c r="C32" s="72" t="s">
        <v>257</v>
      </c>
      <c r="D32" s="73" t="s">
        <v>257</v>
      </c>
      <c r="E32" s="73" t="s">
        <v>257</v>
      </c>
      <c r="F32" s="73" t="s">
        <v>257</v>
      </c>
    </row>
    <row r="33" spans="1:6" ht="37" customHeight="1">
      <c r="A33" s="77"/>
      <c r="B33" s="78" t="s">
        <v>219</v>
      </c>
      <c r="C33" s="79" t="s">
        <v>52</v>
      </c>
      <c r="D33" s="71">
        <v>0</v>
      </c>
      <c r="E33" s="71">
        <v>0</v>
      </c>
      <c r="F33" s="71">
        <v>0</v>
      </c>
    </row>
    <row r="34" spans="1:6" ht="37" customHeight="1">
      <c r="A34" s="77"/>
      <c r="B34" s="78" t="s">
        <v>220</v>
      </c>
      <c r="C34" s="79" t="s">
        <v>53</v>
      </c>
      <c r="D34" s="71">
        <v>0</v>
      </c>
      <c r="E34" s="71">
        <v>0</v>
      </c>
      <c r="F34" s="71">
        <v>0</v>
      </c>
    </row>
    <row r="35" spans="1:6" ht="96.5" customHeight="1">
      <c r="A35" s="77"/>
      <c r="B35" s="78" t="s">
        <v>31</v>
      </c>
      <c r="C35" s="79" t="s">
        <v>54</v>
      </c>
      <c r="D35" s="71">
        <v>0</v>
      </c>
      <c r="E35" s="71">
        <v>0</v>
      </c>
      <c r="F35" s="71">
        <v>0</v>
      </c>
    </row>
    <row r="36" spans="1:6" ht="42" customHeight="1">
      <c r="A36" s="63" t="s">
        <v>21</v>
      </c>
      <c r="B36" s="64" t="s">
        <v>221</v>
      </c>
      <c r="C36" s="65" t="s">
        <v>55</v>
      </c>
      <c r="D36" s="80">
        <v>6793005997</v>
      </c>
      <c r="E36" s="80">
        <v>6898866088</v>
      </c>
      <c r="F36" s="80">
        <v>66747490096</v>
      </c>
    </row>
    <row r="37" spans="1:6" ht="52.5" customHeight="1">
      <c r="A37" s="68">
        <v>1</v>
      </c>
      <c r="B37" s="69" t="s">
        <v>259</v>
      </c>
      <c r="C37" s="70" t="s">
        <v>56</v>
      </c>
      <c r="D37" s="71">
        <v>4673049304</v>
      </c>
      <c r="E37" s="71">
        <v>4259301281</v>
      </c>
      <c r="F37" s="71">
        <v>41186711622</v>
      </c>
    </row>
    <row r="38" spans="1:6">
      <c r="A38" s="72" t="s">
        <v>257</v>
      </c>
      <c r="B38" s="72" t="s">
        <v>257</v>
      </c>
      <c r="C38" s="72" t="s">
        <v>257</v>
      </c>
      <c r="D38" s="73" t="s">
        <v>257</v>
      </c>
      <c r="E38" s="73" t="s">
        <v>257</v>
      </c>
      <c r="F38" s="73" t="s">
        <v>257</v>
      </c>
    </row>
    <row r="39" spans="1:6" ht="74" customHeight="1">
      <c r="A39" s="68">
        <v>2</v>
      </c>
      <c r="B39" s="69" t="s">
        <v>366</v>
      </c>
      <c r="C39" s="70" t="s">
        <v>57</v>
      </c>
      <c r="D39" s="71">
        <v>272168709</v>
      </c>
      <c r="E39" s="71">
        <v>259406085</v>
      </c>
      <c r="F39" s="71">
        <v>2518707531</v>
      </c>
    </row>
    <row r="40" spans="1:6">
      <c r="A40" s="72" t="s">
        <v>257</v>
      </c>
      <c r="B40" s="72" t="s">
        <v>257</v>
      </c>
      <c r="C40" s="72" t="s">
        <v>257</v>
      </c>
      <c r="D40" s="73" t="s">
        <v>257</v>
      </c>
      <c r="E40" s="73" t="s">
        <v>257</v>
      </c>
      <c r="F40" s="73" t="s">
        <v>257</v>
      </c>
    </row>
    <row r="41" spans="1:6" ht="41.5" customHeight="1">
      <c r="A41" s="81"/>
      <c r="B41" s="75" t="s">
        <v>260</v>
      </c>
      <c r="C41" s="76" t="s">
        <v>58</v>
      </c>
      <c r="D41" s="71">
        <v>95857422</v>
      </c>
      <c r="E41" s="71">
        <v>87370281</v>
      </c>
      <c r="F41" s="71">
        <v>844855620</v>
      </c>
    </row>
    <row r="42" spans="1:6" ht="45">
      <c r="A42" s="81"/>
      <c r="B42" s="75" t="s">
        <v>261</v>
      </c>
      <c r="C42" s="76" t="s">
        <v>59</v>
      </c>
      <c r="D42" s="71">
        <v>53300000</v>
      </c>
      <c r="E42" s="71">
        <v>60300000</v>
      </c>
      <c r="F42" s="71">
        <v>594330000</v>
      </c>
    </row>
    <row r="43" spans="1:6" ht="85" customHeight="1">
      <c r="A43" s="81"/>
      <c r="B43" s="75" t="s">
        <v>367</v>
      </c>
      <c r="C43" s="76" t="s">
        <v>60</v>
      </c>
      <c r="D43" s="71">
        <v>17568123</v>
      </c>
      <c r="E43" s="71">
        <v>15628492</v>
      </c>
      <c r="F43" s="71">
        <v>150180722</v>
      </c>
    </row>
    <row r="44" spans="1:6" ht="42" customHeight="1">
      <c r="A44" s="81"/>
      <c r="B44" s="75" t="s">
        <v>262</v>
      </c>
      <c r="C44" s="76" t="s">
        <v>61</v>
      </c>
      <c r="D44" s="71">
        <v>105443164</v>
      </c>
      <c r="E44" s="71">
        <v>96107312</v>
      </c>
      <c r="F44" s="71">
        <v>929341189</v>
      </c>
    </row>
    <row r="45" spans="1:6" ht="87.5" customHeight="1">
      <c r="A45" s="68">
        <v>3</v>
      </c>
      <c r="B45" s="82" t="s">
        <v>263</v>
      </c>
      <c r="C45" s="70" t="s">
        <v>62</v>
      </c>
      <c r="D45" s="71">
        <v>79101975</v>
      </c>
      <c r="E45" s="71">
        <v>73267069</v>
      </c>
      <c r="F45" s="71">
        <v>739238242</v>
      </c>
    </row>
    <row r="46" spans="1:6">
      <c r="A46" s="72" t="s">
        <v>257</v>
      </c>
      <c r="B46" s="72" t="s">
        <v>257</v>
      </c>
      <c r="C46" s="72" t="s">
        <v>257</v>
      </c>
      <c r="D46" s="73" t="s">
        <v>257</v>
      </c>
      <c r="E46" s="73" t="s">
        <v>257</v>
      </c>
      <c r="F46" s="73" t="s">
        <v>257</v>
      </c>
    </row>
    <row r="47" spans="1:6" ht="37.5" customHeight="1">
      <c r="A47" s="81"/>
      <c r="B47" s="83" t="s">
        <v>233</v>
      </c>
      <c r="C47" s="76" t="s">
        <v>63</v>
      </c>
      <c r="D47" s="71">
        <v>65901975</v>
      </c>
      <c r="E47" s="71">
        <v>60067069</v>
      </c>
      <c r="F47" s="71">
        <v>580838242</v>
      </c>
    </row>
    <row r="48" spans="1:6" ht="37.5" customHeight="1">
      <c r="A48" s="81"/>
      <c r="B48" s="83" t="s">
        <v>32</v>
      </c>
      <c r="C48" s="76" t="s">
        <v>64</v>
      </c>
      <c r="D48" s="71">
        <v>13200000</v>
      </c>
      <c r="E48" s="71">
        <v>13200000</v>
      </c>
      <c r="F48" s="71">
        <v>158400000</v>
      </c>
    </row>
    <row r="49" spans="1:6" ht="66.5" customHeight="1">
      <c r="A49" s="81">
        <v>4</v>
      </c>
      <c r="B49" s="83" t="s">
        <v>264</v>
      </c>
      <c r="C49" s="76"/>
      <c r="D49" s="71">
        <v>0</v>
      </c>
      <c r="E49" s="71">
        <v>0</v>
      </c>
      <c r="F49" s="71">
        <v>0</v>
      </c>
    </row>
    <row r="50" spans="1:6">
      <c r="A50" s="72" t="s">
        <v>257</v>
      </c>
      <c r="B50" s="72" t="s">
        <v>257</v>
      </c>
      <c r="C50" s="72" t="s">
        <v>257</v>
      </c>
      <c r="D50" s="73" t="s">
        <v>257</v>
      </c>
      <c r="E50" s="73" t="s">
        <v>257</v>
      </c>
      <c r="F50" s="73" t="s">
        <v>257</v>
      </c>
    </row>
    <row r="51" spans="1:6" ht="67.5" customHeight="1">
      <c r="A51" s="81">
        <v>5</v>
      </c>
      <c r="B51" s="83" t="s">
        <v>265</v>
      </c>
      <c r="C51" s="76"/>
      <c r="D51" s="71">
        <v>0</v>
      </c>
      <c r="E51" s="71">
        <v>0</v>
      </c>
      <c r="F51" s="71">
        <v>0</v>
      </c>
    </row>
    <row r="52" spans="1:6">
      <c r="A52" s="72" t="s">
        <v>257</v>
      </c>
      <c r="B52" s="72" t="s">
        <v>257</v>
      </c>
      <c r="C52" s="72" t="s">
        <v>257</v>
      </c>
      <c r="D52" s="73" t="s">
        <v>257</v>
      </c>
      <c r="E52" s="73" t="s">
        <v>257</v>
      </c>
      <c r="F52" s="73" t="s">
        <v>257</v>
      </c>
    </row>
    <row r="53" spans="1:6" ht="38" customHeight="1">
      <c r="A53" s="68">
        <v>6</v>
      </c>
      <c r="B53" s="69" t="s">
        <v>33</v>
      </c>
      <c r="C53" s="70" t="s">
        <v>65</v>
      </c>
      <c r="D53" s="71">
        <v>17050000</v>
      </c>
      <c r="E53" s="71">
        <v>16500000</v>
      </c>
      <c r="F53" s="71">
        <v>199789475</v>
      </c>
    </row>
    <row r="54" spans="1:6">
      <c r="A54" s="72" t="s">
        <v>257</v>
      </c>
      <c r="B54" s="72" t="s">
        <v>257</v>
      </c>
      <c r="C54" s="72" t="s">
        <v>257</v>
      </c>
      <c r="D54" s="73" t="s">
        <v>257</v>
      </c>
      <c r="E54" s="73" t="s">
        <v>257</v>
      </c>
      <c r="F54" s="73" t="s">
        <v>257</v>
      </c>
    </row>
    <row r="55" spans="1:6" ht="102" customHeight="1">
      <c r="A55" s="68">
        <v>7</v>
      </c>
      <c r="B55" s="69" t="s">
        <v>234</v>
      </c>
      <c r="C55" s="70" t="s">
        <v>66</v>
      </c>
      <c r="D55" s="71">
        <v>16657058</v>
      </c>
      <c r="E55" s="71">
        <v>16506831</v>
      </c>
      <c r="F55" s="71">
        <v>244465027</v>
      </c>
    </row>
    <row r="56" spans="1:6">
      <c r="A56" s="72" t="s">
        <v>257</v>
      </c>
      <c r="B56" s="72" t="s">
        <v>257</v>
      </c>
      <c r="C56" s="72" t="s">
        <v>257</v>
      </c>
      <c r="D56" s="73" t="s">
        <v>257</v>
      </c>
      <c r="E56" s="73" t="s">
        <v>257</v>
      </c>
      <c r="F56" s="73" t="s">
        <v>257</v>
      </c>
    </row>
    <row r="57" spans="1:6" ht="54" customHeight="1">
      <c r="A57" s="81"/>
      <c r="B57" s="84" t="s">
        <v>235</v>
      </c>
      <c r="C57" s="76" t="s">
        <v>67</v>
      </c>
      <c r="D57" s="71">
        <v>13016393</v>
      </c>
      <c r="E57" s="71">
        <v>12983607</v>
      </c>
      <c r="F57" s="71">
        <v>154265027</v>
      </c>
    </row>
    <row r="58" spans="1:6" ht="37.5" customHeight="1">
      <c r="A58" s="81"/>
      <c r="B58" s="84" t="s">
        <v>222</v>
      </c>
      <c r="C58" s="76" t="s">
        <v>68</v>
      </c>
      <c r="D58" s="71">
        <v>0</v>
      </c>
      <c r="E58" s="71">
        <v>0</v>
      </c>
      <c r="F58" s="71">
        <v>47000000</v>
      </c>
    </row>
    <row r="59" spans="1:6" ht="37.5" customHeight="1">
      <c r="A59" s="81"/>
      <c r="B59" s="84" t="s">
        <v>34</v>
      </c>
      <c r="C59" s="76" t="s">
        <v>69</v>
      </c>
      <c r="D59" s="71">
        <v>3640665</v>
      </c>
      <c r="E59" s="71">
        <v>3523224</v>
      </c>
      <c r="F59" s="71">
        <v>43200000</v>
      </c>
    </row>
    <row r="60" spans="1:6" ht="210">
      <c r="A60" s="68">
        <v>8</v>
      </c>
      <c r="B60" s="82" t="s">
        <v>236</v>
      </c>
      <c r="C60" s="70" t="s">
        <v>70</v>
      </c>
      <c r="D60" s="71">
        <v>15254908</v>
      </c>
      <c r="E60" s="71">
        <v>14762781</v>
      </c>
      <c r="F60" s="71">
        <v>149108024</v>
      </c>
    </row>
    <row r="61" spans="1:6">
      <c r="A61" s="72" t="s">
        <v>257</v>
      </c>
      <c r="B61" s="72" t="s">
        <v>257</v>
      </c>
      <c r="C61" s="72" t="s">
        <v>257</v>
      </c>
      <c r="D61" s="73" t="s">
        <v>257</v>
      </c>
      <c r="E61" s="73" t="s">
        <v>257</v>
      </c>
      <c r="F61" s="73" t="s">
        <v>257</v>
      </c>
    </row>
    <row r="62" spans="1:6" ht="35.5" customHeight="1">
      <c r="A62" s="81"/>
      <c r="B62" s="83" t="s">
        <v>223</v>
      </c>
      <c r="C62" s="76" t="s">
        <v>71</v>
      </c>
      <c r="D62" s="71">
        <v>15254908</v>
      </c>
      <c r="E62" s="71">
        <v>14762781</v>
      </c>
      <c r="F62" s="71">
        <v>149108024</v>
      </c>
    </row>
    <row r="63" spans="1:6" ht="35.5" customHeight="1">
      <c r="A63" s="81"/>
      <c r="B63" s="83" t="s">
        <v>142</v>
      </c>
      <c r="C63" s="76" t="s">
        <v>72</v>
      </c>
      <c r="D63" s="71">
        <v>0</v>
      </c>
      <c r="E63" s="71">
        <v>0</v>
      </c>
      <c r="F63" s="71">
        <v>0</v>
      </c>
    </row>
    <row r="64" spans="1:6" s="67" customFormat="1" ht="56.5" customHeight="1">
      <c r="A64" s="81"/>
      <c r="B64" s="83" t="s">
        <v>237</v>
      </c>
      <c r="C64" s="76" t="s">
        <v>73</v>
      </c>
      <c r="D64" s="71">
        <v>0</v>
      </c>
      <c r="E64" s="71">
        <v>0</v>
      </c>
      <c r="F64" s="71">
        <v>0</v>
      </c>
    </row>
    <row r="65" spans="1:6" s="67" customFormat="1" ht="45">
      <c r="A65" s="81"/>
      <c r="B65" s="84" t="s">
        <v>224</v>
      </c>
      <c r="C65" s="76" t="s">
        <v>74</v>
      </c>
      <c r="D65" s="71">
        <v>0</v>
      </c>
      <c r="E65" s="71">
        <v>0</v>
      </c>
      <c r="F65" s="71">
        <v>0</v>
      </c>
    </row>
    <row r="66" spans="1:6" ht="40.5" customHeight="1">
      <c r="A66" s="81"/>
      <c r="B66" s="84" t="s">
        <v>266</v>
      </c>
      <c r="C66" s="76" t="s">
        <v>75</v>
      </c>
      <c r="D66" s="71">
        <v>0</v>
      </c>
      <c r="E66" s="71">
        <v>0</v>
      </c>
      <c r="F66" s="71">
        <v>0</v>
      </c>
    </row>
    <row r="67" spans="1:6" ht="69" customHeight="1">
      <c r="A67" s="68">
        <v>9</v>
      </c>
      <c r="B67" s="69" t="s">
        <v>238</v>
      </c>
      <c r="C67" s="70" t="s">
        <v>76</v>
      </c>
      <c r="D67" s="71">
        <v>1711293647</v>
      </c>
      <c r="E67" s="71">
        <v>2250724237</v>
      </c>
      <c r="F67" s="71">
        <v>21597362875</v>
      </c>
    </row>
    <row r="68" spans="1:6" s="67" customFormat="1">
      <c r="A68" s="72" t="s">
        <v>257</v>
      </c>
      <c r="B68" s="72" t="s">
        <v>257</v>
      </c>
      <c r="C68" s="72" t="s">
        <v>257</v>
      </c>
      <c r="D68" s="73" t="s">
        <v>257</v>
      </c>
      <c r="E68" s="73" t="s">
        <v>257</v>
      </c>
      <c r="F68" s="73" t="s">
        <v>257</v>
      </c>
    </row>
    <row r="69" spans="1:6" s="67" customFormat="1" ht="37" customHeight="1">
      <c r="A69" s="81"/>
      <c r="B69" s="75" t="s">
        <v>35</v>
      </c>
      <c r="C69" s="76" t="s">
        <v>77</v>
      </c>
      <c r="D69" s="71">
        <v>1703877192</v>
      </c>
      <c r="E69" s="71">
        <v>2243287045</v>
      </c>
      <c r="F69" s="71">
        <v>21531902091</v>
      </c>
    </row>
    <row r="70" spans="1:6" s="67" customFormat="1" ht="37" customHeight="1">
      <c r="A70" s="81"/>
      <c r="B70" s="75" t="s">
        <v>36</v>
      </c>
      <c r="C70" s="76" t="s">
        <v>78</v>
      </c>
      <c r="D70" s="71">
        <v>7416455</v>
      </c>
      <c r="E70" s="71">
        <v>7437192</v>
      </c>
      <c r="F70" s="71">
        <v>65460784</v>
      </c>
    </row>
    <row r="71" spans="1:6" ht="37" customHeight="1">
      <c r="A71" s="81"/>
      <c r="B71" s="75" t="s">
        <v>37</v>
      </c>
      <c r="C71" s="76" t="s">
        <v>79</v>
      </c>
      <c r="D71" s="71">
        <v>0</v>
      </c>
      <c r="E71" s="71">
        <v>0</v>
      </c>
      <c r="F71" s="71">
        <v>0</v>
      </c>
    </row>
    <row r="72" spans="1:6" ht="37" customHeight="1">
      <c r="A72" s="68">
        <v>10</v>
      </c>
      <c r="B72" s="69" t="s">
        <v>267</v>
      </c>
      <c r="C72" s="70" t="s">
        <v>80</v>
      </c>
      <c r="D72" s="71">
        <v>8430396</v>
      </c>
      <c r="E72" s="71">
        <v>8397804</v>
      </c>
      <c r="F72" s="71">
        <v>112107300</v>
      </c>
    </row>
    <row r="73" spans="1:6">
      <c r="A73" s="72" t="s">
        <v>257</v>
      </c>
      <c r="B73" s="72" t="s">
        <v>257</v>
      </c>
      <c r="C73" s="72" t="s">
        <v>257</v>
      </c>
      <c r="D73" s="73" t="s">
        <v>257</v>
      </c>
      <c r="E73" s="73" t="s">
        <v>257</v>
      </c>
      <c r="F73" s="73" t="s">
        <v>257</v>
      </c>
    </row>
    <row r="74" spans="1:6" ht="37.5" customHeight="1">
      <c r="A74" s="68"/>
      <c r="B74" s="75" t="s">
        <v>38</v>
      </c>
      <c r="C74" s="76" t="s">
        <v>81</v>
      </c>
      <c r="D74" s="71">
        <v>0</v>
      </c>
      <c r="E74" s="71">
        <v>0</v>
      </c>
      <c r="F74" s="71">
        <v>0</v>
      </c>
    </row>
    <row r="75" spans="1:6" ht="37.5" customHeight="1">
      <c r="A75" s="68"/>
      <c r="B75" s="75" t="s">
        <v>239</v>
      </c>
      <c r="C75" s="76" t="s">
        <v>82</v>
      </c>
      <c r="D75" s="71">
        <v>0</v>
      </c>
      <c r="E75" s="71">
        <v>0</v>
      </c>
      <c r="F75" s="71">
        <v>0</v>
      </c>
    </row>
    <row r="76" spans="1:6" ht="37.5" customHeight="1">
      <c r="A76" s="68"/>
      <c r="B76" s="75" t="s">
        <v>39</v>
      </c>
      <c r="C76" s="76" t="s">
        <v>83</v>
      </c>
      <c r="D76" s="71">
        <v>635246</v>
      </c>
      <c r="E76" s="71">
        <v>614754</v>
      </c>
      <c r="F76" s="71">
        <v>7500000</v>
      </c>
    </row>
    <row r="77" spans="1:6" ht="37.5" customHeight="1">
      <c r="A77" s="68"/>
      <c r="B77" s="75" t="s">
        <v>40</v>
      </c>
      <c r="C77" s="76" t="s">
        <v>84</v>
      </c>
      <c r="D77" s="71">
        <v>7795150</v>
      </c>
      <c r="E77" s="71">
        <v>7783050</v>
      </c>
      <c r="F77" s="71">
        <v>99685300</v>
      </c>
    </row>
    <row r="78" spans="1:6" ht="37.5" customHeight="1">
      <c r="A78" s="68"/>
      <c r="B78" s="75" t="s">
        <v>240</v>
      </c>
      <c r="C78" s="76" t="s">
        <v>85</v>
      </c>
      <c r="D78" s="71">
        <v>0</v>
      </c>
      <c r="E78" s="71">
        <v>0</v>
      </c>
      <c r="F78" s="71">
        <v>0</v>
      </c>
    </row>
    <row r="79" spans="1:6" ht="37.5" customHeight="1">
      <c r="A79" s="68"/>
      <c r="B79" s="75" t="s">
        <v>37</v>
      </c>
      <c r="C79" s="76" t="s">
        <v>86</v>
      </c>
      <c r="D79" s="71">
        <v>0</v>
      </c>
      <c r="E79" s="71">
        <v>0</v>
      </c>
      <c r="F79" s="71">
        <v>3822000</v>
      </c>
    </row>
    <row r="80" spans="1:6" ht="55" customHeight="1">
      <c r="A80" s="68"/>
      <c r="B80" s="75" t="s">
        <v>365</v>
      </c>
      <c r="C80" s="76" t="s">
        <v>87</v>
      </c>
      <c r="D80" s="71">
        <v>0</v>
      </c>
      <c r="E80" s="71">
        <v>0</v>
      </c>
      <c r="F80" s="71">
        <v>1100000</v>
      </c>
    </row>
    <row r="81" spans="1:6" ht="70" customHeight="1">
      <c r="A81" s="85" t="s">
        <v>23</v>
      </c>
      <c r="B81" s="64" t="s">
        <v>241</v>
      </c>
      <c r="C81" s="65" t="s">
        <v>88</v>
      </c>
      <c r="D81" s="80">
        <v>-2485407765</v>
      </c>
      <c r="E81" s="80">
        <v>263889079</v>
      </c>
      <c r="F81" s="80">
        <v>-24971328165</v>
      </c>
    </row>
    <row r="82" spans="1:6" ht="41.5" customHeight="1">
      <c r="A82" s="85" t="s">
        <v>24</v>
      </c>
      <c r="B82" s="64" t="s">
        <v>225</v>
      </c>
      <c r="C82" s="65" t="s">
        <v>89</v>
      </c>
      <c r="D82" s="80">
        <v>77583245200</v>
      </c>
      <c r="E82" s="80">
        <v>-25154594500</v>
      </c>
      <c r="F82" s="80">
        <v>431049851405</v>
      </c>
    </row>
    <row r="83" spans="1:6" ht="70.5" customHeight="1">
      <c r="A83" s="68">
        <v>1</v>
      </c>
      <c r="B83" s="69" t="s">
        <v>268</v>
      </c>
      <c r="C83" s="70" t="s">
        <v>90</v>
      </c>
      <c r="D83" s="71">
        <v>22894490122</v>
      </c>
      <c r="E83" s="71">
        <v>6419020674</v>
      </c>
      <c r="F83" s="71">
        <v>344517649497</v>
      </c>
    </row>
    <row r="84" spans="1:6" ht="52" customHeight="1">
      <c r="A84" s="68">
        <v>2</v>
      </c>
      <c r="B84" s="69" t="s">
        <v>41</v>
      </c>
      <c r="C84" s="70" t="s">
        <v>91</v>
      </c>
      <c r="D84" s="71">
        <v>54688755078</v>
      </c>
      <c r="E84" s="71">
        <v>-31573615174</v>
      </c>
      <c r="F84" s="71">
        <v>86532201908</v>
      </c>
    </row>
    <row r="85" spans="1:6" ht="117" customHeight="1">
      <c r="A85" s="85" t="s">
        <v>25</v>
      </c>
      <c r="B85" s="64" t="s">
        <v>242</v>
      </c>
      <c r="C85" s="65" t="s">
        <v>92</v>
      </c>
      <c r="D85" s="80">
        <v>75097837435</v>
      </c>
      <c r="E85" s="80">
        <v>-24890705421</v>
      </c>
      <c r="F85" s="80">
        <v>406078523240</v>
      </c>
    </row>
    <row r="86" spans="1:6" ht="51.5" customHeight="1">
      <c r="A86" s="85" t="s">
        <v>26</v>
      </c>
      <c r="B86" s="64" t="s">
        <v>42</v>
      </c>
      <c r="C86" s="65" t="s">
        <v>93</v>
      </c>
      <c r="D86" s="80">
        <v>2802855037916</v>
      </c>
      <c r="E86" s="80">
        <v>2613534019879</v>
      </c>
      <c r="F86" s="80">
        <v>1506409920896</v>
      </c>
    </row>
    <row r="87" spans="1:6" ht="72.5" customHeight="1">
      <c r="A87" s="85" t="s">
        <v>27</v>
      </c>
      <c r="B87" s="64" t="s">
        <v>306</v>
      </c>
      <c r="C87" s="65" t="s">
        <v>94</v>
      </c>
      <c r="D87" s="80">
        <v>61687054381</v>
      </c>
      <c r="E87" s="80">
        <v>189321018037</v>
      </c>
      <c r="F87" s="80">
        <v>1358132171401</v>
      </c>
    </row>
    <row r="88" spans="1:6" s="67" customFormat="1" ht="73" customHeight="1">
      <c r="A88" s="68">
        <v>1</v>
      </c>
      <c r="B88" s="69" t="s">
        <v>269</v>
      </c>
      <c r="C88" s="70" t="s">
        <v>95</v>
      </c>
      <c r="D88" s="71">
        <v>75097837435</v>
      </c>
      <c r="E88" s="71">
        <v>-24890705421</v>
      </c>
      <c r="F88" s="71">
        <v>406078523240</v>
      </c>
    </row>
    <row r="89" spans="1:6" ht="88" customHeight="1">
      <c r="A89" s="68">
        <v>2</v>
      </c>
      <c r="B89" s="69" t="s">
        <v>270</v>
      </c>
      <c r="C89" s="70" t="s">
        <v>96</v>
      </c>
      <c r="D89" s="71">
        <v>0</v>
      </c>
      <c r="E89" s="71">
        <v>0</v>
      </c>
      <c r="F89" s="71">
        <v>0</v>
      </c>
    </row>
    <row r="90" spans="1:6" ht="71.5" customHeight="1">
      <c r="A90" s="68">
        <v>3</v>
      </c>
      <c r="B90" s="69" t="s">
        <v>271</v>
      </c>
      <c r="C90" s="70" t="s">
        <v>97</v>
      </c>
      <c r="D90" s="71">
        <v>-13410783054</v>
      </c>
      <c r="E90" s="71">
        <v>214211723458</v>
      </c>
      <c r="F90" s="71">
        <v>952053648161</v>
      </c>
    </row>
    <row r="91" spans="1:6" ht="72.5" customHeight="1">
      <c r="A91" s="68"/>
      <c r="B91" s="69" t="s">
        <v>243</v>
      </c>
      <c r="C91" s="70" t="s">
        <v>272</v>
      </c>
      <c r="D91" s="71">
        <v>165650263367</v>
      </c>
      <c r="E91" s="71">
        <v>260948152018</v>
      </c>
      <c r="F91" s="71">
        <v>2232213231885</v>
      </c>
    </row>
    <row r="92" spans="1:6" ht="75.5" customHeight="1">
      <c r="A92" s="68"/>
      <c r="B92" s="69" t="s">
        <v>244</v>
      </c>
      <c r="C92" s="70" t="s">
        <v>273</v>
      </c>
      <c r="D92" s="71">
        <v>-179061046421</v>
      </c>
      <c r="E92" s="71">
        <v>-46736428560</v>
      </c>
      <c r="F92" s="71">
        <v>-1280159583724</v>
      </c>
    </row>
    <row r="93" spans="1:6" s="86" customFormat="1" ht="40.5" customHeight="1">
      <c r="A93" s="63" t="s">
        <v>28</v>
      </c>
      <c r="B93" s="64" t="s">
        <v>43</v>
      </c>
      <c r="C93" s="65" t="s">
        <v>98</v>
      </c>
      <c r="D93" s="80">
        <v>2864542092297</v>
      </c>
      <c r="E93" s="80">
        <v>2802855037916</v>
      </c>
      <c r="F93" s="80">
        <v>2864542092297</v>
      </c>
    </row>
    <row r="94" spans="1:6" ht="70.5" customHeight="1">
      <c r="A94" s="63" t="s">
        <v>29</v>
      </c>
      <c r="B94" s="64" t="s">
        <v>226</v>
      </c>
      <c r="C94" s="65" t="s">
        <v>99</v>
      </c>
      <c r="D94" s="80">
        <v>0</v>
      </c>
      <c r="E94" s="80">
        <v>0</v>
      </c>
      <c r="F94" s="80">
        <v>0</v>
      </c>
    </row>
    <row r="95" spans="1:6" ht="70.5" customHeight="1">
      <c r="A95" s="87"/>
      <c r="B95" s="69" t="s">
        <v>227</v>
      </c>
      <c r="C95" s="70" t="s">
        <v>100</v>
      </c>
      <c r="D95" s="46">
        <v>0</v>
      </c>
      <c r="E95" s="46">
        <v>0</v>
      </c>
      <c r="F95" s="46">
        <v>0</v>
      </c>
    </row>
    <row r="96" spans="1:6" ht="16.899999999999999" customHeight="1"/>
    <row r="97" spans="1:6" ht="16.899999999999999" customHeight="1">
      <c r="A97" s="48" t="s">
        <v>10</v>
      </c>
      <c r="D97" s="48"/>
      <c r="E97" s="48" t="s">
        <v>11</v>
      </c>
    </row>
    <row r="98" spans="1:6" ht="16.899999999999999" customHeight="1">
      <c r="A98" s="50" t="s">
        <v>12</v>
      </c>
      <c r="D98" s="50"/>
      <c r="E98" s="50" t="s">
        <v>13</v>
      </c>
    </row>
    <row r="99" spans="1:6" ht="16.899999999999999" customHeight="1">
      <c r="A99" s="50"/>
      <c r="D99" s="50"/>
      <c r="E99" s="50"/>
    </row>
    <row r="100" spans="1:6" ht="16.899999999999999" customHeight="1">
      <c r="A100" s="50"/>
      <c r="D100" s="50"/>
      <c r="E100" s="50"/>
    </row>
    <row r="101" spans="1:6" ht="16.899999999999999" customHeight="1">
      <c r="A101" s="50"/>
      <c r="D101" s="50"/>
      <c r="E101" s="50"/>
    </row>
    <row r="102" spans="1:6" ht="16.899999999999999" customHeight="1">
      <c r="A102" s="50"/>
      <c r="D102" s="50"/>
      <c r="E102" s="50"/>
    </row>
    <row r="103" spans="1:6" ht="16.899999999999999" customHeight="1"/>
    <row r="104" spans="1:6" ht="16.899999999999999" customHeight="1">
      <c r="D104" s="91"/>
    </row>
    <row r="105" spans="1:6" ht="16.899999999999999" customHeight="1">
      <c r="A105" s="88" t="s">
        <v>14</v>
      </c>
      <c r="B105" s="89"/>
      <c r="D105" s="92"/>
      <c r="E105" s="88" t="s">
        <v>982</v>
      </c>
      <c r="F105" s="89"/>
    </row>
    <row r="106" spans="1:6" ht="16.899999999999999" customHeight="1">
      <c r="A106" s="90" t="s">
        <v>988</v>
      </c>
      <c r="D106" s="90"/>
      <c r="E106" s="90" t="s">
        <v>989</v>
      </c>
    </row>
    <row r="107" spans="1:6" ht="16.899999999999999" customHeight="1">
      <c r="A107" s="29" t="s">
        <v>990</v>
      </c>
      <c r="E107" s="29" t="s">
        <v>991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topLeftCell="A110" zoomScale="80" zoomScaleNormal="100" zoomScaleSheetLayoutView="80" workbookViewId="0">
      <selection activeCell="E86" sqref="E86"/>
    </sheetView>
  </sheetViews>
  <sheetFormatPr defaultColWidth="8.7265625" defaultRowHeight="15"/>
  <cols>
    <col min="1" max="1" width="9" style="29" customWidth="1"/>
    <col min="2" max="2" width="39.81640625" style="29" customWidth="1"/>
    <col min="3" max="3" width="9.26953125" style="29" customWidth="1"/>
    <col min="4" max="4" width="28" style="29" customWidth="1"/>
    <col min="5" max="5" width="33.81640625" style="29" customWidth="1"/>
    <col min="6" max="6" width="32.1796875" style="29" customWidth="1"/>
    <col min="7" max="7" width="28.54296875" style="29" customWidth="1"/>
    <col min="8" max="16384" width="8.7265625" style="93"/>
  </cols>
  <sheetData>
    <row r="1" spans="1:7" ht="44.25" customHeight="1">
      <c r="A1" s="160" t="s">
        <v>301</v>
      </c>
      <c r="B1" s="160"/>
      <c r="C1" s="160"/>
      <c r="D1" s="160"/>
      <c r="E1" s="160"/>
      <c r="F1" s="160"/>
      <c r="G1" s="160"/>
    </row>
    <row r="2" spans="1:7" ht="59.25" customHeight="1">
      <c r="A2" s="161" t="s">
        <v>302</v>
      </c>
      <c r="B2" s="161"/>
      <c r="C2" s="161"/>
      <c r="D2" s="161"/>
      <c r="E2" s="161"/>
      <c r="F2" s="161"/>
      <c r="G2" s="161"/>
    </row>
    <row r="3" spans="1:7" ht="15" customHeight="1">
      <c r="A3" s="162" t="s">
        <v>252</v>
      </c>
      <c r="B3" s="162"/>
      <c r="C3" s="162"/>
      <c r="D3" s="162"/>
      <c r="E3" s="162"/>
      <c r="F3" s="162"/>
      <c r="G3" s="162"/>
    </row>
    <row r="4" spans="1:7" ht="27.4" customHeight="1">
      <c r="A4" s="162"/>
      <c r="B4" s="162"/>
      <c r="C4" s="162"/>
      <c r="D4" s="162"/>
      <c r="E4" s="162"/>
      <c r="F4" s="162"/>
      <c r="G4" s="162"/>
    </row>
    <row r="5" spans="1:7" ht="16.899999999999999" customHeight="1">
      <c r="A5" s="163" t="str">
        <f>TONGQUAN!C1</f>
        <v>Tại ngày 31 tháng 12 năm 2024
/ As at 31 Dec 2024</v>
      </c>
      <c r="B5" s="163"/>
      <c r="C5" s="163"/>
      <c r="D5" s="163"/>
      <c r="E5" s="163"/>
      <c r="F5" s="163"/>
      <c r="G5" s="163"/>
    </row>
    <row r="6" spans="1:7" ht="16.899999999999999" customHeight="1"/>
    <row r="7" spans="1:7" ht="16.899999999999999" customHeight="1">
      <c r="A7" s="58" t="s">
        <v>2</v>
      </c>
      <c r="C7" s="164" t="str">
        <f>TONGQUAN!D5</f>
        <v>Công ty Cổ phần Quản lý Quỹ Đầu tư Dragon Capital Việt Nam</v>
      </c>
      <c r="D7" s="164"/>
      <c r="E7" s="164"/>
      <c r="F7" s="164"/>
      <c r="G7" s="164"/>
    </row>
    <row r="8" spans="1:7" ht="16.899999999999999" customHeight="1">
      <c r="A8" s="29" t="s">
        <v>15</v>
      </c>
      <c r="C8" s="159" t="str">
        <f>TONGQUAN!D6</f>
        <v>Dragon Capital Vietfund Management Joint Stock Company</v>
      </c>
      <c r="D8" s="159"/>
      <c r="E8" s="159"/>
      <c r="F8" s="159"/>
      <c r="G8" s="159"/>
    </row>
    <row r="9" spans="1:7" ht="16.899999999999999" customHeight="1">
      <c r="A9" s="58" t="s">
        <v>3</v>
      </c>
      <c r="C9" s="164" t="str">
        <f>TONGQUAN!D7</f>
        <v>Ngân hàng TNHH Một thành viên Standard Chartered (Việt Nam)</v>
      </c>
      <c r="D9" s="164"/>
      <c r="E9" s="164"/>
      <c r="F9" s="164"/>
      <c r="G9" s="164"/>
    </row>
    <row r="10" spans="1:7" ht="16.899999999999999" customHeight="1">
      <c r="A10" s="29" t="s">
        <v>4</v>
      </c>
      <c r="C10" s="159" t="str">
        <f>TONGQUAN!D8</f>
        <v>Standard Chartered Bank (Vietnam) Limited</v>
      </c>
      <c r="D10" s="159"/>
      <c r="E10" s="159"/>
      <c r="F10" s="159"/>
      <c r="G10" s="159"/>
    </row>
    <row r="11" spans="1:7" ht="16.899999999999999" customHeight="1">
      <c r="A11" s="58" t="s">
        <v>5</v>
      </c>
      <c r="C11" s="164" t="str">
        <f>TONGQUAN!D9</f>
        <v>Quỹ Đầu tư Chứng khoán Năng động DC</v>
      </c>
      <c r="D11" s="164"/>
      <c r="E11" s="164"/>
      <c r="F11" s="164"/>
      <c r="G11" s="164"/>
    </row>
    <row r="12" spans="1:7" ht="16.899999999999999" customHeight="1">
      <c r="A12" s="29" t="s">
        <v>6</v>
      </c>
      <c r="C12" s="159" t="str">
        <f>TONGQUAN!D10</f>
        <v>DC Dynamic Securities Fund (DCDS)</v>
      </c>
      <c r="D12" s="159"/>
      <c r="E12" s="159"/>
      <c r="F12" s="159"/>
      <c r="G12" s="159"/>
    </row>
    <row r="13" spans="1:7" ht="16.899999999999999" customHeight="1">
      <c r="A13" s="58" t="s">
        <v>7</v>
      </c>
      <c r="C13" s="164" t="str">
        <f>TONGQUAN!D11</f>
        <v>Ngày 02 tháng 01 năm 2025</v>
      </c>
      <c r="D13" s="164"/>
      <c r="E13" s="164"/>
      <c r="F13" s="164"/>
      <c r="G13" s="164"/>
    </row>
    <row r="14" spans="1:7" ht="16.899999999999999" customHeight="1">
      <c r="A14" s="29" t="s">
        <v>8</v>
      </c>
      <c r="C14" s="159" t="str">
        <f>TONGQUAN!D12</f>
        <v>02 Jan 2025</v>
      </c>
      <c r="D14" s="159"/>
      <c r="E14" s="159"/>
      <c r="F14" s="159"/>
      <c r="G14" s="159"/>
    </row>
    <row r="15" spans="1:7" ht="18" hidden="1" customHeight="1"/>
    <row r="16" spans="1:7" ht="16.899999999999999" customHeight="1">
      <c r="A16" s="32" t="s">
        <v>299</v>
      </c>
      <c r="B16" s="33" t="s">
        <v>300</v>
      </c>
    </row>
    <row r="17" spans="1:7" ht="16.899999999999999" customHeight="1">
      <c r="A17" s="59" t="s">
        <v>23</v>
      </c>
      <c r="B17" s="60" t="s">
        <v>254</v>
      </c>
    </row>
    <row r="18" spans="1:7" ht="75.400000000000006" customHeight="1">
      <c r="A18" s="94" t="s">
        <v>143</v>
      </c>
      <c r="B18" s="94" t="s">
        <v>101</v>
      </c>
      <c r="C18" s="94" t="s">
        <v>19</v>
      </c>
      <c r="D18" s="94" t="s">
        <v>102</v>
      </c>
      <c r="E18" s="94" t="s">
        <v>103</v>
      </c>
      <c r="F18" s="94" t="s">
        <v>104</v>
      </c>
      <c r="G18" s="94" t="s">
        <v>105</v>
      </c>
    </row>
    <row r="19" spans="1:7" ht="69.5" customHeight="1">
      <c r="A19" s="39" t="s">
        <v>371</v>
      </c>
      <c r="B19" s="40" t="s">
        <v>372</v>
      </c>
      <c r="C19" s="39"/>
      <c r="D19" s="41"/>
      <c r="E19" s="41"/>
      <c r="F19" s="41"/>
      <c r="G19" s="42"/>
    </row>
    <row r="20" spans="1:7" ht="39" customHeight="1">
      <c r="A20" s="43"/>
      <c r="B20" s="44"/>
      <c r="C20" s="95"/>
      <c r="D20" s="45"/>
      <c r="E20" s="96"/>
      <c r="F20" s="45"/>
      <c r="G20" s="46"/>
    </row>
    <row r="21" spans="1:7" ht="39" customHeight="1">
      <c r="A21" s="39"/>
      <c r="B21" s="40" t="s">
        <v>373</v>
      </c>
      <c r="C21" s="39" t="s">
        <v>374</v>
      </c>
      <c r="D21" s="41"/>
      <c r="E21" s="41"/>
      <c r="F21" s="41"/>
      <c r="G21" s="42"/>
    </row>
    <row r="22" spans="1:7" ht="98.5" customHeight="1">
      <c r="A22" s="39" t="s">
        <v>375</v>
      </c>
      <c r="B22" s="40" t="s">
        <v>376</v>
      </c>
      <c r="C22" s="39" t="s">
        <v>377</v>
      </c>
      <c r="D22" s="41"/>
      <c r="E22" s="41"/>
      <c r="F22" s="41"/>
      <c r="G22" s="42"/>
    </row>
    <row r="23" spans="1:7" ht="39" customHeight="1">
      <c r="A23" s="43"/>
      <c r="B23" s="44"/>
      <c r="C23" s="95"/>
      <c r="D23" s="45"/>
      <c r="E23" s="96"/>
      <c r="F23" s="45"/>
      <c r="G23" s="46"/>
    </row>
    <row r="24" spans="1:7" ht="42" customHeight="1">
      <c r="A24" s="43" t="s">
        <v>378</v>
      </c>
      <c r="B24" s="44" t="s">
        <v>379</v>
      </c>
      <c r="C24" s="95" t="s">
        <v>380</v>
      </c>
      <c r="D24" s="45">
        <v>3417535</v>
      </c>
      <c r="E24" s="96">
        <v>25800</v>
      </c>
      <c r="F24" s="45">
        <v>88172403000</v>
      </c>
      <c r="G24" s="46">
        <v>2.9084814322892501E-2</v>
      </c>
    </row>
    <row r="25" spans="1:7" ht="42" customHeight="1">
      <c r="A25" s="43" t="s">
        <v>381</v>
      </c>
      <c r="B25" s="44" t="s">
        <v>382</v>
      </c>
      <c r="C25" s="95" t="s">
        <v>383</v>
      </c>
      <c r="D25" s="45">
        <v>234000</v>
      </c>
      <c r="E25" s="96">
        <v>125900</v>
      </c>
      <c r="F25" s="45">
        <v>29460600000</v>
      </c>
      <c r="G25" s="46">
        <v>9.7179622159215499E-3</v>
      </c>
    </row>
    <row r="26" spans="1:7" ht="42" customHeight="1">
      <c r="A26" s="43" t="s">
        <v>384</v>
      </c>
      <c r="B26" s="44" t="s">
        <v>385</v>
      </c>
      <c r="C26" s="95" t="s">
        <v>386</v>
      </c>
      <c r="D26" s="45">
        <v>100100</v>
      </c>
      <c r="E26" s="96">
        <v>28100</v>
      </c>
      <c r="F26" s="45">
        <v>2812810000</v>
      </c>
      <c r="G26" s="46">
        <v>9.2784197540329502E-4</v>
      </c>
    </row>
    <row r="27" spans="1:7" ht="42" customHeight="1">
      <c r="A27" s="43" t="s">
        <v>387</v>
      </c>
      <c r="B27" s="44" t="s">
        <v>388</v>
      </c>
      <c r="C27" s="95" t="s">
        <v>389</v>
      </c>
      <c r="D27" s="45">
        <v>113740</v>
      </c>
      <c r="E27" s="96">
        <v>37550</v>
      </c>
      <c r="F27" s="45">
        <v>4270937000</v>
      </c>
      <c r="G27" s="46">
        <v>1.40882413774945E-3</v>
      </c>
    </row>
    <row r="28" spans="1:7" ht="42" customHeight="1">
      <c r="A28" s="43" t="s">
        <v>390</v>
      </c>
      <c r="B28" s="44" t="s">
        <v>391</v>
      </c>
      <c r="C28" s="95" t="s">
        <v>392</v>
      </c>
      <c r="D28" s="45">
        <v>415100</v>
      </c>
      <c r="E28" s="96">
        <v>47500</v>
      </c>
      <c r="F28" s="45">
        <v>19717250000</v>
      </c>
      <c r="G28" s="46">
        <v>6.5039914496608803E-3</v>
      </c>
    </row>
    <row r="29" spans="1:7" ht="42" customHeight="1">
      <c r="A29" s="43" t="s">
        <v>393</v>
      </c>
      <c r="B29" s="44" t="s">
        <v>394</v>
      </c>
      <c r="C29" s="95" t="s">
        <v>395</v>
      </c>
      <c r="D29" s="45">
        <v>324180</v>
      </c>
      <c r="E29" s="96">
        <v>49250</v>
      </c>
      <c r="F29" s="45">
        <v>15965865000</v>
      </c>
      <c r="G29" s="46">
        <v>5.2665482988976603E-3</v>
      </c>
    </row>
    <row r="30" spans="1:7" ht="42" customHeight="1">
      <c r="A30" s="43" t="s">
        <v>396</v>
      </c>
      <c r="B30" s="44" t="s">
        <v>397</v>
      </c>
      <c r="C30" s="95" t="s">
        <v>398</v>
      </c>
      <c r="D30" s="45">
        <v>318800</v>
      </c>
      <c r="E30" s="96">
        <v>45700</v>
      </c>
      <c r="F30" s="45">
        <v>14569160000</v>
      </c>
      <c r="G30" s="46">
        <v>4.8058269824007502E-3</v>
      </c>
    </row>
    <row r="31" spans="1:7" ht="42" customHeight="1">
      <c r="A31" s="43" t="s">
        <v>399</v>
      </c>
      <c r="B31" s="44" t="s">
        <v>400</v>
      </c>
      <c r="C31" s="95" t="s">
        <v>401</v>
      </c>
      <c r="D31" s="45">
        <v>668000</v>
      </c>
      <c r="E31" s="96">
        <v>68700</v>
      </c>
      <c r="F31" s="45">
        <v>45891600000</v>
      </c>
      <c r="G31" s="46">
        <v>1.51379413463468E-2</v>
      </c>
    </row>
    <row r="32" spans="1:7" ht="42" customHeight="1">
      <c r="A32" s="43" t="s">
        <v>402</v>
      </c>
      <c r="B32" s="44" t="s">
        <v>403</v>
      </c>
      <c r="C32" s="95" t="s">
        <v>404</v>
      </c>
      <c r="D32" s="45">
        <v>4498626</v>
      </c>
      <c r="E32" s="96">
        <v>37800</v>
      </c>
      <c r="F32" s="45">
        <v>170048062800</v>
      </c>
      <c r="G32" s="46">
        <v>5.609256597561E-2</v>
      </c>
    </row>
    <row r="33" spans="1:7" ht="42" customHeight="1">
      <c r="A33" s="43" t="s">
        <v>405</v>
      </c>
      <c r="B33" s="44" t="s">
        <v>406</v>
      </c>
      <c r="C33" s="95" t="s">
        <v>407</v>
      </c>
      <c r="D33" s="45">
        <v>419400</v>
      </c>
      <c r="E33" s="96">
        <v>124500</v>
      </c>
      <c r="F33" s="45">
        <v>52215300000</v>
      </c>
      <c r="G33" s="46">
        <v>1.7223896067731399E-2</v>
      </c>
    </row>
    <row r="34" spans="1:7" ht="42" customHeight="1">
      <c r="A34" s="43" t="s">
        <v>408</v>
      </c>
      <c r="B34" s="44" t="s">
        <v>409</v>
      </c>
      <c r="C34" s="95" t="s">
        <v>410</v>
      </c>
      <c r="D34" s="45">
        <v>765700</v>
      </c>
      <c r="E34" s="96">
        <v>116600</v>
      </c>
      <c r="F34" s="45">
        <v>89280620000</v>
      </c>
      <c r="G34" s="46">
        <v>2.9450374119130301E-2</v>
      </c>
    </row>
    <row r="35" spans="1:7" ht="42" customHeight="1">
      <c r="A35" s="43" t="s">
        <v>411</v>
      </c>
      <c r="B35" s="44" t="s">
        <v>412</v>
      </c>
      <c r="C35" s="95" t="s">
        <v>413</v>
      </c>
      <c r="D35" s="45">
        <v>2138800</v>
      </c>
      <c r="E35" s="96">
        <v>15600</v>
      </c>
      <c r="F35" s="45">
        <v>33365280000</v>
      </c>
      <c r="G35" s="46">
        <v>1.1005971716925101E-2</v>
      </c>
    </row>
    <row r="36" spans="1:7" ht="42" customHeight="1">
      <c r="A36" s="43" t="s">
        <v>414</v>
      </c>
      <c r="B36" s="44" t="s">
        <v>415</v>
      </c>
      <c r="C36" s="95" t="s">
        <v>416</v>
      </c>
      <c r="D36" s="45">
        <v>2512800</v>
      </c>
      <c r="E36" s="96">
        <v>7200</v>
      </c>
      <c r="F36" s="45">
        <v>18092160000</v>
      </c>
      <c r="G36" s="46">
        <v>5.9679343694428203E-3</v>
      </c>
    </row>
    <row r="37" spans="1:7" ht="42" customHeight="1">
      <c r="A37" s="43" t="s">
        <v>417</v>
      </c>
      <c r="B37" s="44" t="s">
        <v>418</v>
      </c>
      <c r="C37" s="95" t="s">
        <v>419</v>
      </c>
      <c r="D37" s="45">
        <v>2251171</v>
      </c>
      <c r="E37" s="96">
        <v>152500</v>
      </c>
      <c r="F37" s="45">
        <v>343303577500</v>
      </c>
      <c r="G37" s="46">
        <v>0.113243151691944</v>
      </c>
    </row>
    <row r="38" spans="1:7" ht="42" customHeight="1">
      <c r="A38" s="43" t="s">
        <v>420</v>
      </c>
      <c r="B38" s="44" t="s">
        <v>421</v>
      </c>
      <c r="C38" s="95" t="s">
        <v>422</v>
      </c>
      <c r="D38" s="45">
        <v>488500</v>
      </c>
      <c r="E38" s="96">
        <v>185600</v>
      </c>
      <c r="F38" s="45">
        <v>90665600000</v>
      </c>
      <c r="G38" s="46">
        <v>2.99072277918256E-2</v>
      </c>
    </row>
    <row r="39" spans="1:7" ht="42" customHeight="1">
      <c r="A39" s="43" t="s">
        <v>423</v>
      </c>
      <c r="B39" s="44" t="s">
        <v>424</v>
      </c>
      <c r="C39" s="95" t="s">
        <v>425</v>
      </c>
      <c r="D39" s="45">
        <v>1309633</v>
      </c>
      <c r="E39" s="96">
        <v>65200</v>
      </c>
      <c r="F39" s="45">
        <v>85388071600</v>
      </c>
      <c r="G39" s="46">
        <v>2.8166366384228599E-2</v>
      </c>
    </row>
    <row r="40" spans="1:7" ht="42" customHeight="1">
      <c r="A40" s="43" t="s">
        <v>426</v>
      </c>
      <c r="B40" s="44" t="s">
        <v>427</v>
      </c>
      <c r="C40" s="95" t="s">
        <v>428</v>
      </c>
      <c r="D40" s="45">
        <v>629600</v>
      </c>
      <c r="E40" s="96">
        <v>49500</v>
      </c>
      <c r="F40" s="45">
        <v>31165200000</v>
      </c>
      <c r="G40" s="46">
        <v>1.02802467041282E-2</v>
      </c>
    </row>
    <row r="41" spans="1:7" ht="42" customHeight="1">
      <c r="A41" s="43" t="s">
        <v>429</v>
      </c>
      <c r="B41" s="44" t="s">
        <v>430</v>
      </c>
      <c r="C41" s="95" t="s">
        <v>431</v>
      </c>
      <c r="D41" s="45">
        <v>1128160</v>
      </c>
      <c r="E41" s="96">
        <v>25500</v>
      </c>
      <c r="F41" s="45">
        <v>28768080000</v>
      </c>
      <c r="G41" s="46">
        <v>9.4895254836835797E-3</v>
      </c>
    </row>
    <row r="42" spans="1:7" ht="42" customHeight="1">
      <c r="A42" s="43" t="s">
        <v>432</v>
      </c>
      <c r="B42" s="44" t="s">
        <v>433</v>
      </c>
      <c r="C42" s="95" t="s">
        <v>434</v>
      </c>
      <c r="D42" s="45">
        <v>1136800</v>
      </c>
      <c r="E42" s="96">
        <v>28500</v>
      </c>
      <c r="F42" s="45">
        <v>32398800000</v>
      </c>
      <c r="G42" s="46">
        <v>1.0687165714248799E-2</v>
      </c>
    </row>
    <row r="43" spans="1:7" ht="42" customHeight="1">
      <c r="A43" s="43" t="s">
        <v>435</v>
      </c>
      <c r="B43" s="44" t="s">
        <v>436</v>
      </c>
      <c r="C43" s="95" t="s">
        <v>437</v>
      </c>
      <c r="D43" s="45">
        <v>4468800</v>
      </c>
      <c r="E43" s="96">
        <v>26650</v>
      </c>
      <c r="F43" s="45">
        <v>119093520000</v>
      </c>
      <c r="G43" s="46">
        <v>3.9284547073756101E-2</v>
      </c>
    </row>
    <row r="44" spans="1:7" ht="42" customHeight="1">
      <c r="A44" s="43" t="s">
        <v>438</v>
      </c>
      <c r="B44" s="44" t="s">
        <v>439</v>
      </c>
      <c r="C44" s="95" t="s">
        <v>440</v>
      </c>
      <c r="D44" s="45">
        <v>1550200</v>
      </c>
      <c r="E44" s="96">
        <v>18450</v>
      </c>
      <c r="F44" s="45">
        <v>28601190000</v>
      </c>
      <c r="G44" s="46">
        <v>9.4344746458114703E-3</v>
      </c>
    </row>
    <row r="45" spans="1:7" ht="42" customHeight="1">
      <c r="A45" s="43" t="s">
        <v>441</v>
      </c>
      <c r="B45" s="44" t="s">
        <v>442</v>
      </c>
      <c r="C45" s="95" t="s">
        <v>443</v>
      </c>
      <c r="D45" s="45">
        <v>1139000</v>
      </c>
      <c r="E45" s="96">
        <v>28650</v>
      </c>
      <c r="F45" s="45">
        <v>32632350000</v>
      </c>
      <c r="G45" s="46">
        <v>1.07642052204208E-2</v>
      </c>
    </row>
    <row r="46" spans="1:7" ht="42" customHeight="1">
      <c r="A46" s="43" t="s">
        <v>444</v>
      </c>
      <c r="B46" s="44" t="s">
        <v>445</v>
      </c>
      <c r="C46" s="95" t="s">
        <v>446</v>
      </c>
      <c r="D46" s="45">
        <v>720700</v>
      </c>
      <c r="E46" s="96">
        <v>55700</v>
      </c>
      <c r="F46" s="45">
        <v>40142990000</v>
      </c>
      <c r="G46" s="46">
        <v>1.3241687543842201E-2</v>
      </c>
    </row>
    <row r="47" spans="1:7" ht="42" customHeight="1">
      <c r="A47" s="43" t="s">
        <v>447</v>
      </c>
      <c r="B47" s="44" t="s">
        <v>448</v>
      </c>
      <c r="C47" s="95" t="s">
        <v>449</v>
      </c>
      <c r="D47" s="45">
        <v>1132700</v>
      </c>
      <c r="E47" s="96">
        <v>27200</v>
      </c>
      <c r="F47" s="45">
        <v>30809440000</v>
      </c>
      <c r="G47" s="46">
        <v>1.0162894639406599E-2</v>
      </c>
    </row>
    <row r="48" spans="1:7" ht="42" customHeight="1">
      <c r="A48" s="43" t="s">
        <v>450</v>
      </c>
      <c r="B48" s="44" t="s">
        <v>451</v>
      </c>
      <c r="C48" s="95" t="s">
        <v>452</v>
      </c>
      <c r="D48" s="45">
        <v>1825480</v>
      </c>
      <c r="E48" s="96">
        <v>36100</v>
      </c>
      <c r="F48" s="45">
        <v>65899828000</v>
      </c>
      <c r="G48" s="46">
        <v>2.1737915675163699E-2</v>
      </c>
    </row>
    <row r="49" spans="1:7" ht="42" customHeight="1">
      <c r="A49" s="43" t="s">
        <v>453</v>
      </c>
      <c r="B49" s="44" t="s">
        <v>454</v>
      </c>
      <c r="C49" s="95" t="s">
        <v>455</v>
      </c>
      <c r="D49" s="45">
        <v>1214100</v>
      </c>
      <c r="E49" s="96">
        <v>25100</v>
      </c>
      <c r="F49" s="45">
        <v>30473910000</v>
      </c>
      <c r="G49" s="46">
        <v>1.0052215703393499E-2</v>
      </c>
    </row>
    <row r="50" spans="1:7" ht="42" customHeight="1">
      <c r="A50" s="43" t="s">
        <v>456</v>
      </c>
      <c r="B50" s="44" t="s">
        <v>457</v>
      </c>
      <c r="C50" s="95" t="s">
        <v>458</v>
      </c>
      <c r="D50" s="45">
        <v>155000</v>
      </c>
      <c r="E50" s="96">
        <v>255000</v>
      </c>
      <c r="F50" s="45">
        <v>39525000000</v>
      </c>
      <c r="G50" s="46">
        <v>1.3037835501798999E-2</v>
      </c>
    </row>
    <row r="51" spans="1:7" ht="42" customHeight="1">
      <c r="A51" s="43" t="s">
        <v>459</v>
      </c>
      <c r="B51" s="44" t="s">
        <v>460</v>
      </c>
      <c r="C51" s="95" t="s">
        <v>461</v>
      </c>
      <c r="D51" s="45">
        <v>642900</v>
      </c>
      <c r="E51" s="96">
        <v>70000</v>
      </c>
      <c r="F51" s="45">
        <v>45003000000</v>
      </c>
      <c r="G51" s="46">
        <v>1.4844825074951501E-2</v>
      </c>
    </row>
    <row r="52" spans="1:7" ht="42" customHeight="1">
      <c r="A52" s="43" t="s">
        <v>462</v>
      </c>
      <c r="B52" s="44" t="s">
        <v>463</v>
      </c>
      <c r="C52" s="95" t="s">
        <v>464</v>
      </c>
      <c r="D52" s="45">
        <v>3388100</v>
      </c>
      <c r="E52" s="96">
        <v>61000</v>
      </c>
      <c r="F52" s="45">
        <v>206674100000</v>
      </c>
      <c r="G52" s="46">
        <v>6.8174140880009004E-2</v>
      </c>
    </row>
    <row r="53" spans="1:7" ht="42" customHeight="1">
      <c r="A53" s="43" t="s">
        <v>465</v>
      </c>
      <c r="B53" s="44" t="s">
        <v>466</v>
      </c>
      <c r="C53" s="95" t="s">
        <v>467</v>
      </c>
      <c r="D53" s="45">
        <v>1268600</v>
      </c>
      <c r="E53" s="96">
        <v>20700</v>
      </c>
      <c r="F53" s="45">
        <v>26260020000</v>
      </c>
      <c r="G53" s="46">
        <v>8.6622092608210407E-3</v>
      </c>
    </row>
    <row r="54" spans="1:7" ht="42" customHeight="1">
      <c r="A54" s="43" t="s">
        <v>468</v>
      </c>
      <c r="B54" s="44" t="s">
        <v>469</v>
      </c>
      <c r="C54" s="95" t="s">
        <v>470</v>
      </c>
      <c r="D54" s="45">
        <v>521600</v>
      </c>
      <c r="E54" s="96">
        <v>97900</v>
      </c>
      <c r="F54" s="45">
        <v>51064640000</v>
      </c>
      <c r="G54" s="46">
        <v>1.6844335895726401E-2</v>
      </c>
    </row>
    <row r="55" spans="1:7" ht="42" customHeight="1">
      <c r="A55" s="43" t="s">
        <v>471</v>
      </c>
      <c r="B55" s="44" t="s">
        <v>472</v>
      </c>
      <c r="C55" s="95" t="s">
        <v>473</v>
      </c>
      <c r="D55" s="45">
        <v>262000</v>
      </c>
      <c r="E55" s="96">
        <v>23400</v>
      </c>
      <c r="F55" s="45">
        <v>6130800000</v>
      </c>
      <c r="G55" s="46">
        <v>2.02232414660163E-3</v>
      </c>
    </row>
    <row r="56" spans="1:7" ht="42" customHeight="1">
      <c r="A56" s="43" t="s">
        <v>474</v>
      </c>
      <c r="B56" s="44" t="s">
        <v>475</v>
      </c>
      <c r="C56" s="95" t="s">
        <v>476</v>
      </c>
      <c r="D56" s="45">
        <v>865200</v>
      </c>
      <c r="E56" s="96">
        <v>33900</v>
      </c>
      <c r="F56" s="45">
        <v>29330280000</v>
      </c>
      <c r="G56" s="46">
        <v>9.6749744683543304E-3</v>
      </c>
    </row>
    <row r="57" spans="1:7" ht="42" customHeight="1">
      <c r="A57" s="43" t="s">
        <v>477</v>
      </c>
      <c r="B57" s="44" t="s">
        <v>478</v>
      </c>
      <c r="C57" s="95" t="s">
        <v>479</v>
      </c>
      <c r="D57" s="45">
        <v>322300</v>
      </c>
      <c r="E57" s="96">
        <v>50000</v>
      </c>
      <c r="F57" s="45">
        <v>16115000000</v>
      </c>
      <c r="G57" s="46">
        <v>5.31574241901305E-3</v>
      </c>
    </row>
    <row r="58" spans="1:7" ht="42" customHeight="1">
      <c r="A58" s="43" t="s">
        <v>480</v>
      </c>
      <c r="B58" s="44" t="s">
        <v>481</v>
      </c>
      <c r="C58" s="95" t="s">
        <v>482</v>
      </c>
      <c r="D58" s="45">
        <v>476400</v>
      </c>
      <c r="E58" s="96">
        <v>67900</v>
      </c>
      <c r="F58" s="45">
        <v>32347560000</v>
      </c>
      <c r="G58" s="46">
        <v>1.0670263533575501E-2</v>
      </c>
    </row>
    <row r="59" spans="1:7" ht="42" customHeight="1">
      <c r="A59" s="43" t="s">
        <v>483</v>
      </c>
      <c r="B59" s="44" t="s">
        <v>484</v>
      </c>
      <c r="C59" s="95" t="s">
        <v>485</v>
      </c>
      <c r="D59" s="45">
        <v>381800</v>
      </c>
      <c r="E59" s="96">
        <v>83100</v>
      </c>
      <c r="F59" s="45">
        <v>31727580000</v>
      </c>
      <c r="G59" s="46">
        <v>1.0465755064140899E-2</v>
      </c>
    </row>
    <row r="60" spans="1:7" ht="42" customHeight="1">
      <c r="A60" s="43" t="s">
        <v>486</v>
      </c>
      <c r="B60" s="44" t="s">
        <v>487</v>
      </c>
      <c r="C60" s="95" t="s">
        <v>488</v>
      </c>
      <c r="D60" s="45">
        <v>1508000</v>
      </c>
      <c r="E60" s="96">
        <v>26050</v>
      </c>
      <c r="F60" s="45">
        <v>39283400000</v>
      </c>
      <c r="G60" s="46">
        <v>1.29581405983901E-2</v>
      </c>
    </row>
    <row r="61" spans="1:7" ht="42" customHeight="1">
      <c r="A61" s="43" t="s">
        <v>489</v>
      </c>
      <c r="B61" s="44" t="s">
        <v>490</v>
      </c>
      <c r="C61" s="95" t="s">
        <v>491</v>
      </c>
      <c r="D61" s="45">
        <v>3697400</v>
      </c>
      <c r="E61" s="96">
        <v>36900</v>
      </c>
      <c r="F61" s="45">
        <v>136434060000</v>
      </c>
      <c r="G61" s="46">
        <v>4.5004549807022703E-2</v>
      </c>
    </row>
    <row r="62" spans="1:7" ht="42" customHeight="1">
      <c r="A62" s="43" t="s">
        <v>492</v>
      </c>
      <c r="B62" s="44" t="s">
        <v>493</v>
      </c>
      <c r="C62" s="95" t="s">
        <v>494</v>
      </c>
      <c r="D62" s="45">
        <v>1676800</v>
      </c>
      <c r="E62" s="96">
        <v>42400</v>
      </c>
      <c r="F62" s="45">
        <v>71096320000</v>
      </c>
      <c r="G62" s="46">
        <v>2.34520461718725E-2</v>
      </c>
    </row>
    <row r="63" spans="1:7" ht="42" customHeight="1">
      <c r="A63" s="43" t="s">
        <v>495</v>
      </c>
      <c r="B63" s="44" t="s">
        <v>496</v>
      </c>
      <c r="C63" s="95" t="s">
        <v>497</v>
      </c>
      <c r="D63" s="45">
        <v>4969000</v>
      </c>
      <c r="E63" s="96">
        <v>24650</v>
      </c>
      <c r="F63" s="45">
        <v>122485850000</v>
      </c>
      <c r="G63" s="46">
        <v>4.0403551261177097E-2</v>
      </c>
    </row>
    <row r="64" spans="1:7" ht="42" customHeight="1">
      <c r="A64" s="43" t="s">
        <v>498</v>
      </c>
      <c r="B64" s="44" t="s">
        <v>499</v>
      </c>
      <c r="C64" s="95" t="s">
        <v>500</v>
      </c>
      <c r="D64" s="45">
        <v>1666800</v>
      </c>
      <c r="E64" s="96">
        <v>15150</v>
      </c>
      <c r="F64" s="45">
        <v>25252020000</v>
      </c>
      <c r="G64" s="46">
        <v>8.3297073459364501E-3</v>
      </c>
    </row>
    <row r="65" spans="1:7" ht="42" customHeight="1">
      <c r="A65" s="43" t="s">
        <v>501</v>
      </c>
      <c r="B65" s="44" t="s">
        <v>502</v>
      </c>
      <c r="C65" s="95" t="s">
        <v>503</v>
      </c>
      <c r="D65" s="45">
        <v>514300</v>
      </c>
      <c r="E65" s="96">
        <v>23300</v>
      </c>
      <c r="F65" s="45">
        <v>11983190000</v>
      </c>
      <c r="G65" s="46">
        <v>3.95281113236692E-3</v>
      </c>
    </row>
    <row r="66" spans="1:7" ht="42" customHeight="1">
      <c r="A66" s="43" t="s">
        <v>504</v>
      </c>
      <c r="B66" s="44" t="s">
        <v>505</v>
      </c>
      <c r="C66" s="95" t="s">
        <v>506</v>
      </c>
      <c r="D66" s="45">
        <v>598800</v>
      </c>
      <c r="E66" s="96">
        <v>91200</v>
      </c>
      <c r="F66" s="45">
        <v>54610560000</v>
      </c>
      <c r="G66" s="46">
        <v>1.80140037429759E-2</v>
      </c>
    </row>
    <row r="67" spans="1:7" ht="42" customHeight="1">
      <c r="A67" s="43" t="s">
        <v>507</v>
      </c>
      <c r="B67" s="44" t="s">
        <v>508</v>
      </c>
      <c r="C67" s="95" t="s">
        <v>509</v>
      </c>
      <c r="D67" s="45">
        <v>109400</v>
      </c>
      <c r="E67" s="96">
        <v>33200</v>
      </c>
      <c r="F67" s="45">
        <v>3632080000</v>
      </c>
      <c r="G67" s="46">
        <v>1.1980888442599401E-3</v>
      </c>
    </row>
    <row r="68" spans="1:7" ht="42" customHeight="1">
      <c r="A68" s="43" t="s">
        <v>510</v>
      </c>
      <c r="B68" s="44" t="s">
        <v>511</v>
      </c>
      <c r="C68" s="95" t="s">
        <v>512</v>
      </c>
      <c r="D68" s="45">
        <v>1286500</v>
      </c>
      <c r="E68" s="96">
        <v>20900</v>
      </c>
      <c r="F68" s="45">
        <v>26887850000</v>
      </c>
      <c r="G68" s="46">
        <v>8.8693071548904701E-3</v>
      </c>
    </row>
    <row r="69" spans="1:7" ht="42" customHeight="1">
      <c r="A69" s="43" t="s">
        <v>513</v>
      </c>
      <c r="B69" s="44" t="s">
        <v>514</v>
      </c>
      <c r="C69" s="95" t="s">
        <v>515</v>
      </c>
      <c r="D69" s="45">
        <v>725100</v>
      </c>
      <c r="E69" s="96">
        <v>39800</v>
      </c>
      <c r="F69" s="45">
        <v>28858980000</v>
      </c>
      <c r="G69" s="46">
        <v>9.5195100313651398E-3</v>
      </c>
    </row>
    <row r="70" spans="1:7" ht="42" customHeight="1">
      <c r="A70" s="43" t="s">
        <v>516</v>
      </c>
      <c r="B70" s="44" t="s">
        <v>517</v>
      </c>
      <c r="C70" s="95" t="s">
        <v>518</v>
      </c>
      <c r="D70" s="45">
        <v>300700</v>
      </c>
      <c r="E70" s="96">
        <v>91700</v>
      </c>
      <c r="F70" s="45">
        <v>27574190000</v>
      </c>
      <c r="G70" s="46">
        <v>9.0957053337217108E-3</v>
      </c>
    </row>
    <row r="71" spans="1:7" ht="42" customHeight="1">
      <c r="A71" s="43" t="s">
        <v>519</v>
      </c>
      <c r="B71" s="44" t="s">
        <v>520</v>
      </c>
      <c r="C71" s="95" t="s">
        <v>521</v>
      </c>
      <c r="D71" s="45">
        <v>612400</v>
      </c>
      <c r="E71" s="96">
        <v>31300</v>
      </c>
      <c r="F71" s="45">
        <v>19168120000</v>
      </c>
      <c r="G71" s="46">
        <v>6.3228537745412599E-3</v>
      </c>
    </row>
    <row r="72" spans="1:7" ht="42" customHeight="1">
      <c r="A72" s="43" t="s">
        <v>522</v>
      </c>
      <c r="B72" s="44" t="s">
        <v>523</v>
      </c>
      <c r="C72" s="95" t="s">
        <v>524</v>
      </c>
      <c r="D72" s="45">
        <v>209300</v>
      </c>
      <c r="E72" s="96">
        <v>70500</v>
      </c>
      <c r="F72" s="45">
        <v>14755650000</v>
      </c>
      <c r="G72" s="46">
        <v>4.8673431352845098E-3</v>
      </c>
    </row>
    <row r="73" spans="1:7" ht="42" customHeight="1">
      <c r="A73" s="43" t="s">
        <v>525</v>
      </c>
      <c r="B73" s="44" t="s">
        <v>526</v>
      </c>
      <c r="C73" s="95" t="s">
        <v>527</v>
      </c>
      <c r="D73" s="45">
        <v>3368000</v>
      </c>
      <c r="E73" s="96">
        <v>19700</v>
      </c>
      <c r="F73" s="45">
        <v>66349600000</v>
      </c>
      <c r="G73" s="46">
        <v>2.1886278821256499E-2</v>
      </c>
    </row>
    <row r="74" spans="1:7" ht="42" customHeight="1">
      <c r="A74" s="43" t="s">
        <v>528</v>
      </c>
      <c r="B74" s="44" t="s">
        <v>529</v>
      </c>
      <c r="C74" s="95" t="s">
        <v>530</v>
      </c>
      <c r="D74" s="45">
        <v>5426000</v>
      </c>
      <c r="E74" s="96">
        <v>19200</v>
      </c>
      <c r="F74" s="45">
        <v>104179200000</v>
      </c>
      <c r="G74" s="46">
        <v>3.4364864574548203E-2</v>
      </c>
    </row>
    <row r="75" spans="1:7" ht="39" customHeight="1">
      <c r="A75" s="39"/>
      <c r="B75" s="40" t="s">
        <v>531</v>
      </c>
      <c r="C75" s="39" t="s">
        <v>532</v>
      </c>
      <c r="D75" s="41"/>
      <c r="E75" s="41"/>
      <c r="F75" s="41">
        <v>2779933654900</v>
      </c>
      <c r="G75" s="42">
        <v>0.91699728522456803</v>
      </c>
    </row>
    <row r="76" spans="1:7" ht="99" customHeight="1">
      <c r="A76" s="39" t="s">
        <v>533</v>
      </c>
      <c r="B76" s="40" t="s">
        <v>534</v>
      </c>
      <c r="C76" s="39" t="s">
        <v>535</v>
      </c>
      <c r="D76" s="41"/>
      <c r="E76" s="41"/>
      <c r="F76" s="41"/>
      <c r="G76" s="42"/>
    </row>
    <row r="77" spans="1:7" ht="39" customHeight="1">
      <c r="A77" s="43"/>
      <c r="B77" s="44"/>
      <c r="C77" s="95"/>
      <c r="D77" s="45"/>
      <c r="E77" s="96"/>
      <c r="F77" s="45"/>
      <c r="G77" s="46"/>
    </row>
    <row r="78" spans="1:7" ht="39" customHeight="1">
      <c r="A78" s="39"/>
      <c r="B78" s="40" t="s">
        <v>536</v>
      </c>
      <c r="C78" s="39" t="s">
        <v>537</v>
      </c>
      <c r="D78" s="41"/>
      <c r="E78" s="41"/>
      <c r="F78" s="41">
        <v>0</v>
      </c>
      <c r="G78" s="42">
        <v>0</v>
      </c>
    </row>
    <row r="79" spans="1:7" ht="39" customHeight="1">
      <c r="A79" s="39" t="s">
        <v>538</v>
      </c>
      <c r="B79" s="40" t="s">
        <v>539</v>
      </c>
      <c r="C79" s="39" t="s">
        <v>540</v>
      </c>
      <c r="D79" s="41"/>
      <c r="E79" s="41"/>
      <c r="F79" s="41"/>
      <c r="G79" s="42"/>
    </row>
    <row r="80" spans="1:7" ht="39" customHeight="1">
      <c r="A80" s="43"/>
      <c r="B80" s="44"/>
      <c r="C80" s="95"/>
      <c r="D80" s="45"/>
      <c r="E80" s="96"/>
      <c r="F80" s="45"/>
      <c r="G80" s="46"/>
    </row>
    <row r="81" spans="1:7" ht="39" customHeight="1">
      <c r="A81" s="43" t="s">
        <v>541</v>
      </c>
      <c r="B81" s="44" t="s">
        <v>542</v>
      </c>
      <c r="C81" s="95" t="s">
        <v>543</v>
      </c>
      <c r="D81" s="45"/>
      <c r="E81" s="96"/>
      <c r="F81" s="45">
        <v>0</v>
      </c>
      <c r="G81" s="46">
        <v>0</v>
      </c>
    </row>
    <row r="82" spans="1:7" ht="39" customHeight="1">
      <c r="A82" s="43" t="s">
        <v>544</v>
      </c>
      <c r="B82" s="44" t="s">
        <v>545</v>
      </c>
      <c r="C82" s="95" t="s">
        <v>546</v>
      </c>
      <c r="D82" s="45"/>
      <c r="E82" s="96"/>
      <c r="F82" s="45">
        <v>0</v>
      </c>
      <c r="G82" s="46">
        <v>0</v>
      </c>
    </row>
    <row r="83" spans="1:7" ht="39" customHeight="1">
      <c r="A83" s="39"/>
      <c r="B83" s="40" t="s">
        <v>547</v>
      </c>
      <c r="C83" s="39" t="s">
        <v>548</v>
      </c>
      <c r="D83" s="41"/>
      <c r="E83" s="41"/>
      <c r="F83" s="41">
        <v>0</v>
      </c>
      <c r="G83" s="42">
        <v>0</v>
      </c>
    </row>
    <row r="84" spans="1:7" ht="39" customHeight="1">
      <c r="A84" s="39" t="s">
        <v>549</v>
      </c>
      <c r="B84" s="40" t="s">
        <v>550</v>
      </c>
      <c r="C84" s="39" t="s">
        <v>551</v>
      </c>
      <c r="D84" s="41"/>
      <c r="E84" s="41"/>
      <c r="F84" s="41"/>
      <c r="G84" s="42"/>
    </row>
    <row r="85" spans="1:7" ht="39" customHeight="1">
      <c r="A85" s="43"/>
      <c r="B85" s="44"/>
      <c r="C85" s="95"/>
      <c r="D85" s="45"/>
      <c r="E85" s="96"/>
      <c r="F85" s="45"/>
      <c r="G85" s="46"/>
    </row>
    <row r="86" spans="1:7" ht="39" customHeight="1">
      <c r="A86" s="43" t="s">
        <v>552</v>
      </c>
      <c r="B86" s="44" t="s">
        <v>553</v>
      </c>
      <c r="C86" s="95" t="s">
        <v>554</v>
      </c>
      <c r="D86" s="45"/>
      <c r="E86" s="96"/>
      <c r="F86" s="45">
        <v>0</v>
      </c>
      <c r="G86" s="46">
        <v>0</v>
      </c>
    </row>
    <row r="87" spans="1:7" ht="39" customHeight="1">
      <c r="A87" s="43" t="s">
        <v>555</v>
      </c>
      <c r="B87" s="44" t="s">
        <v>556</v>
      </c>
      <c r="C87" s="95" t="s">
        <v>557</v>
      </c>
      <c r="D87" s="45"/>
      <c r="E87" s="96"/>
      <c r="F87" s="45">
        <v>0</v>
      </c>
      <c r="G87" s="46">
        <v>0</v>
      </c>
    </row>
    <row r="88" spans="1:7" ht="34" customHeight="1">
      <c r="A88" s="39"/>
      <c r="B88" s="40" t="s">
        <v>558</v>
      </c>
      <c r="C88" s="39" t="s">
        <v>559</v>
      </c>
      <c r="D88" s="41"/>
      <c r="E88" s="41"/>
      <c r="F88" s="41">
        <v>0</v>
      </c>
      <c r="G88" s="42">
        <v>0</v>
      </c>
    </row>
    <row r="89" spans="1:7" ht="39" customHeight="1">
      <c r="A89" s="39"/>
      <c r="B89" s="40" t="s">
        <v>560</v>
      </c>
      <c r="C89" s="39" t="s">
        <v>561</v>
      </c>
      <c r="D89" s="41"/>
      <c r="E89" s="41"/>
      <c r="F89" s="41">
        <v>2779933654900</v>
      </c>
      <c r="G89" s="42">
        <v>0.91699728522456803</v>
      </c>
    </row>
    <row r="90" spans="1:7" ht="39" customHeight="1">
      <c r="A90" s="39" t="s">
        <v>562</v>
      </c>
      <c r="B90" s="40" t="s">
        <v>563</v>
      </c>
      <c r="C90" s="39" t="s">
        <v>564</v>
      </c>
      <c r="D90" s="41"/>
      <c r="E90" s="41"/>
      <c r="F90" s="41"/>
      <c r="G90" s="42"/>
    </row>
    <row r="91" spans="1:7" ht="39" customHeight="1">
      <c r="A91" s="43"/>
      <c r="B91" s="44"/>
      <c r="C91" s="95"/>
      <c r="D91" s="45"/>
      <c r="E91" s="96"/>
      <c r="F91" s="45"/>
      <c r="G91" s="46"/>
    </row>
    <row r="92" spans="1:7" ht="39" customHeight="1">
      <c r="A92" s="43" t="s">
        <v>565</v>
      </c>
      <c r="B92" s="44" t="s">
        <v>566</v>
      </c>
      <c r="C92" s="95" t="s">
        <v>567</v>
      </c>
      <c r="D92" s="45"/>
      <c r="E92" s="96"/>
      <c r="F92" s="45">
        <v>1534400000</v>
      </c>
      <c r="G92" s="46">
        <v>5.0614180376876302E-4</v>
      </c>
    </row>
    <row r="93" spans="1:7" ht="39" customHeight="1">
      <c r="A93" s="43" t="s">
        <v>568</v>
      </c>
      <c r="B93" s="44" t="s">
        <v>569</v>
      </c>
      <c r="C93" s="95" t="s">
        <v>570</v>
      </c>
      <c r="D93" s="45"/>
      <c r="E93" s="96"/>
      <c r="F93" s="45">
        <v>0</v>
      </c>
      <c r="G93" s="46">
        <v>0</v>
      </c>
    </row>
    <row r="94" spans="1:7" ht="75">
      <c r="A94" s="43" t="s">
        <v>571</v>
      </c>
      <c r="B94" s="44" t="s">
        <v>572</v>
      </c>
      <c r="C94" s="95" t="s">
        <v>573</v>
      </c>
      <c r="D94" s="45"/>
      <c r="E94" s="96"/>
      <c r="F94" s="45">
        <v>0</v>
      </c>
      <c r="G94" s="46">
        <v>0</v>
      </c>
    </row>
    <row r="95" spans="1:7" ht="52" customHeight="1">
      <c r="A95" s="43" t="s">
        <v>574</v>
      </c>
      <c r="B95" s="44" t="s">
        <v>575</v>
      </c>
      <c r="C95" s="95" t="s">
        <v>576</v>
      </c>
      <c r="D95" s="45"/>
      <c r="E95" s="96"/>
      <c r="F95" s="45">
        <v>117900715000</v>
      </c>
      <c r="G95" s="46">
        <v>3.8891084825160897E-2</v>
      </c>
    </row>
    <row r="96" spans="1:7" ht="70" customHeight="1">
      <c r="A96" s="43" t="s">
        <v>577</v>
      </c>
      <c r="B96" s="44" t="s">
        <v>578</v>
      </c>
      <c r="C96" s="95" t="s">
        <v>579</v>
      </c>
      <c r="D96" s="45"/>
      <c r="E96" s="96"/>
      <c r="F96" s="45">
        <v>0</v>
      </c>
      <c r="G96" s="46">
        <v>0</v>
      </c>
    </row>
    <row r="97" spans="1:7" ht="39" customHeight="1">
      <c r="A97" s="43" t="s">
        <v>580</v>
      </c>
      <c r="B97" s="44" t="s">
        <v>581</v>
      </c>
      <c r="C97" s="95" t="s">
        <v>582</v>
      </c>
      <c r="D97" s="45"/>
      <c r="E97" s="96"/>
      <c r="F97" s="45">
        <v>-866400000</v>
      </c>
      <c r="G97" s="46">
        <v>-2.8579331255556298E-4</v>
      </c>
    </row>
    <row r="98" spans="1:7" ht="39" customHeight="1">
      <c r="A98" s="43" t="s">
        <v>583</v>
      </c>
      <c r="B98" s="44" t="s">
        <v>584</v>
      </c>
      <c r="C98" s="95" t="s">
        <v>585</v>
      </c>
      <c r="D98" s="45"/>
      <c r="E98" s="96"/>
      <c r="F98" s="45">
        <v>0</v>
      </c>
      <c r="G98" s="46">
        <v>0</v>
      </c>
    </row>
    <row r="99" spans="1:7" ht="39" customHeight="1">
      <c r="A99" s="39"/>
      <c r="B99" s="40" t="s">
        <v>586</v>
      </c>
      <c r="C99" s="39" t="s">
        <v>587</v>
      </c>
      <c r="D99" s="41"/>
      <c r="E99" s="41"/>
      <c r="F99" s="41">
        <v>118568715000</v>
      </c>
      <c r="G99" s="42">
        <v>3.9111433316374102E-2</v>
      </c>
    </row>
    <row r="100" spans="1:7" ht="39" customHeight="1">
      <c r="A100" s="39" t="s">
        <v>588</v>
      </c>
      <c r="B100" s="40" t="s">
        <v>589</v>
      </c>
      <c r="C100" s="39" t="s">
        <v>590</v>
      </c>
      <c r="D100" s="41"/>
      <c r="E100" s="41"/>
      <c r="F100" s="41"/>
      <c r="G100" s="42"/>
    </row>
    <row r="101" spans="1:7" ht="39" customHeight="1">
      <c r="A101" s="43" t="s">
        <v>591</v>
      </c>
      <c r="B101" s="44" t="s">
        <v>592</v>
      </c>
      <c r="C101" s="95" t="s">
        <v>593</v>
      </c>
      <c r="D101" s="45"/>
      <c r="E101" s="96"/>
      <c r="F101" s="45">
        <v>133059118550</v>
      </c>
      <c r="G101" s="46">
        <v>4.3891281459058101E-2</v>
      </c>
    </row>
    <row r="102" spans="1:7" ht="39" customHeight="1">
      <c r="A102" s="43"/>
      <c r="B102" s="44"/>
      <c r="C102" s="95"/>
      <c r="D102" s="45"/>
      <c r="E102" s="96"/>
      <c r="F102" s="45"/>
      <c r="G102" s="46"/>
    </row>
    <row r="103" spans="1:7" ht="39" customHeight="1">
      <c r="A103" s="43" t="s">
        <v>594</v>
      </c>
      <c r="B103" s="44" t="s">
        <v>595</v>
      </c>
      <c r="C103" s="95" t="s">
        <v>596</v>
      </c>
      <c r="D103" s="45"/>
      <c r="E103" s="96"/>
      <c r="F103" s="45">
        <v>133059118550</v>
      </c>
      <c r="G103" s="46">
        <v>4.3891281459058101E-2</v>
      </c>
    </row>
    <row r="104" spans="1:7" ht="39" customHeight="1">
      <c r="A104" s="43" t="s">
        <v>597</v>
      </c>
      <c r="B104" s="44" t="s">
        <v>598</v>
      </c>
      <c r="C104" s="95" t="s">
        <v>599</v>
      </c>
      <c r="D104" s="45"/>
      <c r="E104" s="96"/>
      <c r="F104" s="45">
        <v>0</v>
      </c>
      <c r="G104" s="46">
        <v>0</v>
      </c>
    </row>
    <row r="105" spans="1:7" ht="67" customHeight="1">
      <c r="A105" s="43" t="s">
        <v>600</v>
      </c>
      <c r="B105" s="44" t="s">
        <v>601</v>
      </c>
      <c r="C105" s="95" t="s">
        <v>602</v>
      </c>
      <c r="D105" s="45"/>
      <c r="E105" s="96"/>
      <c r="F105" s="45">
        <v>0</v>
      </c>
      <c r="G105" s="46">
        <v>0</v>
      </c>
    </row>
    <row r="106" spans="1:7" ht="39" customHeight="1">
      <c r="A106" s="43"/>
      <c r="B106" s="44"/>
      <c r="C106" s="95"/>
      <c r="D106" s="45"/>
      <c r="E106" s="96"/>
      <c r="F106" s="45"/>
      <c r="G106" s="46"/>
    </row>
    <row r="107" spans="1:7" ht="39" customHeight="1">
      <c r="A107" s="43" t="s">
        <v>603</v>
      </c>
      <c r="B107" s="44" t="s">
        <v>604</v>
      </c>
      <c r="C107" s="95" t="s">
        <v>605</v>
      </c>
      <c r="D107" s="45"/>
      <c r="E107" s="96"/>
      <c r="F107" s="45">
        <v>0</v>
      </c>
      <c r="G107" s="46">
        <v>0</v>
      </c>
    </row>
    <row r="108" spans="1:7" ht="39" customHeight="1">
      <c r="A108" s="39"/>
      <c r="B108" s="40" t="s">
        <v>606</v>
      </c>
      <c r="C108" s="39" t="s">
        <v>607</v>
      </c>
      <c r="D108" s="41"/>
      <c r="E108" s="41"/>
      <c r="F108" s="41">
        <v>133059118550</v>
      </c>
      <c r="G108" s="42">
        <v>4.3891281459058101E-2</v>
      </c>
    </row>
    <row r="109" spans="1:7" ht="39" customHeight="1">
      <c r="A109" s="39" t="s">
        <v>608</v>
      </c>
      <c r="B109" s="40" t="s">
        <v>609</v>
      </c>
      <c r="C109" s="39" t="s">
        <v>610</v>
      </c>
      <c r="D109" s="41"/>
      <c r="E109" s="41"/>
      <c r="F109" s="41">
        <v>3031561488450</v>
      </c>
      <c r="G109" s="42">
        <v>1</v>
      </c>
    </row>
    <row r="110" spans="1:7" ht="16.899999999999999" customHeight="1">
      <c r="A110" s="97"/>
      <c r="E110" s="48"/>
    </row>
    <row r="111" spans="1:7" ht="16.899999999999999" customHeight="1">
      <c r="A111" s="48" t="s">
        <v>10</v>
      </c>
      <c r="E111" s="48" t="s">
        <v>11</v>
      </c>
    </row>
    <row r="112" spans="1:7" ht="16.899999999999999" customHeight="1">
      <c r="A112" s="50" t="s">
        <v>12</v>
      </c>
      <c r="E112" s="50" t="s">
        <v>13</v>
      </c>
    </row>
    <row r="113" spans="1:7" ht="16.899999999999999" customHeight="1"/>
    <row r="114" spans="1:7" ht="16.899999999999999" customHeight="1">
      <c r="A114" s="90"/>
      <c r="E114" s="90"/>
    </row>
    <row r="115" spans="1:7" ht="16.899999999999999" customHeight="1"/>
    <row r="116" spans="1:7" ht="16.899999999999999" customHeight="1"/>
    <row r="117" spans="1:7" ht="16.899999999999999" customHeight="1"/>
    <row r="118" spans="1:7" ht="16.899999999999999" customHeight="1"/>
    <row r="119" spans="1:7" ht="16.899999999999999" customHeight="1"/>
    <row r="120" spans="1:7" ht="16.899999999999999" customHeight="1"/>
    <row r="121" spans="1:7" ht="16.899999999999999" customHeight="1">
      <c r="A121" s="98" t="s">
        <v>14</v>
      </c>
      <c r="B121" s="89"/>
      <c r="C121" s="89"/>
      <c r="E121" s="98" t="s">
        <v>982</v>
      </c>
      <c r="F121" s="89"/>
      <c r="G121" s="89"/>
    </row>
    <row r="122" spans="1:7" ht="16.899999999999999" customHeight="1">
      <c r="A122" s="99" t="s">
        <v>988</v>
      </c>
      <c r="E122" s="99" t="s">
        <v>989</v>
      </c>
    </row>
    <row r="123" spans="1:7" ht="16.899999999999999" customHeight="1">
      <c r="A123" s="100" t="s">
        <v>990</v>
      </c>
      <c r="E123" s="100" t="s">
        <v>991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zoomScale="80" zoomScaleNormal="85" zoomScaleSheetLayoutView="80" workbookViewId="0">
      <selection activeCell="J36" sqref="J36"/>
    </sheetView>
  </sheetViews>
  <sheetFormatPr defaultColWidth="9.1796875" defaultRowHeight="15.5"/>
  <cols>
    <col min="1" max="1" width="4.81640625" style="131" customWidth="1"/>
    <col min="2" max="2" width="34.453125" style="102" customWidth="1"/>
    <col min="3" max="3" width="14.453125" style="102" customWidth="1"/>
    <col min="4" max="4" width="11.81640625" style="102" customWidth="1"/>
    <col min="5" max="5" width="12.26953125" style="102" customWidth="1"/>
    <col min="6" max="6" width="12.54296875" style="102" customWidth="1"/>
    <col min="7" max="7" width="16.453125" style="102" customWidth="1"/>
    <col min="8" max="9" width="19" style="102" customWidth="1"/>
    <col min="10" max="10" width="51.08984375" style="102" customWidth="1"/>
    <col min="11" max="16384" width="9.1796875" style="102"/>
  </cols>
  <sheetData>
    <row r="1" spans="1:10" s="101" customFormat="1" ht="46.5" customHeight="1">
      <c r="A1" s="175" t="s">
        <v>301</v>
      </c>
      <c r="B1" s="175"/>
      <c r="C1" s="175"/>
      <c r="D1" s="175"/>
      <c r="E1" s="175"/>
      <c r="F1" s="175"/>
      <c r="G1" s="175"/>
      <c r="H1" s="175"/>
      <c r="I1" s="175"/>
      <c r="J1" s="175"/>
    </row>
    <row r="2" spans="1:10" ht="49" customHeight="1">
      <c r="A2" s="176" t="s">
        <v>303</v>
      </c>
      <c r="B2" s="176"/>
      <c r="C2" s="176"/>
      <c r="D2" s="176"/>
      <c r="E2" s="176"/>
      <c r="F2" s="176"/>
      <c r="G2" s="176"/>
      <c r="H2" s="176"/>
      <c r="I2" s="176"/>
      <c r="J2" s="176"/>
    </row>
    <row r="3" spans="1:10" ht="19.149999999999999" customHeight="1">
      <c r="A3" s="177" t="s">
        <v>252</v>
      </c>
      <c r="B3" s="177"/>
      <c r="C3" s="177"/>
      <c r="D3" s="177"/>
      <c r="E3" s="177"/>
      <c r="F3" s="177"/>
      <c r="G3" s="177"/>
      <c r="H3" s="177"/>
      <c r="I3" s="177"/>
      <c r="J3" s="177"/>
    </row>
    <row r="4" spans="1:10" ht="21.65" customHeight="1">
      <c r="A4" s="177"/>
      <c r="B4" s="177"/>
      <c r="C4" s="177"/>
      <c r="D4" s="177"/>
      <c r="E4" s="177"/>
      <c r="F4" s="177"/>
      <c r="G4" s="177"/>
      <c r="H4" s="177"/>
      <c r="I4" s="177"/>
      <c r="J4" s="177"/>
    </row>
    <row r="5" spans="1:10">
      <c r="A5" s="178" t="str">
        <f>TONGQUAN!C2</f>
        <v>Tháng 12 năm 2024
/ Dec 2024</v>
      </c>
      <c r="B5" s="178"/>
      <c r="C5" s="178"/>
      <c r="D5" s="178"/>
      <c r="E5" s="178"/>
      <c r="F5" s="178"/>
      <c r="G5" s="178"/>
      <c r="H5" s="178"/>
      <c r="I5" s="178"/>
      <c r="J5" s="178"/>
    </row>
    <row r="6" spans="1:10">
      <c r="A6" s="103"/>
      <c r="B6" s="103"/>
      <c r="C6" s="103"/>
      <c r="D6" s="103"/>
      <c r="E6" s="103"/>
      <c r="F6" s="104"/>
      <c r="G6" s="105"/>
      <c r="H6" s="105"/>
      <c r="I6" s="105"/>
      <c r="J6" s="105"/>
    </row>
    <row r="7" spans="1:10">
      <c r="A7" s="179" t="s">
        <v>2</v>
      </c>
      <c r="B7" s="180"/>
      <c r="C7" s="105"/>
      <c r="D7" s="105"/>
      <c r="E7" s="105"/>
      <c r="F7" s="105"/>
      <c r="G7" s="169" t="str">
        <f>TONGQUAN!D5</f>
        <v>Công ty Cổ phần Quản lý Quỹ Đầu tư Dragon Capital Việt Nam</v>
      </c>
      <c r="H7" s="169"/>
      <c r="I7" s="169"/>
      <c r="J7" s="169"/>
    </row>
    <row r="8" spans="1:10" ht="15" customHeight="1">
      <c r="A8" s="172" t="s">
        <v>15</v>
      </c>
      <c r="B8" s="172"/>
      <c r="C8" s="105"/>
      <c r="D8" s="105"/>
      <c r="E8" s="105"/>
      <c r="F8" s="105"/>
      <c r="G8" s="170" t="str">
        <f>TONGQUAN!D6</f>
        <v>Dragon Capital Vietfund Management Joint Stock Company</v>
      </c>
      <c r="H8" s="170"/>
      <c r="I8" s="170"/>
      <c r="J8" s="170"/>
    </row>
    <row r="9" spans="1:10">
      <c r="A9" s="167" t="s">
        <v>3</v>
      </c>
      <c r="B9" s="173"/>
      <c r="C9" s="105"/>
      <c r="D9" s="105"/>
      <c r="E9" s="105"/>
      <c r="F9" s="105"/>
      <c r="G9" s="174" t="str">
        <f>TONGQUAN!D7</f>
        <v>Ngân hàng TNHH Một thành viên Standard Chartered (Việt Nam)</v>
      </c>
      <c r="H9" s="174"/>
      <c r="I9" s="174"/>
      <c r="J9" s="174"/>
    </row>
    <row r="10" spans="1:10" ht="15" customHeight="1">
      <c r="A10" s="173" t="s">
        <v>4</v>
      </c>
      <c r="B10" s="173"/>
      <c r="C10" s="105"/>
      <c r="D10" s="105"/>
      <c r="E10" s="105"/>
      <c r="F10" s="105"/>
      <c r="G10" s="170" t="str">
        <f>TONGQUAN!D8</f>
        <v>Standard Chartered Bank (Vietnam) Limited</v>
      </c>
      <c r="H10" s="170"/>
      <c r="I10" s="170"/>
      <c r="J10" s="170"/>
    </row>
    <row r="11" spans="1:10" ht="15" customHeight="1">
      <c r="A11" s="167" t="s">
        <v>5</v>
      </c>
      <c r="B11" s="168"/>
      <c r="C11" s="105"/>
      <c r="D11" s="105"/>
      <c r="E11" s="105"/>
      <c r="F11" s="105"/>
      <c r="G11" s="169" t="str">
        <f>TONGQUAN!D9</f>
        <v>Quỹ Đầu tư Chứng khoán Năng động DC</v>
      </c>
      <c r="H11" s="169"/>
      <c r="I11" s="169"/>
      <c r="J11" s="169"/>
    </row>
    <row r="12" spans="1:10" ht="15" customHeight="1">
      <c r="A12" s="106" t="s">
        <v>248</v>
      </c>
      <c r="B12" s="107"/>
      <c r="C12" s="105"/>
      <c r="D12" s="105"/>
      <c r="E12" s="105"/>
      <c r="F12" s="105"/>
      <c r="G12" s="170" t="str">
        <f>TONGQUAN!D10</f>
        <v>DC Dynamic Securities Fund (DCDS)</v>
      </c>
      <c r="H12" s="170"/>
      <c r="I12" s="170"/>
      <c r="J12" s="170"/>
    </row>
    <row r="13" spans="1:10" ht="15" customHeight="1">
      <c r="A13" s="108" t="s">
        <v>7</v>
      </c>
      <c r="B13" s="109"/>
      <c r="C13" s="105"/>
      <c r="D13" s="105"/>
      <c r="E13" s="105"/>
      <c r="F13" s="105"/>
      <c r="G13" s="169" t="str">
        <f>TONGQUAN!D11</f>
        <v>Ngày 02 tháng 01 năm 2025</v>
      </c>
      <c r="H13" s="169"/>
      <c r="I13" s="169"/>
      <c r="J13" s="169"/>
    </row>
    <row r="14" spans="1:10">
      <c r="A14" s="110" t="s">
        <v>8</v>
      </c>
      <c r="B14" s="110"/>
      <c r="C14" s="111"/>
      <c r="D14" s="111"/>
      <c r="E14" s="111"/>
      <c r="F14" s="111"/>
      <c r="G14" s="171" t="str">
        <f>TONGQUAN!D12</f>
        <v>02 Jan 2025</v>
      </c>
      <c r="H14" s="171"/>
      <c r="I14" s="171"/>
      <c r="J14" s="171"/>
    </row>
    <row r="15" spans="1:10">
      <c r="A15" s="32" t="s">
        <v>299</v>
      </c>
      <c r="B15" s="33" t="s">
        <v>300</v>
      </c>
      <c r="C15" s="111"/>
      <c r="D15" s="111"/>
      <c r="E15" s="111"/>
      <c r="F15" s="111"/>
      <c r="G15" s="112"/>
      <c r="H15" s="112"/>
      <c r="I15" s="112"/>
      <c r="J15" s="112"/>
    </row>
    <row r="16" spans="1:10">
      <c r="A16" s="113" t="s">
        <v>24</v>
      </c>
      <c r="B16" s="114" t="s">
        <v>255</v>
      </c>
      <c r="C16" s="111"/>
      <c r="D16" s="111"/>
      <c r="E16" s="111"/>
      <c r="F16" s="111"/>
      <c r="G16" s="111"/>
      <c r="H16" s="111"/>
      <c r="I16" s="111"/>
      <c r="J16" s="111"/>
    </row>
    <row r="17" spans="1:10" s="115" customFormat="1" ht="36" customHeight="1">
      <c r="A17" s="165" t="s">
        <v>143</v>
      </c>
      <c r="B17" s="165" t="s">
        <v>290</v>
      </c>
      <c r="C17" s="165" t="s">
        <v>291</v>
      </c>
      <c r="D17" s="165" t="s">
        <v>292</v>
      </c>
      <c r="E17" s="165" t="s">
        <v>293</v>
      </c>
      <c r="F17" s="165" t="s">
        <v>294</v>
      </c>
      <c r="G17" s="165" t="s">
        <v>295</v>
      </c>
      <c r="H17" s="166"/>
      <c r="I17" s="165" t="s">
        <v>304</v>
      </c>
      <c r="J17" s="166"/>
    </row>
    <row r="18" spans="1:10" s="115" customFormat="1" ht="114" customHeight="1">
      <c r="A18" s="166"/>
      <c r="B18" s="166"/>
      <c r="C18" s="166"/>
      <c r="D18" s="166"/>
      <c r="E18" s="166"/>
      <c r="F18" s="166"/>
      <c r="G18" s="116" t="s">
        <v>296</v>
      </c>
      <c r="H18" s="116" t="s">
        <v>297</v>
      </c>
      <c r="I18" s="116" t="s">
        <v>296</v>
      </c>
      <c r="J18" s="116" t="s">
        <v>298</v>
      </c>
    </row>
    <row r="19" spans="1:10" s="115" customFormat="1" ht="45.75" customHeight="1">
      <c r="A19" s="43" t="s">
        <v>611</v>
      </c>
      <c r="B19" s="43" t="s">
        <v>612</v>
      </c>
      <c r="C19" s="43"/>
      <c r="D19" s="43"/>
      <c r="E19" s="43"/>
      <c r="F19" s="45"/>
      <c r="G19" s="43"/>
      <c r="H19" s="46"/>
      <c r="I19" s="43"/>
      <c r="J19" s="46"/>
    </row>
    <row r="20" spans="1:10">
      <c r="A20" s="43" t="s">
        <v>613</v>
      </c>
      <c r="B20" s="43" t="s">
        <v>614</v>
      </c>
      <c r="C20" s="43" t="s">
        <v>615</v>
      </c>
      <c r="D20" s="43" t="s">
        <v>616</v>
      </c>
      <c r="E20" s="43" t="s">
        <v>617</v>
      </c>
      <c r="F20" s="45" t="s">
        <v>618</v>
      </c>
      <c r="G20" s="43" t="s">
        <v>619</v>
      </c>
      <c r="H20" s="46" t="s">
        <v>620</v>
      </c>
      <c r="I20" s="43" t="s">
        <v>621</v>
      </c>
      <c r="J20" s="46" t="s">
        <v>622</v>
      </c>
    </row>
    <row r="21" spans="1:10" ht="36.5" customHeight="1">
      <c r="A21" s="39" t="s">
        <v>623</v>
      </c>
      <c r="B21" s="39" t="s">
        <v>624</v>
      </c>
      <c r="C21" s="39"/>
      <c r="D21" s="39"/>
      <c r="E21" s="39"/>
      <c r="F21" s="41">
        <v>0</v>
      </c>
      <c r="G21" s="39"/>
      <c r="H21" s="42">
        <v>0</v>
      </c>
      <c r="I21" s="39"/>
      <c r="J21" s="42">
        <v>0</v>
      </c>
    </row>
    <row r="22" spans="1:10" ht="36.5" customHeight="1">
      <c r="A22" s="43" t="s">
        <v>625</v>
      </c>
      <c r="B22" s="43" t="s">
        <v>626</v>
      </c>
      <c r="C22" s="43"/>
      <c r="D22" s="43"/>
      <c r="E22" s="43"/>
      <c r="F22" s="45"/>
      <c r="G22" s="43"/>
      <c r="H22" s="46"/>
      <c r="I22" s="43"/>
      <c r="J22" s="46"/>
    </row>
    <row r="23" spans="1:10">
      <c r="A23" s="43" t="s">
        <v>627</v>
      </c>
      <c r="B23" s="43" t="s">
        <v>628</v>
      </c>
      <c r="C23" s="43" t="s">
        <v>629</v>
      </c>
      <c r="D23" s="43" t="s">
        <v>630</v>
      </c>
      <c r="E23" s="43" t="s">
        <v>631</v>
      </c>
      <c r="F23" s="45" t="s">
        <v>632</v>
      </c>
      <c r="G23" s="43" t="s">
        <v>633</v>
      </c>
      <c r="H23" s="46" t="s">
        <v>634</v>
      </c>
      <c r="I23" s="43" t="s">
        <v>635</v>
      </c>
      <c r="J23" s="46" t="s">
        <v>636</v>
      </c>
    </row>
    <row r="24" spans="1:10" ht="39" customHeight="1">
      <c r="A24" s="39" t="s">
        <v>637</v>
      </c>
      <c r="B24" s="39" t="s">
        <v>638</v>
      </c>
      <c r="C24" s="39"/>
      <c r="D24" s="39"/>
      <c r="E24" s="39"/>
      <c r="F24" s="41">
        <v>0</v>
      </c>
      <c r="G24" s="39"/>
      <c r="H24" s="42">
        <v>0</v>
      </c>
      <c r="I24" s="39"/>
      <c r="J24" s="42">
        <v>0</v>
      </c>
    </row>
    <row r="25" spans="1:10" ht="45">
      <c r="A25" s="39" t="s">
        <v>639</v>
      </c>
      <c r="B25" s="39" t="s">
        <v>640</v>
      </c>
      <c r="C25" s="39"/>
      <c r="D25" s="39"/>
      <c r="E25" s="39"/>
      <c r="F25" s="41">
        <v>0</v>
      </c>
      <c r="G25" s="39"/>
      <c r="H25" s="42">
        <v>0</v>
      </c>
      <c r="I25" s="39"/>
      <c r="J25" s="42">
        <v>0</v>
      </c>
    </row>
    <row r="26" spans="1:10" ht="37.5" customHeight="1">
      <c r="A26" s="43" t="s">
        <v>641</v>
      </c>
      <c r="B26" s="43" t="s">
        <v>642</v>
      </c>
      <c r="C26" s="43"/>
      <c r="D26" s="43"/>
      <c r="E26" s="43"/>
      <c r="F26" s="45"/>
      <c r="G26" s="43"/>
      <c r="H26" s="46"/>
      <c r="I26" s="43"/>
      <c r="J26" s="46"/>
    </row>
    <row r="27" spans="1:10">
      <c r="A27" s="43" t="s">
        <v>643</v>
      </c>
      <c r="B27" s="43" t="s">
        <v>644</v>
      </c>
      <c r="C27" s="43" t="s">
        <v>645</v>
      </c>
      <c r="D27" s="43" t="s">
        <v>646</v>
      </c>
      <c r="E27" s="43" t="s">
        <v>647</v>
      </c>
      <c r="F27" s="45" t="s">
        <v>648</v>
      </c>
      <c r="G27" s="43" t="s">
        <v>649</v>
      </c>
      <c r="H27" s="46" t="s">
        <v>650</v>
      </c>
      <c r="I27" s="43" t="s">
        <v>651</v>
      </c>
      <c r="J27" s="46" t="s">
        <v>652</v>
      </c>
    </row>
    <row r="28" spans="1:10" ht="39" customHeight="1">
      <c r="A28" s="39" t="s">
        <v>653</v>
      </c>
      <c r="B28" s="39" t="s">
        <v>654</v>
      </c>
      <c r="C28" s="39"/>
      <c r="D28" s="39"/>
      <c r="E28" s="39"/>
      <c r="F28" s="41">
        <v>0</v>
      </c>
      <c r="G28" s="39"/>
      <c r="H28" s="42">
        <v>0</v>
      </c>
      <c r="I28" s="39"/>
      <c r="J28" s="42">
        <v>0</v>
      </c>
    </row>
    <row r="29" spans="1:10" ht="39" customHeight="1">
      <c r="A29" s="43" t="s">
        <v>655</v>
      </c>
      <c r="B29" s="43" t="s">
        <v>656</v>
      </c>
      <c r="C29" s="43"/>
      <c r="D29" s="43"/>
      <c r="E29" s="43"/>
      <c r="F29" s="45"/>
      <c r="G29" s="43"/>
      <c r="H29" s="46"/>
      <c r="I29" s="43"/>
      <c r="J29" s="46"/>
    </row>
    <row r="30" spans="1:10">
      <c r="A30" s="43" t="s">
        <v>657</v>
      </c>
      <c r="B30" s="43" t="s">
        <v>658</v>
      </c>
      <c r="C30" s="43" t="s">
        <v>659</v>
      </c>
      <c r="D30" s="43" t="s">
        <v>660</v>
      </c>
      <c r="E30" s="43" t="s">
        <v>661</v>
      </c>
      <c r="F30" s="45" t="s">
        <v>662</v>
      </c>
      <c r="G30" s="43" t="s">
        <v>663</v>
      </c>
      <c r="H30" s="46" t="s">
        <v>664</v>
      </c>
      <c r="I30" s="43" t="s">
        <v>665</v>
      </c>
      <c r="J30" s="46" t="s">
        <v>666</v>
      </c>
    </row>
    <row r="31" spans="1:10" ht="39.5" customHeight="1">
      <c r="A31" s="39" t="s">
        <v>667</v>
      </c>
      <c r="B31" s="39" t="s">
        <v>668</v>
      </c>
      <c r="C31" s="39"/>
      <c r="D31" s="39"/>
      <c r="E31" s="39"/>
      <c r="F31" s="41">
        <v>0</v>
      </c>
      <c r="G31" s="39"/>
      <c r="H31" s="42">
        <v>0</v>
      </c>
      <c r="I31" s="39"/>
      <c r="J31" s="42">
        <v>0</v>
      </c>
    </row>
    <row r="32" spans="1:10" ht="54.5" customHeight="1">
      <c r="A32" s="39" t="s">
        <v>669</v>
      </c>
      <c r="B32" s="39" t="s">
        <v>670</v>
      </c>
      <c r="C32" s="39"/>
      <c r="D32" s="39"/>
      <c r="E32" s="39"/>
      <c r="F32" s="41">
        <v>0</v>
      </c>
      <c r="G32" s="39"/>
      <c r="H32" s="42">
        <v>0</v>
      </c>
      <c r="I32" s="39"/>
      <c r="J32" s="42">
        <v>0</v>
      </c>
    </row>
    <row r="33" spans="1:10" s="121" customFormat="1" ht="45.75" customHeight="1">
      <c r="A33" s="117" t="s">
        <v>10</v>
      </c>
      <c r="B33" s="118"/>
      <c r="C33" s="119"/>
      <c r="D33" s="111"/>
      <c r="E33" s="111"/>
      <c r="F33" s="111"/>
      <c r="G33" s="111"/>
      <c r="H33" s="111"/>
      <c r="I33" s="120" t="s">
        <v>11</v>
      </c>
      <c r="J33" s="111"/>
    </row>
    <row r="34" spans="1:10">
      <c r="A34" s="122" t="s">
        <v>12</v>
      </c>
      <c r="B34" s="118"/>
      <c r="C34" s="119"/>
      <c r="D34" s="111"/>
      <c r="E34" s="111"/>
      <c r="F34" s="111"/>
      <c r="G34" s="111"/>
      <c r="H34" s="111"/>
      <c r="I34" s="123" t="s">
        <v>13</v>
      </c>
      <c r="J34" s="111"/>
    </row>
    <row r="35" spans="1:10">
      <c r="A35" s="122"/>
      <c r="B35" s="118"/>
      <c r="C35" s="119"/>
      <c r="D35" s="111"/>
      <c r="E35" s="111"/>
      <c r="F35" s="111"/>
      <c r="G35" s="111"/>
      <c r="H35" s="111"/>
      <c r="I35" s="123"/>
      <c r="J35" s="111"/>
    </row>
    <row r="36" spans="1:10">
      <c r="A36" s="122"/>
      <c r="B36" s="118"/>
      <c r="C36" s="119"/>
      <c r="D36" s="111"/>
      <c r="E36" s="111"/>
      <c r="F36" s="111"/>
      <c r="G36" s="111"/>
      <c r="H36" s="111"/>
      <c r="I36" s="123"/>
      <c r="J36" s="111"/>
    </row>
    <row r="37" spans="1:10">
      <c r="A37" s="122"/>
      <c r="B37" s="118"/>
      <c r="C37" s="119"/>
      <c r="D37" s="111"/>
      <c r="E37" s="111"/>
      <c r="F37" s="111"/>
      <c r="G37" s="111"/>
      <c r="H37" s="111"/>
      <c r="I37" s="123"/>
      <c r="J37" s="111"/>
    </row>
    <row r="38" spans="1:10">
      <c r="A38" s="118"/>
      <c r="B38" s="118"/>
      <c r="C38" s="119"/>
      <c r="D38" s="105"/>
      <c r="E38" s="105"/>
      <c r="F38" s="105"/>
      <c r="G38" s="105"/>
      <c r="H38" s="105"/>
      <c r="I38" s="119"/>
      <c r="J38" s="105"/>
    </row>
    <row r="39" spans="1:10">
      <c r="A39" s="124"/>
      <c r="B39" s="105"/>
      <c r="C39" s="105"/>
      <c r="D39" s="105"/>
      <c r="E39" s="105"/>
      <c r="F39" s="105"/>
      <c r="G39" s="111"/>
      <c r="H39" s="105"/>
      <c r="I39" s="105"/>
      <c r="J39" s="105"/>
    </row>
    <row r="40" spans="1:10">
      <c r="A40" s="124"/>
      <c r="B40" s="105"/>
      <c r="C40" s="105"/>
      <c r="D40" s="105"/>
      <c r="E40" s="105"/>
      <c r="F40" s="105"/>
      <c r="G40" s="105"/>
      <c r="H40" s="105"/>
      <c r="I40" s="105"/>
      <c r="J40" s="105"/>
    </row>
    <row r="41" spans="1:10">
      <c r="A41" s="124"/>
      <c r="B41" s="105"/>
      <c r="C41" s="105"/>
      <c r="D41" s="105"/>
      <c r="E41" s="105"/>
      <c r="F41" s="105"/>
      <c r="G41" s="105"/>
      <c r="H41" s="105"/>
      <c r="I41" s="105"/>
      <c r="J41" s="105"/>
    </row>
    <row r="42" spans="1:10">
      <c r="A42" s="125"/>
      <c r="B42" s="126"/>
      <c r="C42" s="126"/>
      <c r="D42" s="105"/>
      <c r="E42" s="105"/>
      <c r="F42" s="105"/>
      <c r="G42" s="105"/>
      <c r="H42" s="105"/>
      <c r="I42" s="105"/>
      <c r="J42" s="105"/>
    </row>
    <row r="43" spans="1:10" s="115" customFormat="1" ht="15">
      <c r="A43" s="127" t="s">
        <v>14</v>
      </c>
      <c r="B43" s="127"/>
      <c r="C43" s="111"/>
      <c r="D43" s="111"/>
      <c r="E43" s="111"/>
      <c r="F43" s="111"/>
      <c r="G43" s="111"/>
      <c r="H43" s="111"/>
      <c r="I43" s="128" t="s">
        <v>982</v>
      </c>
      <c r="J43" s="129"/>
    </row>
    <row r="44" spans="1:10" s="115" customFormat="1" ht="15">
      <c r="A44" s="114" t="s">
        <v>988</v>
      </c>
      <c r="B44" s="111"/>
      <c r="C44" s="111"/>
      <c r="D44" s="111"/>
      <c r="E44" s="111"/>
      <c r="F44" s="111"/>
      <c r="G44" s="111"/>
      <c r="H44" s="111"/>
      <c r="I44" s="114" t="s">
        <v>989</v>
      </c>
      <c r="J44" s="111"/>
    </row>
    <row r="45" spans="1:10" s="115" customFormat="1" ht="15">
      <c r="A45" s="111" t="s">
        <v>990</v>
      </c>
      <c r="B45" s="111"/>
      <c r="C45" s="111"/>
      <c r="D45" s="111"/>
      <c r="E45" s="111"/>
      <c r="F45" s="111"/>
      <c r="G45" s="111"/>
      <c r="H45" s="111"/>
      <c r="I45" s="111" t="s">
        <v>991</v>
      </c>
      <c r="J45" s="111"/>
    </row>
    <row r="46" spans="1:10" s="115" customFormat="1" ht="15">
      <c r="A46" s="130"/>
      <c r="B46" s="111"/>
      <c r="C46" s="111"/>
      <c r="D46" s="111"/>
      <c r="E46" s="111"/>
      <c r="F46" s="111"/>
      <c r="G46" s="111"/>
      <c r="H46" s="111"/>
      <c r="I46" s="111"/>
      <c r="J46" s="111"/>
    </row>
    <row r="47" spans="1:10" s="115" customFormat="1" ht="15">
      <c r="A47" s="130"/>
      <c r="B47" s="111"/>
      <c r="C47" s="111"/>
      <c r="D47" s="111"/>
      <c r="E47" s="111"/>
      <c r="F47" s="111"/>
      <c r="G47" s="111"/>
      <c r="H47" s="111"/>
      <c r="I47" s="111"/>
      <c r="J47" s="111"/>
    </row>
    <row r="48" spans="1:10">
      <c r="A48" s="124"/>
      <c r="B48" s="105"/>
      <c r="C48" s="105"/>
      <c r="D48" s="105"/>
      <c r="E48" s="105"/>
      <c r="F48" s="105"/>
      <c r="G48" s="105"/>
      <c r="H48" s="105"/>
      <c r="I48" s="105"/>
      <c r="J48" s="105"/>
    </row>
    <row r="49" spans="1:10">
      <c r="A49" s="124"/>
      <c r="B49" s="105"/>
      <c r="C49" s="105"/>
      <c r="D49" s="105"/>
      <c r="E49" s="105"/>
      <c r="F49" s="105"/>
      <c r="G49" s="105"/>
      <c r="H49" s="105"/>
      <c r="I49" s="105"/>
      <c r="J49" s="105"/>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9"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52" zoomScale="80" zoomScaleNormal="100" zoomScaleSheetLayoutView="80" workbookViewId="0">
      <selection activeCell="A28" sqref="A28:XFD28"/>
    </sheetView>
  </sheetViews>
  <sheetFormatPr defaultColWidth="8.7265625" defaultRowHeight="53.25" customHeight="1"/>
  <cols>
    <col min="1" max="1" width="8.7265625" style="29"/>
    <col min="2" max="2" width="68" style="29" customWidth="1"/>
    <col min="3" max="3" width="10.7265625" style="29" bestFit="1" customWidth="1"/>
    <col min="4" max="4" width="41.7265625" style="29" customWidth="1"/>
    <col min="5" max="5" width="39.54296875" style="29" customWidth="1"/>
    <col min="6" max="6" width="8.453125" style="93" customWidth="1"/>
    <col min="7" max="16384" width="8.7265625" style="93"/>
  </cols>
  <sheetData>
    <row r="1" spans="1:6" ht="53.25" customHeight="1">
      <c r="A1" s="160" t="s">
        <v>301</v>
      </c>
      <c r="B1" s="160"/>
      <c r="C1" s="160"/>
      <c r="D1" s="160"/>
      <c r="E1" s="160"/>
      <c r="F1" s="132"/>
    </row>
    <row r="2" spans="1:6" ht="66" customHeight="1">
      <c r="A2" s="161" t="s">
        <v>302</v>
      </c>
      <c r="B2" s="161"/>
      <c r="C2" s="161"/>
      <c r="D2" s="161"/>
      <c r="E2" s="161"/>
      <c r="F2" s="133"/>
    </row>
    <row r="3" spans="1:6" ht="40.5" customHeight="1">
      <c r="A3" s="162" t="s">
        <v>252</v>
      </c>
      <c r="B3" s="162"/>
      <c r="C3" s="162"/>
      <c r="D3" s="162"/>
      <c r="E3" s="162"/>
      <c r="F3" s="132"/>
    </row>
    <row r="4" spans="1:6" ht="15" hidden="1">
      <c r="A4" s="162"/>
      <c r="B4" s="162"/>
      <c r="C4" s="162"/>
      <c r="D4" s="162"/>
      <c r="E4" s="162"/>
      <c r="F4" s="132"/>
    </row>
    <row r="5" spans="1:6" ht="15">
      <c r="A5" s="163" t="s">
        <v>981</v>
      </c>
      <c r="B5" s="163"/>
      <c r="C5" s="163"/>
      <c r="D5" s="163"/>
      <c r="E5" s="163"/>
      <c r="F5" s="134"/>
    </row>
    <row r="6" spans="1:6" ht="15"/>
    <row r="7" spans="1:6" ht="15">
      <c r="A7" s="58" t="s">
        <v>2</v>
      </c>
      <c r="C7" s="164" t="s">
        <v>982</v>
      </c>
      <c r="D7" s="164"/>
      <c r="E7" s="164"/>
    </row>
    <row r="8" spans="1:6" ht="15">
      <c r="A8" s="29" t="s">
        <v>15</v>
      </c>
      <c r="C8" s="159" t="s">
        <v>983</v>
      </c>
      <c r="D8" s="159"/>
      <c r="E8" s="159"/>
    </row>
    <row r="9" spans="1:6" ht="15">
      <c r="A9" s="58" t="s">
        <v>3</v>
      </c>
      <c r="C9" s="164" t="s">
        <v>984</v>
      </c>
      <c r="D9" s="164"/>
      <c r="E9" s="164"/>
    </row>
    <row r="10" spans="1:6" ht="15">
      <c r="A10" s="29" t="s">
        <v>4</v>
      </c>
      <c r="C10" s="159" t="s">
        <v>985</v>
      </c>
      <c r="D10" s="159"/>
      <c r="E10" s="159"/>
    </row>
    <row r="11" spans="1:6" ht="15">
      <c r="A11" s="58" t="s">
        <v>5</v>
      </c>
      <c r="C11" s="164" t="s">
        <v>352</v>
      </c>
      <c r="D11" s="164"/>
      <c r="E11" s="164"/>
    </row>
    <row r="12" spans="1:6" ht="15">
      <c r="A12" s="29" t="s">
        <v>6</v>
      </c>
      <c r="C12" s="159" t="s">
        <v>996</v>
      </c>
      <c r="D12" s="159"/>
      <c r="E12" s="159"/>
    </row>
    <row r="13" spans="1:6" ht="15">
      <c r="A13" s="58" t="s">
        <v>7</v>
      </c>
      <c r="C13" s="164" t="s">
        <v>986</v>
      </c>
      <c r="D13" s="164"/>
      <c r="E13" s="164"/>
    </row>
    <row r="14" spans="1:6" ht="15">
      <c r="A14" s="29" t="s">
        <v>8</v>
      </c>
      <c r="C14" s="159" t="s">
        <v>987</v>
      </c>
      <c r="D14" s="159"/>
      <c r="E14" s="159"/>
    </row>
    <row r="15" spans="1:6" ht="15"/>
    <row r="16" spans="1:6" ht="15">
      <c r="A16" s="32" t="s">
        <v>299</v>
      </c>
      <c r="B16" s="33" t="s">
        <v>300</v>
      </c>
    </row>
    <row r="17" spans="1:5" ht="15">
      <c r="A17" s="59" t="s">
        <v>25</v>
      </c>
      <c r="B17" s="60" t="s">
        <v>245</v>
      </c>
    </row>
    <row r="18" spans="1:5" ht="45">
      <c r="A18" s="135" t="s">
        <v>17</v>
      </c>
      <c r="B18" s="135" t="s">
        <v>289</v>
      </c>
      <c r="C18" s="135" t="s">
        <v>19</v>
      </c>
      <c r="D18" s="136" t="s">
        <v>994</v>
      </c>
      <c r="E18" s="136" t="s">
        <v>995</v>
      </c>
    </row>
    <row r="19" spans="1:5" s="140" customFormat="1" ht="42.5" customHeight="1">
      <c r="A19" s="137" t="s">
        <v>16</v>
      </c>
      <c r="B19" s="138" t="s">
        <v>106</v>
      </c>
      <c r="C19" s="139" t="s">
        <v>107</v>
      </c>
      <c r="D19" s="46"/>
      <c r="E19" s="46"/>
    </row>
    <row r="20" spans="1:5" ht="71.5" customHeight="1">
      <c r="A20" s="141">
        <v>1</v>
      </c>
      <c r="B20" s="142" t="s">
        <v>274</v>
      </c>
      <c r="C20" s="143" t="s">
        <v>108</v>
      </c>
      <c r="D20" s="46">
        <v>1.9821653439057299E-2</v>
      </c>
      <c r="E20" s="46">
        <v>1.9182342592420399E-2</v>
      </c>
    </row>
    <row r="21" spans="1:5" ht="72" customHeight="1">
      <c r="A21" s="141">
        <v>2</v>
      </c>
      <c r="B21" s="142" t="s">
        <v>275</v>
      </c>
      <c r="C21" s="143" t="s">
        <v>109</v>
      </c>
      <c r="D21" s="46">
        <v>1.0799382272198899E-3</v>
      </c>
      <c r="E21" s="46">
        <v>1.0978855443125001E-3</v>
      </c>
    </row>
    <row r="22" spans="1:5" ht="86.5" customHeight="1">
      <c r="A22" s="141">
        <v>3</v>
      </c>
      <c r="B22" s="142" t="s">
        <v>276</v>
      </c>
      <c r="C22" s="143" t="s">
        <v>110</v>
      </c>
      <c r="D22" s="46">
        <v>4.1004514521931601E-4</v>
      </c>
      <c r="E22" s="46">
        <v>4.00353248936419E-4</v>
      </c>
    </row>
    <row r="23" spans="1:5" ht="67.5" customHeight="1">
      <c r="A23" s="141">
        <v>4</v>
      </c>
      <c r="B23" s="142" t="s">
        <v>246</v>
      </c>
      <c r="C23" s="143" t="s">
        <v>111</v>
      </c>
      <c r="D23" s="46">
        <v>7.2320912781006404E-5</v>
      </c>
      <c r="E23" s="46">
        <v>7.4309994032783206E-5</v>
      </c>
    </row>
    <row r="24" spans="1:5" ht="65" customHeight="1">
      <c r="A24" s="141">
        <v>5</v>
      </c>
      <c r="B24" s="142" t="s">
        <v>277</v>
      </c>
      <c r="C24" s="143" t="s">
        <v>278</v>
      </c>
      <c r="D24" s="144"/>
      <c r="E24" s="144"/>
    </row>
    <row r="25" spans="1:5" ht="73.5" customHeight="1">
      <c r="A25" s="141">
        <v>6</v>
      </c>
      <c r="B25" s="142" t="s">
        <v>279</v>
      </c>
      <c r="C25" s="143"/>
      <c r="D25" s="144"/>
      <c r="E25" s="144"/>
    </row>
    <row r="26" spans="1:5" ht="95.5" customHeight="1">
      <c r="A26" s="141">
        <v>7</v>
      </c>
      <c r="B26" s="142" t="s">
        <v>247</v>
      </c>
      <c r="C26" s="143" t="s">
        <v>112</v>
      </c>
      <c r="D26" s="46">
        <v>7.0654172363997903E-5</v>
      </c>
      <c r="E26" s="46">
        <v>7.4340758370312806E-5</v>
      </c>
    </row>
    <row r="27" spans="1:5" ht="40.5" customHeight="1">
      <c r="A27" s="141">
        <v>8</v>
      </c>
      <c r="B27" s="142" t="s">
        <v>280</v>
      </c>
      <c r="C27" s="143" t="s">
        <v>113</v>
      </c>
      <c r="D27" s="46">
        <v>2.1207415205934398E-2</v>
      </c>
      <c r="E27" s="46">
        <v>2.1282431298880501E-2</v>
      </c>
    </row>
    <row r="28" spans="1:5" ht="33.5" customHeight="1">
      <c r="A28" s="141">
        <v>9</v>
      </c>
      <c r="B28" s="142" t="s">
        <v>359</v>
      </c>
      <c r="C28" s="143" t="s">
        <v>114</v>
      </c>
      <c r="D28" s="46">
        <v>3.8097458416168699</v>
      </c>
      <c r="E28" s="46">
        <v>3.8866298618927901</v>
      </c>
    </row>
    <row r="29" spans="1:5" ht="71.5" customHeight="1">
      <c r="A29" s="141">
        <v>10</v>
      </c>
      <c r="B29" s="142" t="s">
        <v>281</v>
      </c>
      <c r="C29" s="143" t="s">
        <v>249</v>
      </c>
      <c r="D29" s="144"/>
      <c r="E29" s="144"/>
    </row>
    <row r="30" spans="1:5" s="140" customFormat="1" ht="40.5" customHeight="1">
      <c r="A30" s="137" t="s">
        <v>21</v>
      </c>
      <c r="B30" s="138" t="s">
        <v>115</v>
      </c>
      <c r="C30" s="139" t="s">
        <v>116</v>
      </c>
      <c r="D30" s="145"/>
      <c r="E30" s="145"/>
    </row>
    <row r="31" spans="1:5" ht="52.5" customHeight="1">
      <c r="A31" s="183">
        <v>1</v>
      </c>
      <c r="B31" s="142" t="s">
        <v>117</v>
      </c>
      <c r="C31" s="143" t="s">
        <v>118</v>
      </c>
      <c r="D31" s="146">
        <v>353378237300</v>
      </c>
      <c r="E31" s="146">
        <v>325939036600</v>
      </c>
    </row>
    <row r="32" spans="1:5" ht="50.5" customHeight="1">
      <c r="A32" s="184"/>
      <c r="B32" s="142" t="s">
        <v>119</v>
      </c>
      <c r="C32" s="143" t="s">
        <v>120</v>
      </c>
      <c r="D32" s="146">
        <v>353378237300</v>
      </c>
      <c r="E32" s="146">
        <v>325939036600</v>
      </c>
    </row>
    <row r="33" spans="1:5" ht="53" customHeight="1">
      <c r="A33" s="185"/>
      <c r="B33" s="142" t="s">
        <v>282</v>
      </c>
      <c r="C33" s="143" t="s">
        <v>121</v>
      </c>
      <c r="D33" s="144">
        <v>35337823.729999997</v>
      </c>
      <c r="E33" s="144">
        <v>32593903.66</v>
      </c>
    </row>
    <row r="34" spans="1:5" ht="45">
      <c r="A34" s="182">
        <v>2</v>
      </c>
      <c r="B34" s="142" t="s">
        <v>122</v>
      </c>
      <c r="C34" s="143" t="s">
        <v>123</v>
      </c>
      <c r="D34" s="146">
        <v>-1640346600</v>
      </c>
      <c r="E34" s="146">
        <v>27439200700</v>
      </c>
    </row>
    <row r="35" spans="1:5" ht="40.5" customHeight="1">
      <c r="A35" s="182"/>
      <c r="B35" s="142" t="s">
        <v>124</v>
      </c>
      <c r="C35" s="143" t="s">
        <v>283</v>
      </c>
      <c r="D35" s="144">
        <v>-164034.66</v>
      </c>
      <c r="E35" s="144">
        <v>2743920.07</v>
      </c>
    </row>
    <row r="36" spans="1:5" ht="30">
      <c r="A36" s="182"/>
      <c r="B36" s="142" t="s">
        <v>125</v>
      </c>
      <c r="C36" s="143" t="s">
        <v>284</v>
      </c>
      <c r="D36" s="146">
        <v>-1640346600</v>
      </c>
      <c r="E36" s="146">
        <v>27439200700</v>
      </c>
    </row>
    <row r="37" spans="1:5" ht="42" customHeight="1">
      <c r="A37" s="182"/>
      <c r="B37" s="142" t="s">
        <v>285</v>
      </c>
      <c r="C37" s="143" t="s">
        <v>126</v>
      </c>
      <c r="D37" s="144">
        <v>2049801.79</v>
      </c>
      <c r="E37" s="144">
        <v>3340287.42</v>
      </c>
    </row>
    <row r="38" spans="1:5" ht="30">
      <c r="A38" s="182"/>
      <c r="B38" s="142" t="s">
        <v>228</v>
      </c>
      <c r="C38" s="143" t="s">
        <v>127</v>
      </c>
      <c r="D38" s="146">
        <v>20498017900</v>
      </c>
      <c r="E38" s="146">
        <v>33402874200</v>
      </c>
    </row>
    <row r="39" spans="1:5" ht="40.5" customHeight="1">
      <c r="A39" s="182"/>
      <c r="B39" s="142" t="s">
        <v>307</v>
      </c>
      <c r="C39" s="143" t="s">
        <v>128</v>
      </c>
      <c r="D39" s="144">
        <v>-2213836.4500000002</v>
      </c>
      <c r="E39" s="144">
        <v>-596367.35</v>
      </c>
    </row>
    <row r="40" spans="1:5" ht="56" customHeight="1">
      <c r="A40" s="182"/>
      <c r="B40" s="142" t="s">
        <v>229</v>
      </c>
      <c r="C40" s="143" t="s">
        <v>129</v>
      </c>
      <c r="D40" s="146">
        <v>-22138364500</v>
      </c>
      <c r="E40" s="146">
        <v>-5963673500</v>
      </c>
    </row>
    <row r="41" spans="1:5" ht="37.5" customHeight="1">
      <c r="A41" s="182">
        <v>3</v>
      </c>
      <c r="B41" s="142" t="s">
        <v>230</v>
      </c>
      <c r="C41" s="143" t="s">
        <v>130</v>
      </c>
      <c r="D41" s="146">
        <v>351737890700</v>
      </c>
      <c r="E41" s="146">
        <v>353378237300</v>
      </c>
    </row>
    <row r="42" spans="1:5" ht="66.5" customHeight="1">
      <c r="A42" s="182"/>
      <c r="B42" s="142" t="s">
        <v>286</v>
      </c>
      <c r="C42" s="143" t="s">
        <v>131</v>
      </c>
      <c r="D42" s="146">
        <v>351737890700</v>
      </c>
      <c r="E42" s="146">
        <v>353378237300</v>
      </c>
    </row>
    <row r="43" spans="1:5" ht="55" customHeight="1">
      <c r="A43" s="182"/>
      <c r="B43" s="142" t="s">
        <v>287</v>
      </c>
      <c r="C43" s="143" t="s">
        <v>132</v>
      </c>
      <c r="D43" s="144">
        <v>35173789.07</v>
      </c>
      <c r="E43" s="144">
        <v>35337823.729999997</v>
      </c>
    </row>
    <row r="44" spans="1:5" ht="67" customHeight="1">
      <c r="A44" s="141">
        <v>4</v>
      </c>
      <c r="B44" s="142" t="s">
        <v>133</v>
      </c>
      <c r="C44" s="143" t="s">
        <v>134</v>
      </c>
      <c r="D44" s="46">
        <v>8.3227077531343105E-2</v>
      </c>
      <c r="E44" s="46">
        <v>6.3319219573230903E-2</v>
      </c>
    </row>
    <row r="45" spans="1:5" ht="30">
      <c r="A45" s="141">
        <v>5</v>
      </c>
      <c r="B45" s="142" t="s">
        <v>135</v>
      </c>
      <c r="C45" s="143" t="s">
        <v>136</v>
      </c>
      <c r="D45" s="46">
        <v>0.2286</v>
      </c>
      <c r="E45" s="46">
        <v>0.20449999999999999</v>
      </c>
    </row>
    <row r="46" spans="1:5" ht="30">
      <c r="A46" s="141">
        <v>6</v>
      </c>
      <c r="B46" s="142" t="s">
        <v>137</v>
      </c>
      <c r="C46" s="143" t="s">
        <v>138</v>
      </c>
      <c r="D46" s="46">
        <v>0.18920000000000001</v>
      </c>
      <c r="E46" s="46">
        <v>0.16800000000000001</v>
      </c>
    </row>
    <row r="47" spans="1:5" ht="34.5" customHeight="1">
      <c r="A47" s="141">
        <v>7</v>
      </c>
      <c r="B47" s="142" t="s">
        <v>139</v>
      </c>
      <c r="C47" s="143" t="s">
        <v>140</v>
      </c>
      <c r="D47" s="146">
        <v>34156</v>
      </c>
      <c r="E47" s="146">
        <v>34747</v>
      </c>
    </row>
    <row r="48" spans="1:5" ht="34.5" customHeight="1">
      <c r="A48" s="141">
        <v>8</v>
      </c>
      <c r="B48" s="142" t="s">
        <v>231</v>
      </c>
      <c r="C48" s="143" t="s">
        <v>141</v>
      </c>
      <c r="D48" s="144">
        <v>81439.67</v>
      </c>
      <c r="E48" s="144">
        <v>79316</v>
      </c>
    </row>
    <row r="49" spans="1:5" ht="67.5" customHeight="1">
      <c r="A49" s="141">
        <v>9</v>
      </c>
      <c r="B49" s="142" t="s">
        <v>288</v>
      </c>
      <c r="C49" s="143" t="s">
        <v>250</v>
      </c>
      <c r="D49" s="144"/>
      <c r="E49" s="144"/>
    </row>
    <row r="50" spans="1:5" ht="31.5" customHeight="1">
      <c r="A50" s="181" t="s">
        <v>358</v>
      </c>
      <c r="B50" s="159"/>
      <c r="C50" s="159"/>
      <c r="D50" s="159"/>
      <c r="E50" s="159"/>
    </row>
    <row r="51" spans="1:5" ht="95.25" customHeight="1">
      <c r="A51" s="181" t="s">
        <v>997</v>
      </c>
      <c r="B51" s="159"/>
      <c r="C51" s="159"/>
      <c r="D51" s="159"/>
      <c r="E51" s="159"/>
    </row>
    <row r="52" spans="1:5" ht="15">
      <c r="A52" s="90" t="s">
        <v>10</v>
      </c>
      <c r="D52" s="90" t="s">
        <v>11</v>
      </c>
    </row>
    <row r="53" spans="1:5" s="134" customFormat="1" ht="15">
      <c r="A53" s="147" t="s">
        <v>12</v>
      </c>
      <c r="B53" s="147"/>
      <c r="C53" s="147"/>
      <c r="D53" s="147" t="s">
        <v>13</v>
      </c>
      <c r="E53" s="147"/>
    </row>
    <row r="54" spans="1:5" ht="15"/>
    <row r="55" spans="1:5" ht="15"/>
    <row r="56" spans="1:5" ht="15"/>
    <row r="57" spans="1:5" ht="15"/>
    <row r="58" spans="1:5" ht="15"/>
    <row r="59" spans="1:5" ht="15"/>
    <row r="60" spans="1:5" ht="15"/>
    <row r="61" spans="1:5" ht="15"/>
    <row r="62" spans="1:5" ht="15">
      <c r="A62" s="148"/>
      <c r="B62" s="148"/>
      <c r="D62" s="148"/>
      <c r="E62" s="148"/>
    </row>
    <row r="63" spans="1:5" ht="15">
      <c r="A63" s="90" t="s">
        <v>14</v>
      </c>
      <c r="D63" s="90" t="s">
        <v>982</v>
      </c>
    </row>
    <row r="64" spans="1:5" ht="15">
      <c r="A64" s="90" t="s">
        <v>988</v>
      </c>
      <c r="D64" s="90" t="s">
        <v>989</v>
      </c>
    </row>
    <row r="65" spans="1:4" ht="15">
      <c r="A65" s="29" t="s">
        <v>990</v>
      </c>
      <c r="D65" s="29" t="s">
        <v>991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57" fitToHeight="0" orientation="portrait" r:id="rId1"/>
  <headerFooter>
    <oddHeader>&amp;L&amp;"Arial"&amp;9&amp;KA80000CONFIDENTIAL&amp;1#</oddHeader>
  </headerFooter>
  <rowBreaks count="1" manualBreakCount="1">
    <brk id="33" max="16383"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147</v>
      </c>
    </row>
    <row r="2" spans="1:4" s="1" customFormat="1" ht="61.5" customHeight="1">
      <c r="A2" s="1" t="s">
        <v>144</v>
      </c>
      <c r="B2" s="1" t="s">
        <v>145</v>
      </c>
      <c r="C2" s="1" t="s">
        <v>146</v>
      </c>
    </row>
    <row r="3" spans="1:4" ht="57" customHeight="1">
      <c r="A3" t="s">
        <v>251</v>
      </c>
      <c r="B3" t="s">
        <v>356</v>
      </c>
    </row>
    <row r="4" spans="1:4" ht="52.5" customHeight="1">
      <c r="A4" t="s">
        <v>147</v>
      </c>
      <c r="B4" t="s">
        <v>352</v>
      </c>
    </row>
    <row r="5" spans="1:4" ht="57.75" customHeight="1">
      <c r="A5" t="s">
        <v>148</v>
      </c>
      <c r="B5" t="s">
        <v>353</v>
      </c>
    </row>
    <row r="6" spans="1:4" ht="61.5" customHeight="1">
      <c r="A6" t="s">
        <v>149</v>
      </c>
      <c r="B6" t="s">
        <v>150</v>
      </c>
    </row>
    <row r="7" spans="1:4" ht="61.5" customHeight="1">
      <c r="A7" t="s">
        <v>151</v>
      </c>
      <c r="B7" t="s">
        <v>354</v>
      </c>
    </row>
    <row r="8" spans="1:4" ht="61.5" customHeight="1">
      <c r="A8" t="s">
        <v>152</v>
      </c>
      <c r="B8" t="s">
        <v>355</v>
      </c>
    </row>
    <row r="9" spans="1:4" ht="61.5" customHeight="1">
      <c r="A9" t="s">
        <v>154</v>
      </c>
      <c r="B9" t="s">
        <v>155</v>
      </c>
    </row>
    <row r="10" spans="1:4" ht="61.5" customHeight="1">
      <c r="A10" t="s">
        <v>153</v>
      </c>
      <c r="B10" t="s">
        <v>155</v>
      </c>
    </row>
    <row r="11" spans="1:4" ht="61.5" customHeight="1">
      <c r="A11" t="s">
        <v>156</v>
      </c>
      <c r="B11" t="s">
        <v>157</v>
      </c>
    </row>
    <row r="12" spans="1:4" ht="61.5" customHeight="1">
      <c r="A12" t="s">
        <v>158</v>
      </c>
      <c r="B12" t="s">
        <v>159</v>
      </c>
    </row>
    <row r="13" spans="1:4" ht="61.5" customHeight="1">
      <c r="A13" t="s">
        <v>160</v>
      </c>
      <c r="B13" t="s">
        <v>161</v>
      </c>
    </row>
    <row r="14" spans="1:4" ht="61.5" customHeight="1">
      <c r="A14" t="s">
        <v>162</v>
      </c>
      <c r="B14" t="s">
        <v>163</v>
      </c>
    </row>
    <row r="15" spans="1:4" ht="61.5" customHeight="1">
      <c r="A15" t="s">
        <v>164</v>
      </c>
      <c r="B15" t="s">
        <v>165</v>
      </c>
    </row>
    <row r="16" spans="1:4" ht="61.5" customHeight="1">
      <c r="A16" t="s">
        <v>166</v>
      </c>
      <c r="B16" t="s">
        <v>167</v>
      </c>
    </row>
    <row r="17" spans="1:2" ht="61.5" customHeight="1">
      <c r="A17" t="s">
        <v>168</v>
      </c>
      <c r="B17" t="s">
        <v>169</v>
      </c>
    </row>
    <row r="18" spans="1:2" ht="61.5" customHeight="1">
      <c r="A18" t="s">
        <v>170</v>
      </c>
      <c r="B18" t="s">
        <v>171</v>
      </c>
    </row>
    <row r="19" spans="1:2" ht="61.5" customHeight="1">
      <c r="A19" t="s">
        <v>172</v>
      </c>
      <c r="B19" t="s">
        <v>173</v>
      </c>
    </row>
    <row r="20" spans="1:2" ht="61.5" customHeight="1">
      <c r="A20" t="s">
        <v>174</v>
      </c>
      <c r="B20" t="s">
        <v>175</v>
      </c>
    </row>
    <row r="21" spans="1:2" ht="61.5" customHeight="1">
      <c r="A21" t="s">
        <v>176</v>
      </c>
      <c r="B21" t="s">
        <v>177</v>
      </c>
    </row>
    <row r="22" spans="1:2" ht="61.5" customHeight="1">
      <c r="A22" t="s">
        <v>182</v>
      </c>
      <c r="B22" t="s">
        <v>183</v>
      </c>
    </row>
    <row r="23" spans="1:2" ht="61.5" customHeight="1">
      <c r="A23" t="s">
        <v>184</v>
      </c>
      <c r="B23" t="s">
        <v>185</v>
      </c>
    </row>
    <row r="24" spans="1:2" ht="61.5" customHeight="1">
      <c r="A24" t="s">
        <v>186</v>
      </c>
      <c r="B24" t="s">
        <v>187</v>
      </c>
    </row>
    <row r="25" spans="1:2" ht="61.5" customHeight="1">
      <c r="A25" t="s">
        <v>188</v>
      </c>
      <c r="B25" t="s">
        <v>189</v>
      </c>
    </row>
    <row r="26" spans="1:2" ht="61.5" customHeight="1">
      <c r="A26" t="s">
        <v>190</v>
      </c>
      <c r="B26" t="s">
        <v>191</v>
      </c>
    </row>
    <row r="27" spans="1:2" ht="61.5" customHeight="1">
      <c r="A27" t="s">
        <v>192</v>
      </c>
      <c r="B27" t="s">
        <v>193</v>
      </c>
    </row>
    <row r="28" spans="1:2" ht="61.5" customHeight="1">
      <c r="A28" t="s">
        <v>194</v>
      </c>
      <c r="B28" t="s">
        <v>195</v>
      </c>
    </row>
    <row r="29" spans="1:2" ht="61.5" customHeight="1">
      <c r="A29" t="s">
        <v>196</v>
      </c>
      <c r="B29" t="s">
        <v>197</v>
      </c>
    </row>
    <row r="30" spans="1:2" ht="61.5" customHeight="1">
      <c r="A30" t="s">
        <v>198</v>
      </c>
      <c r="B30" t="s">
        <v>199</v>
      </c>
    </row>
    <row r="31" spans="1:2" ht="61.5" customHeight="1">
      <c r="A31" t="s">
        <v>178</v>
      </c>
      <c r="B31" t="s">
        <v>179</v>
      </c>
    </row>
    <row r="32" spans="1:2" ht="61.5" customHeight="1">
      <c r="A32" t="s">
        <v>201</v>
      </c>
      <c r="B32" t="s">
        <v>202</v>
      </c>
    </row>
    <row r="33" spans="1:2" ht="61.5" customHeight="1">
      <c r="A33" t="s">
        <v>203</v>
      </c>
      <c r="B33" t="s">
        <v>204</v>
      </c>
    </row>
    <row r="34" spans="1:2" ht="61.5" customHeight="1">
      <c r="A34" t="s">
        <v>205</v>
      </c>
      <c r="B34" t="s">
        <v>200</v>
      </c>
    </row>
    <row r="35" spans="1:2" ht="61.5" customHeight="1">
      <c r="A35" t="s">
        <v>206</v>
      </c>
      <c r="B35" t="s">
        <v>207</v>
      </c>
    </row>
    <row r="36" spans="1:2" ht="61.5" customHeight="1">
      <c r="A36" t="s">
        <v>208</v>
      </c>
      <c r="B36" t="s">
        <v>209</v>
      </c>
    </row>
    <row r="37" spans="1:2" ht="61.5" customHeight="1">
      <c r="A37" t="s">
        <v>210</v>
      </c>
      <c r="B37" t="s">
        <v>211</v>
      </c>
    </row>
    <row r="38" spans="1:2" ht="61.5" customHeight="1">
      <c r="A38" t="s">
        <v>198</v>
      </c>
      <c r="B38" t="s">
        <v>199</v>
      </c>
    </row>
    <row r="39" spans="1:2" ht="61.5" customHeight="1">
      <c r="A39" t="s">
        <v>212</v>
      </c>
      <c r="B39" t="s">
        <v>213</v>
      </c>
    </row>
    <row r="40" spans="1:2" ht="61.5" customHeight="1">
      <c r="A40" t="s">
        <v>308</v>
      </c>
      <c r="B40" t="s">
        <v>309</v>
      </c>
    </row>
    <row r="41" spans="1:2" ht="61.5" customHeight="1">
      <c r="A41" t="s">
        <v>310</v>
      </c>
      <c r="B41" t="s">
        <v>311</v>
      </c>
    </row>
    <row r="42" spans="1:2" ht="61.5" customHeight="1">
      <c r="A42" t="s">
        <v>312</v>
      </c>
      <c r="B42" t="s">
        <v>313</v>
      </c>
    </row>
    <row r="43" spans="1:2" ht="61.5" customHeight="1">
      <c r="A43" t="s">
        <v>314</v>
      </c>
      <c r="B43" t="s">
        <v>315</v>
      </c>
    </row>
    <row r="44" spans="1:2" ht="61.5" customHeight="1">
      <c r="A44" t="s">
        <v>316</v>
      </c>
      <c r="B44" t="s">
        <v>317</v>
      </c>
    </row>
    <row r="45" spans="1:2" ht="61.5" customHeight="1">
      <c r="A45" t="s">
        <v>318</v>
      </c>
      <c r="B45" t="s">
        <v>319</v>
      </c>
    </row>
    <row r="46" spans="1:2" ht="61.5" customHeight="1">
      <c r="A46" t="s">
        <v>320</v>
      </c>
      <c r="B46" t="s">
        <v>321</v>
      </c>
    </row>
    <row r="47" spans="1:2" ht="61.5" customHeight="1">
      <c r="A47" t="s">
        <v>322</v>
      </c>
      <c r="B47" t="s">
        <v>323</v>
      </c>
    </row>
    <row r="48" spans="1:2" ht="61.5" customHeight="1">
      <c r="A48" t="s">
        <v>324</v>
      </c>
      <c r="B48" t="s">
        <v>325</v>
      </c>
    </row>
    <row r="49" spans="1:2" ht="61.5" customHeight="1">
      <c r="A49" t="s">
        <v>326</v>
      </c>
      <c r="B49" t="s">
        <v>327</v>
      </c>
    </row>
    <row r="50" spans="1:2" ht="61.5" customHeight="1">
      <c r="A50" t="s">
        <v>328</v>
      </c>
      <c r="B50" t="s">
        <v>357</v>
      </c>
    </row>
    <row r="51" spans="1:2" ht="61.5" customHeight="1">
      <c r="A51" t="s">
        <v>329</v>
      </c>
      <c r="B51" t="s">
        <v>330</v>
      </c>
    </row>
    <row r="52" spans="1:2" ht="61.5" customHeight="1">
      <c r="A52" t="s">
        <v>331</v>
      </c>
      <c r="B52" t="s">
        <v>332</v>
      </c>
    </row>
    <row r="53" spans="1:2" ht="61.5" customHeight="1">
      <c r="A53" t="s">
        <v>333</v>
      </c>
    </row>
    <row r="54" spans="1:2" ht="61.5" customHeight="1">
      <c r="A54" t="s">
        <v>334</v>
      </c>
    </row>
    <row r="55" spans="1:2" ht="61.5" customHeight="1">
      <c r="A55" t="s">
        <v>335</v>
      </c>
    </row>
    <row r="56" spans="1:2" ht="61.5" customHeight="1">
      <c r="A56" t="s">
        <v>336</v>
      </c>
      <c r="B56" t="s">
        <v>337</v>
      </c>
    </row>
    <row r="57" spans="1:2" ht="61.5" customHeight="1">
      <c r="A57" t="s">
        <v>338</v>
      </c>
    </row>
    <row r="58" spans="1:2" ht="61.5" customHeight="1">
      <c r="A58" t="s">
        <v>339</v>
      </c>
    </row>
    <row r="59" spans="1:2" ht="61.5" customHeight="1">
      <c r="A59" t="s">
        <v>340</v>
      </c>
    </row>
    <row r="60" spans="1:2" ht="61.5" customHeight="1">
      <c r="A60" t="s">
        <v>341</v>
      </c>
    </row>
    <row r="61" spans="1:2" ht="61.5" customHeight="1">
      <c r="A61" t="s">
        <v>342</v>
      </c>
    </row>
    <row r="62" spans="1:2" ht="61.5" customHeight="1">
      <c r="A62" t="s">
        <v>343</v>
      </c>
    </row>
    <row r="63" spans="1:2" ht="61.5" customHeight="1">
      <c r="A63" t="s">
        <v>344</v>
      </c>
    </row>
    <row r="64" spans="1:2" ht="61.5" customHeight="1">
      <c r="A64" t="s">
        <v>345</v>
      </c>
    </row>
    <row r="65" spans="1:2" ht="61.5" customHeight="1">
      <c r="A65" t="s">
        <v>346</v>
      </c>
    </row>
    <row r="66" spans="1:2" ht="61.5" customHeight="1">
      <c r="A66" t="s">
        <v>347</v>
      </c>
    </row>
    <row r="67" spans="1:2" ht="61.5" customHeight="1">
      <c r="A67" t="s">
        <v>348</v>
      </c>
    </row>
    <row r="68" spans="1:2" ht="61.5" customHeight="1">
      <c r="A68" t="s">
        <v>349</v>
      </c>
    </row>
    <row r="69" spans="1:2" ht="61.5" customHeight="1">
      <c r="A69" t="s">
        <v>350</v>
      </c>
    </row>
    <row r="70" spans="1:2" ht="61.5" customHeight="1">
      <c r="A70" t="s">
        <v>351</v>
      </c>
    </row>
    <row r="71" spans="1:2" ht="61.5" customHeight="1">
      <c r="A71" t="s">
        <v>360</v>
      </c>
      <c r="B71" t="s">
        <v>361</v>
      </c>
    </row>
    <row r="72" spans="1:2" ht="61.5" customHeight="1">
      <c r="A72" t="s">
        <v>362</v>
      </c>
    </row>
    <row r="73" spans="1:2" ht="61.5" customHeight="1">
      <c r="A73" t="s">
        <v>363</v>
      </c>
    </row>
    <row r="74" spans="1:2" ht="61.5" customHeight="1">
      <c r="A74" t="s">
        <v>368</v>
      </c>
    </row>
    <row r="75" spans="1:2" ht="61.5" customHeight="1">
      <c r="A75" t="s">
        <v>369</v>
      </c>
    </row>
    <row r="76" spans="1:2" ht="61.5" customHeight="1">
      <c r="A76" t="s">
        <v>370</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NSbG6XaVTwY0CprD8/ro4//i2tQ07LnBzDtidOMCtJ0=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PnM2EF9PgEFbyk++hXZVO5nw9tV2rvBtuI8fyvHjGXk=</DigestValue>
    </Reference>
  </SignedInfo>
  <SignatureValue>tVInFwyu0USKOR+rVAVzOX7BR1510nO/eqHzYpRnsJHr5LCKk5O/8JnUCiYDUuxTYEQfSPDKR1cZ
Ewp99TvEI4gOmYvhUYOXJ46HL/wN0fKuSTUZau5IS/BJtyCrxdXVcEgPVMiWydkXAJIfZTgn4cTK
jMZ8uGAd00TOn2/CqgqY1sjIghmAuOdF7+r0ZSbDtApibqFYdhV1AOK3yqZAn2N92G74Nfruz/e0
oqbB5ki6FIQP+mFf0k61z8IVQKk2aX4eE5aRI84We0RvU6rdRZxQNWjA/5nmc8q72pMWnnp5rrM1
iPq72EJH9FCZ8fy8VwQN5DzE81Iljp9oS/Nqiw==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VQYzhk96wu1Gma0sfpIv4/iqEm2OhQpfXQ3WF/YXo30=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f12etzLzTYAEk71vWiO4kdiy64voHcvIiRD5XVqN0j8=</DigestValue>
      </Reference>
      <Reference URI="/xl/drawings/drawing2.xml?ContentType=application/vnd.openxmlformats-officedocument.drawing+xml">
        <DigestMethod Algorithm="http://www.w3.org/2001/04/xmlenc#sha256"/>
        <DigestValue>bPT86MTaDwDdXVC/2VUY6fV0fO3O7pQdsmiyDgYSm18=</DigestValue>
      </Reference>
      <Reference URI="/xl/drawings/drawing3.xml?ContentType=application/vnd.openxmlformats-officedocument.drawing+xml">
        <DigestMethod Algorithm="http://www.w3.org/2001/04/xmlenc#sha256"/>
        <DigestValue>me746hkSsLbS13oJVuR36rdPNNNEs60XG1AeybvR7LI=</DigestValue>
      </Reference>
      <Reference URI="/xl/drawings/drawing4.xml?ContentType=application/vnd.openxmlformats-officedocument.drawing+xml">
        <DigestMethod Algorithm="http://www.w3.org/2001/04/xmlenc#sha256"/>
        <DigestValue>XI4JPSUnPrMtSkLXjwlJVSETa+DMb09NDlrIsbgEM50=</DigestValue>
      </Reference>
      <Reference URI="/xl/drawings/drawing5.xml?ContentType=application/vnd.openxmlformats-officedocument.drawing+xml">
        <DigestMethod Algorithm="http://www.w3.org/2001/04/xmlenc#sha256"/>
        <DigestValue>Y/IQODEjrB2XtOacnYk+8wxfX/OjEr67y6DBMxnbPbc=</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+o6VRDuRssrvvLKxtW9dRI/suRTlCD6iZBfaouSuM10=</DigestValue>
      </Reference>
      <Reference URI="/xl/drawings/vmlDrawing2.vml?ContentType=application/vnd.openxmlformats-officedocument.vmlDrawing">
        <DigestMethod Algorithm="http://www.w3.org/2001/04/xmlenc#sha256"/>
        <DigestValue>io1LAukQ1JmRTzIKJ5zc0k9qSZMjvhg2K5ZWMDVlfVY=</DigestValue>
      </Reference>
      <Reference URI="/xl/drawings/vmlDrawing3.vml?ContentType=application/vnd.openxmlformats-officedocument.vmlDrawing">
        <DigestMethod Algorithm="http://www.w3.org/2001/04/xmlenc#sha256"/>
        <DigestValue>dL96CLt+pPTdlhF/Qev+0Nm0IgX42Ipp2T61ABMoJ7k=</DigestValue>
      </Reference>
      <Reference URI="/xl/drawings/vmlDrawing4.vml?ContentType=application/vnd.openxmlformats-officedocument.vmlDrawing">
        <DigestMethod Algorithm="http://www.w3.org/2001/04/xmlenc#sha256"/>
        <DigestValue>Q8xLaqlM2swmyXJm0zQYhLbpOhpV4Hd310K3lESfNnE=</DigestValue>
      </Reference>
      <Reference URI="/xl/drawings/vmlDrawing5.vml?ContentType=application/vnd.openxmlformats-officedocument.vmlDrawing">
        <DigestMethod Algorithm="http://www.w3.org/2001/04/xmlenc#sha256"/>
        <DigestValue>YdS+5k//dC9dzVsgjIeolHr/by/ZCxglv3G2vbqNrgE=</DigestValue>
      </Reference>
      <Reference URI="/xl/media/image1.emf?ContentType=image/x-emf">
        <DigestMethod Algorithm="http://www.w3.org/2001/04/xmlenc#sha256"/>
        <DigestValue>/YlT+dbbTy/RD9D4+5Ov/4etIf5XnoyGO2g1j2u/+qU=</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/YlT+dbbTy/RD9D4+5Ov/4etIf5XnoyGO2g1j2u/+qU=</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dVFifNrZHTmdHzpDWXItWzUtA0LfpyKgBKr32UVgWR4=</DigestValue>
      </Reference>
      <Reference URI="/xl/sharedStrings.xml?ContentType=application/vnd.openxmlformats-officedocument.spreadsheetml.sharedStrings+xml">
        <DigestMethod Algorithm="http://www.w3.org/2001/04/xmlenc#sha256"/>
        <DigestValue>55FmJJbmbtAVYknw9Kn8PrSf8lzuxungiDhFBvIUUhs=</DigestValue>
      </Reference>
      <Reference URI="/xl/styles.xml?ContentType=application/vnd.openxmlformats-officedocument.spreadsheetml.styles+xml">
        <DigestMethod Algorithm="http://www.w3.org/2001/04/xmlenc#sha256"/>
        <DigestValue>+i2SLIFht2NLVz0J7baehjIaKiLAdeIlkO9FE88Qq/I=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F3boXwWu2zDZi3OZ2T/0a9kwbaZyWyDNn+QKk/ggSU0=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qDjSfi/82stthlLC1crKHonU8yaS5SIE5H8SFV/eKCI=</DigestValue>
      </Reference>
      <Reference URI="/xl/worksheets/sheet2.xml?ContentType=application/vnd.openxmlformats-officedocument.spreadsheetml.worksheet+xml">
        <DigestMethod Algorithm="http://www.w3.org/2001/04/xmlenc#sha256"/>
        <DigestValue>7dSrboxdwuBmSWpg/bsAl/BgKDNO5JFpHZ5eZ6AWnc0=</DigestValue>
      </Reference>
      <Reference URI="/xl/worksheets/sheet3.xml?ContentType=application/vnd.openxmlformats-officedocument.spreadsheetml.worksheet+xml">
        <DigestMethod Algorithm="http://www.w3.org/2001/04/xmlenc#sha256"/>
        <DigestValue>K8YCqrDWa5FhjybU1ZLKxq8bzpYXbLjLsMIZED5RFC4=</DigestValue>
      </Reference>
      <Reference URI="/xl/worksheets/sheet4.xml?ContentType=application/vnd.openxmlformats-officedocument.spreadsheetml.worksheet+xml">
        <DigestMethod Algorithm="http://www.w3.org/2001/04/xmlenc#sha256"/>
        <DigestValue>knfkCtuP8xfyxP1FgTVmuF11tAcmRgIyPrjmH7qoF3g=</DigestValue>
      </Reference>
      <Reference URI="/xl/worksheets/sheet5.xml?ContentType=application/vnd.openxmlformats-officedocument.spreadsheetml.worksheet+xml">
        <DigestMethod Algorithm="http://www.w3.org/2001/04/xmlenc#sha256"/>
        <DigestValue>D7qhJrHSoGbiw60Tk94UY+Iiu8cAM2szB9APG3UJn4U=</DigestValue>
      </Reference>
      <Reference URI="/xl/worksheets/sheet6.xml?ContentType=application/vnd.openxmlformats-officedocument.spreadsheetml.worksheet+xml">
        <DigestMethod Algorithm="http://www.w3.org/2001/04/xmlenc#sha256"/>
        <DigestValue>wIYV2YVcc2YxRBGr2IfeMIv4EVXqOI1vLId0aPN940w=</DigestValue>
      </Reference>
      <Reference URI="/xl/worksheets/sheet7.xml?ContentType=application/vnd.openxmlformats-officedocument.spreadsheetml.worksheet+xml">
        <DigestMethod Algorithm="http://www.w3.org/2001/04/xmlenc#sha256"/>
        <DigestValue>23evh4NMNtt6CoVnSRL1/INMwfom1BZ1f/zjXxg3WDE=</DigestValue>
      </Reference>
    </Manifest>
    <SignatureProperties>
      <SignatureProperty Id="idSignatureTime" Target="#idPackageSignature">
        <mdssi:SignatureTime xmlns:mdssi="http://schemas.openxmlformats.org/package/2006/digital-signature">
          <mdssi:Format>YYYY-MM-DDThh:mm:ssTZD</mdssi:Format>
          <mdssi:Value>2025-01-07T04:13:33Z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2025-01-07T04:13:33Z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TONGQUAN</vt:lpstr>
      <vt:lpstr>BCTaiSan_06027</vt:lpstr>
      <vt:lpstr>BCKetQuaHoatDong_06028</vt:lpstr>
      <vt:lpstr>BCDanhMucDauTu_06029</vt:lpstr>
      <vt:lpstr>BCHoatDongVay_06026</vt:lpstr>
      <vt:lpstr>Khac_06030</vt:lpstr>
      <vt:lpstr>LogoFMS</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2025-01-05T15:00:08Z</cp:lastPrinted>
  <dcterms:created xsi:type="dcterms:W3CDTF">2019-03-13T13:30:00Z</dcterms:created>
  <dcterms:modified xsi:type="dcterms:W3CDTF">2025-01-07T04:13:31Z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