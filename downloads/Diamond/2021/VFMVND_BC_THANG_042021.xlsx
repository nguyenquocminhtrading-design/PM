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8.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heme/theme1.xml" ContentType="application/vnd.openxmlformats-officedocument.theme+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codeName="ThisWorkbook" defaultThemeVersion="124226"/>
  <bookViews>
    <workbookView xWindow="240" yWindow="225" windowWidth="14805" windowHeight="7890"/>
  </bookViews>
  <sheets>
    <sheet name="TONGQUAN" sheetId="8" r:id="rId1"/>
    <sheet name="BCTaiSan_06134" sheetId="13" r:id="rId2"/>
    <sheet name="BCKetQuaHoatDong_06135" sheetId="11" r:id="rId3"/>
    <sheet name="BCDanhMucDauTu_06136" sheetId="10" r:id="rId4"/>
    <sheet name="BCGiaodichTaiSan_06141" sheetId="9" r:id="rId5"/>
    <sheet name="Khac_06137" sheetId="12" r:id="rId6"/>
    <sheet name="BCThuNhap_06203" sheetId="15" r:id="rId7"/>
    <sheet name="BCTinhHinhTaiChinh_06105" sheetId="16" r:id="rId8"/>
    <sheet name="GTTSRong_06107" sheetId="14" r:id="rId9"/>
  </sheets>
  <definedNames>
    <definedName name="_xlnm.Print_Area" localSheetId="4">BCGiaodichTaiSan_06141!$A$1:$K$36</definedName>
    <definedName name="_xlnm.Print_Area" localSheetId="0">TONGQUAN!$A$1:$I$47</definedName>
  </definedNames>
  <calcPr calcId="145621"/>
</workbook>
</file>

<file path=xl/calcChain.xml><?xml version="1.0" encoding="utf-8"?>
<calcChain xmlns="http://schemas.openxmlformats.org/spreadsheetml/2006/main">
  <c r="C12" i="9" l="1"/>
  <c r="C13" i="9" s="1"/>
  <c r="A4" i="9"/>
  <c r="F118" i="16"/>
  <c r="E118" i="16"/>
  <c r="F114" i="16"/>
  <c r="E114" i="16"/>
  <c r="F110" i="16"/>
  <c r="E110" i="16"/>
  <c r="F102" i="16"/>
  <c r="F99" i="16" s="1"/>
  <c r="E102" i="16"/>
  <c r="E99" i="16"/>
  <c r="F88" i="16"/>
  <c r="F86" i="16" s="1"/>
  <c r="E88" i="16"/>
  <c r="E86" i="16"/>
  <c r="F76" i="16"/>
  <c r="E76" i="16"/>
  <c r="F71" i="16"/>
  <c r="F108" i="16" s="1"/>
  <c r="E71" i="16"/>
  <c r="E108" i="16" s="1"/>
  <c r="F58" i="16"/>
  <c r="E58" i="16"/>
  <c r="E56" i="16" s="1"/>
  <c r="F56" i="16"/>
  <c r="F50" i="16"/>
  <c r="E50" i="16"/>
  <c r="F43" i="16"/>
  <c r="F42" i="16" s="1"/>
  <c r="F39" i="16" s="1"/>
  <c r="E43" i="16"/>
  <c r="E42" i="16"/>
  <c r="F28" i="16"/>
  <c r="E28" i="16"/>
  <c r="E27" i="16" s="1"/>
  <c r="F27" i="16"/>
  <c r="F20" i="16"/>
  <c r="E20" i="16"/>
  <c r="E19" i="16" s="1"/>
  <c r="F19" i="16"/>
  <c r="F65" i="16" s="1"/>
  <c r="G76" i="15"/>
  <c r="F76" i="15"/>
  <c r="E76" i="15"/>
  <c r="D76" i="15"/>
  <c r="G60" i="15"/>
  <c r="F60" i="15"/>
  <c r="E60" i="15"/>
  <c r="D60" i="15"/>
  <c r="G53" i="15"/>
  <c r="F53" i="15"/>
  <c r="E53" i="15"/>
  <c r="D53" i="15"/>
  <c r="G45" i="15"/>
  <c r="G43" i="15" s="1"/>
  <c r="F45" i="15"/>
  <c r="E45" i="15"/>
  <c r="E43" i="15" s="1"/>
  <c r="D45" i="15"/>
  <c r="F43" i="15"/>
  <c r="D43" i="15"/>
  <c r="G36" i="15"/>
  <c r="G35" i="15" s="1"/>
  <c r="F36" i="15"/>
  <c r="E36" i="15"/>
  <c r="E35" i="15" s="1"/>
  <c r="D36" i="15"/>
  <c r="F35" i="15"/>
  <c r="D35" i="15"/>
  <c r="G26" i="15"/>
  <c r="F26" i="15"/>
  <c r="E26" i="15"/>
  <c r="D26" i="15"/>
  <c r="G23" i="15"/>
  <c r="F23" i="15"/>
  <c r="E23" i="15"/>
  <c r="D23" i="15"/>
  <c r="G20" i="15"/>
  <c r="G19" i="15" s="1"/>
  <c r="G75" i="15" s="1"/>
  <c r="G79" i="15" s="1"/>
  <c r="G83" i="15" s="1"/>
  <c r="F20" i="15"/>
  <c r="E20" i="15"/>
  <c r="E19" i="15" s="1"/>
  <c r="D20" i="15"/>
  <c r="F19" i="15"/>
  <c r="F75" i="15" s="1"/>
  <c r="F79" i="15" s="1"/>
  <c r="F83" i="15" s="1"/>
  <c r="D19" i="15"/>
  <c r="D75" i="15" s="1"/>
  <c r="D79" i="15" s="1"/>
  <c r="D83" i="15" s="1"/>
  <c r="F109" i="16" l="1"/>
  <c r="E75" i="15"/>
  <c r="E79" i="15" s="1"/>
  <c r="E83" i="15" s="1"/>
  <c r="E39" i="16"/>
  <c r="E65" i="16" s="1"/>
  <c r="E109" i="16" s="1"/>
  <c r="E13" i="8"/>
</calcChain>
</file>

<file path=xl/sharedStrings.xml><?xml version="1.0" encoding="utf-8"?>
<sst xmlns="http://schemas.openxmlformats.org/spreadsheetml/2006/main" count="1429" uniqueCount="1065">
  <si>
    <t>Kỳ báo cáo:</t>
  </si>
  <si>
    <t>Tháng 04 năm 2021/ Apr 2021</t>
  </si>
  <si>
    <t>Thông tin chung:</t>
  </si>
  <si>
    <t>Tên Công ty quản lý quỹ:</t>
  </si>
  <si>
    <t>CTCP Quản Lý Quỹ Đầu Tư Dragon Capital Việt Nam</t>
  </si>
  <si>
    <t>Fund Management Company:</t>
  </si>
  <si>
    <t>Dragon Capital Vietfund Management Joint Stock Company</t>
  </si>
  <si>
    <t>Tên ngân hàng giám sát:</t>
  </si>
  <si>
    <t>Ngân hàng TMCP Ngoại thương Việt Nam - CN TP.HCM</t>
  </si>
  <si>
    <t xml:space="preserve">Supervising bank: </t>
  </si>
  <si>
    <t>Joint Stock Commercial Bank for Foreign Trade of Vietnam - HCMC Branch</t>
  </si>
  <si>
    <t>Tên Quỹ:</t>
  </si>
  <si>
    <t>Quỹ ETF VFMVN Diamond (FUEVFVND)</t>
  </si>
  <si>
    <t xml:space="preserve">Fund name: </t>
  </si>
  <si>
    <t>VFMVN Diamond ETF (FUEVFVND)</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</si>
  <si>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</si>
  <si>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</si>
  <si>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</si>
  <si>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</si>
  <si>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</si>
  <si>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</si>
  <si>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</si>
  <si>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Trưởng Phòng DVKHTC2</t>
  </si>
  <si>
    <t>NGÔ THÙY DƯƠNG</t>
  </si>
  <si>
    <t>NGUYỄN MINH ĐĂNG KHÁNH</t>
  </si>
  <si>
    <t>STT</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</si>
  <si>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</si>
  <si>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</si>
  <si>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</si>
  <si>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</si>
  <si>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</si>
  <si>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</si>
  <si>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</si>
  <si>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</si>
  <si>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</si>
  <si>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</si>
  <si>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</si>
  <si>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</si>
  <si>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</si>
  <si>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</si>
  <si>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</si>
  <si>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</si>
  <si>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</si>
  <si>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</si>
  <si>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</si>
  <si>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</si>
  <si>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</si>
  <si>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</si>
  <si>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</si>
  <si>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</si>
  <si>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</si>
  <si>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</si>
  <si>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</si>
  <si>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</si>
  <si>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</si>
  <si>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</si>
  <si>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</si>
  <si>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</si>
  <si>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</si>
  <si>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</si>
  <si>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</si>
  <si>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</si>
  <si>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</si>
  <si>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</si>
  <si>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</si>
  <si>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</si>
  <si>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IV</t>
  </si>
  <si>
    <t>BÁO CÁO VỀ GIAO DỊCH TÀI SẢN / REPORT OF ASSET TRANSACTIONS</t>
  </si>
  <si>
    <t>STT
No.</t>
  </si>
  <si>
    <t>Nội dung hoạt động 
(nêu chi tiết theo mục tiêu và đối tác)
Description</t>
  </si>
  <si>
    <t>Mã chỉ tiêu
Code</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</si>
  <si>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</si>
  <si>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</si>
  <si>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</si>
  <si>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</si>
  <si>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</si>
  <si>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</si>
  <si>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</si>
  <si>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</si>
  <si>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</si>
  <si>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</si>
  <si>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</si>
  <si>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2287</t>
  </si>
  <si>
    <t>I</t>
  </si>
  <si>
    <t>Tổng giá trị các khoản vay tiền/giá trị tài sản ròng
Borrowings/NAV</t>
  </si>
  <si>
    <t>2288</t>
  </si>
  <si>
    <t>Hợp đồng Repo (nêu chi tiết từng hợp đồng)
Repo contract (detail by each contract)</t>
  </si>
  <si>
    <t>2289</t>
  </si>
  <si>
    <t>II</t>
  </si>
  <si>
    <t>Tổng giá trị các hợp đồng Repo/giá trị tài sản ròng
Total value of Repo contracts/NAV</t>
  </si>
  <si>
    <t>2290</t>
  </si>
  <si>
    <t>Tổng giá trị các khoản vay/giá trị tài sản ròng (=I+II)
Total Borrowings, Repo/NAV (=I+II)</t>
  </si>
  <si>
    <t>2291</t>
  </si>
  <si>
    <t>3</t>
  </si>
  <si>
    <t>Cho vay chứng khoán (nêu chi tiết từng hợp đồng)
Securities lending (detail by each contract)</t>
  </si>
  <si>
    <t>2292</t>
  </si>
  <si>
    <t>III</t>
  </si>
  <si>
    <t>Tổng giá trị các hợp đồng/giá trị tài sản ròng
Total contract value/NAV</t>
  </si>
  <si>
    <t>2294</t>
  </si>
  <si>
    <t>4</t>
  </si>
  <si>
    <t>Hợp đồng Reverse Repo (nêu chi tiết từng hợp đồng)
Reverse Repo contract (Detail by each contract)</t>
  </si>
  <si>
    <t>2295</t>
  </si>
  <si>
    <t>2296</t>
  </si>
  <si>
    <t>Tổng giá trị các khoản cho vay/giá trị tài sản ròng  (=III + IV)
Total Loans/NAV (=III+IV)</t>
  </si>
  <si>
    <t>2297</t>
  </si>
  <si>
    <t>Đại diện có thẩm quyền của Công ty quản lý quỹ</t>
  </si>
  <si>
    <t>NGÂN HÀNG TMCP NGOẠI THƯƠNG VIỆT NAM - CN TP.HCM</t>
  </si>
  <si>
    <t>Nguyễn Minh Đăng Khánh</t>
  </si>
  <si>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</si>
  <si>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</si>
  <si>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</si>
  <si>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Tại ngày 30 tháng 04 năm 2021 / As at 30 Apr 2021</t>
  </si>
  <si>
    <t>1</t>
  </si>
  <si>
    <t>Tên quỹ:</t>
  </si>
  <si>
    <t>QUỸ ETF VFMVN DIAMOND</t>
  </si>
  <si>
    <t>Fund name:</t>
  </si>
  <si>
    <t>VFMVN DIAMOND ETF</t>
  </si>
  <si>
    <t>2</t>
  </si>
  <si>
    <t>CTCP Quản lý Quỹ Đầu Tư Dragon Capital Việt Nam</t>
  </si>
  <si>
    <t>Ngân hàng TMCP Ngoại Thương Việt Nam-CN TP.HCM</t>
  </si>
  <si>
    <t>Supervising bank:</t>
  </si>
  <si>
    <t>Joint Stock Commercial Bank for Foreign Trade of Vietnam-HCMC Branch</t>
  </si>
  <si>
    <t>04/05/2021</t>
  </si>
  <si>
    <t>04 May 2021</t>
  </si>
  <si>
    <t>A. BÁO CÁO CHUNG VỀ HOẠT ĐỘNG ĐẦU TƯ CỦA QUỸ/ GENERAL INFOMATION ON FUND'S INVESTMENT ACTIVITIES</t>
  </si>
  <si>
    <t>III. BÁO CÁO DANH MỤC ĐẦU TƯ/ INVESTMENT PORFOLIO REPORT</t>
  </si>
  <si>
    <t>Đơn vị tính/Currency: VND</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</si>
  <si>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</si>
  <si>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</si>
  <si>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</si>
  <si>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</si>
  <si>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</si>
  <si>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</si>
  <si>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</si>
  <si>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</si>
  <si>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ACB</t>
  </si>
  <si>
    <t>2246.1</t>
  </si>
  <si>
    <t>CTD</t>
  </si>
  <si>
    <t>2246.2</t>
  </si>
  <si>
    <t>CTG</t>
  </si>
  <si>
    <t>2246.3</t>
  </si>
  <si>
    <t>EIB</t>
  </si>
  <si>
    <t>2246.4</t>
  </si>
  <si>
    <t>5</t>
  </si>
  <si>
    <t>FPT</t>
  </si>
  <si>
    <t>2246.5</t>
  </si>
  <si>
    <t>6</t>
  </si>
  <si>
    <t>GMD</t>
  </si>
  <si>
    <t>2246.6</t>
  </si>
  <si>
    <t>7</t>
  </si>
  <si>
    <t>KDH</t>
  </si>
  <si>
    <t>2246.7</t>
  </si>
  <si>
    <t>8</t>
  </si>
  <si>
    <t>LPB</t>
  </si>
  <si>
    <t>2246.8</t>
  </si>
  <si>
    <t>9</t>
  </si>
  <si>
    <t>MBB</t>
  </si>
  <si>
    <t>2246.9</t>
  </si>
  <si>
    <t>10</t>
  </si>
  <si>
    <t>MSB</t>
  </si>
  <si>
    <t>2246.10</t>
  </si>
  <si>
    <t>11</t>
  </si>
  <si>
    <t>MWG</t>
  </si>
  <si>
    <t>2246.11</t>
  </si>
  <si>
    <t>12</t>
  </si>
  <si>
    <t>NLG</t>
  </si>
  <si>
    <t>2246.12</t>
  </si>
  <si>
    <t>13</t>
  </si>
  <si>
    <t>PNJ</t>
  </si>
  <si>
    <t>2246.13</t>
  </si>
  <si>
    <t>14</t>
  </si>
  <si>
    <t>REE</t>
  </si>
  <si>
    <t>2246.14</t>
  </si>
  <si>
    <t>15</t>
  </si>
  <si>
    <t>TCB</t>
  </si>
  <si>
    <t>2246.15</t>
  </si>
  <si>
    <t>16</t>
  </si>
  <si>
    <t>TCM</t>
  </si>
  <si>
    <t>2246.16</t>
  </si>
  <si>
    <t>17</t>
  </si>
  <si>
    <t>TPB</t>
  </si>
  <si>
    <t>2246.17</t>
  </si>
  <si>
    <t>18</t>
  </si>
  <si>
    <t>VIB</t>
  </si>
  <si>
    <t>2246.18</t>
  </si>
  <si>
    <t>19</t>
  </si>
  <si>
    <t>VPB</t>
  </si>
  <si>
    <t>2246.19</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</si>
  <si>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</si>
  <si>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</si>
  <si>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</si>
  <si>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</si>
  <si>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</si>
  <si>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</si>
  <si>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</si>
  <si>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</si>
  <si>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</si>
  <si>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</si>
  <si>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V</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</si>
  <si>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</si>
  <si>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</si>
  <si>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</si>
  <si>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</si>
  <si>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</si>
  <si>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</si>
  <si>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</si>
  <si>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</si>
  <si>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</si>
  <si>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VI</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</si>
  <si>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</si>
  <si>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</si>
  <si>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</si>
  <si>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</si>
  <si>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</si>
  <si>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</si>
  <si>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</si>
  <si>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</si>
  <si>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</si>
  <si>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</si>
  <si>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cho khoản cổ phiếu hạn chế chờ mua
Receivable from AP/Investors on bought investments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</si>
  <si>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</si>
  <si>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</si>
  <si>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</si>
  <si>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</si>
  <si>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</si>
  <si>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</si>
  <si>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</si>
  <si>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</si>
  <si>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</si>
  <si>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</si>
  <si>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</si>
  <si>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</si>
  <si>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VII</t>
  </si>
  <si>
    <t>Tiền
Cash</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</si>
  <si>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</si>
  <si>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</si>
  <si>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</si>
  <si>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</si>
  <si>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</si>
  <si>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</si>
  <si>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</si>
  <si>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</si>
  <si>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</si>
  <si>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</si>
  <si>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</si>
  <si>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</si>
  <si>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</si>
  <si>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</si>
  <si>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</si>
  <si>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</si>
  <si>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VIII</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</si>
  <si>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</si>
  <si>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</si>
  <si>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</si>
  <si>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</si>
  <si>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Mã</t>
  </si>
  <si>
    <t>Số lượng</t>
  </si>
  <si>
    <t>Giá trị thị trường/ 1 hợp đồng (100,000 VND)</t>
  </si>
  <si>
    <t>Tổng giá trị thị trường</t>
  </si>
  <si>
    <t>Tổng giá trị cam kết</t>
  </si>
  <si>
    <t>Chênh lệch giữa giá trị cam kết và giá trị thị trường</t>
  </si>
  <si>
    <t>NGÂN HÀNG TMCP NGOẠI THƯƠNG VIỆT NAM-CN TP.HCM</t>
  </si>
  <si>
    <t>CTCP QUẢN LÝ QUỸ ĐẦU TƯ DRAGON CAPITAL VIỆT NAM</t>
  </si>
  <si>
    <t>Phó Trưởng phòng DVKHTC2</t>
  </si>
  <si>
    <t>Ngô Thùy Dương</t>
  </si>
  <si>
    <t>Tháng 04 năm 2021 / Apr 2021</t>
  </si>
  <si>
    <t>Ngân hàng giám sát:</t>
  </si>
  <si>
    <t>A. BÁO CÁO CHUNG VỀ HOẠT ĐỘNG ĐẦU TƯ CỦA QUỸ/GENERAL INFOMATION ON FUND'S INVESTMENT ACTIVITIES</t>
  </si>
  <si>
    <t>II. BÁO CÁO KẾT QUẢ HOẠT ĐỘNG / PROFIT AND LOSS REPORT</t>
  </si>
  <si>
    <t>STT
No</t>
  </si>
  <si>
    <t>Chỉ tiêu
Indicators</t>
  </si>
  <si>
    <t>Tháng 04 năm 2021
Apr 2021</t>
  </si>
  <si>
    <t>Tháng 03 năm 2021
Mar 2021</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</si>
  <si>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</si>
  <si>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</si>
  <si>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</si>
  <si>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</si>
  <si>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</si>
  <si>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</si>
  <si>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</si>
  <si>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</si>
  <si>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</si>
  <si>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</si>
  <si>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</si>
  <si>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</si>
  <si>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</si>
  <si>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</si>
  <si>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</si>
  <si>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</si>
  <si>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</si>
  <si>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</si>
  <si>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</si>
  <si>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</si>
  <si>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</si>
  <si>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</si>
  <si>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</si>
  <si>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</si>
  <si>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</si>
  <si>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</si>
  <si>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</si>
  <si>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</si>
  <si>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</si>
  <si>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</si>
  <si>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</si>
  <si>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</si>
  <si>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</si>
  <si>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</si>
  <si>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Phí dịch vụ lưu ký - phí VSD  
Custodian service -  VSD fee</t>
  </si>
  <si>
    <t>2226.3</t>
  </si>
  <si>
    <t>Phí giám sát 
Supervisory fee</t>
  </si>
  <si>
    <t>2226.4</t>
  </si>
  <si>
    <t>Phí dịch vụ lưu ký - phí VSD về quản lý vị thế và tài sản ký quỹ cho các hợp đồng phái sinh  
Custodian service -  VSD fee for position and margin management of index future contracts</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</si>
  <si>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</si>
  <si>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</si>
  <si>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</si>
  <si>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</si>
  <si>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</si>
  <si>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</si>
  <si>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</si>
  <si>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</si>
  <si>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</si>
  <si>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</si>
  <si>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</si>
  <si>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2227.5</t>
  </si>
  <si>
    <t>Chi phí dịch vụ quản lý bất động sản (không áp dụng)
Real Estate Management Service fee (not applicable)</t>
  </si>
  <si>
    <t>Chi phí dịch vụ định giá bất động sản (không áp dụng)
Real estate valuation service fees (not applicable)</t>
  </si>
  <si>
    <t>Chi phí kiểm toán trả cho tổ chức kiểm toán 
Audit fee</t>
  </si>
  <si>
    <t>2228</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</si>
  <si>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</si>
  <si>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</si>
  <si>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</si>
  <si>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</si>
  <si>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</si>
  <si>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</si>
  <si>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</si>
  <si>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</si>
  <si>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</si>
  <si>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</si>
  <si>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</si>
  <si>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</si>
  <si>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</si>
  <si>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</si>
  <si>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</si>
  <si>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</si>
  <si>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</si>
  <si>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</si>
  <si>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</si>
  <si>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</si>
  <si>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</si>
  <si>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</si>
  <si>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</si>
  <si>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</si>
  <si>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</si>
  <si>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</si>
  <si>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</si>
  <si>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</si>
  <si>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</si>
  <si>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</si>
  <si>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</si>
  <si>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</si>
  <si>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</si>
  <si>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</si>
  <si>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</si>
  <si>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</si>
  <si>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</si>
  <si>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</si>
  <si>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</si>
  <si>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</si>
  <si>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</si>
  <si>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</si>
  <si>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</si>
  <si>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</si>
  <si>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Thu nhập ròng từ hoạt động đầu tư ( = I - II) 
Net Income from Investment Activities ( = I - II)</t>
  </si>
  <si>
    <t>2233</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</si>
  <si>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</si>
  <si>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</si>
  <si>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</si>
  <si>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</si>
  <si>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</si>
  <si>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</si>
  <si>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</si>
  <si>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</si>
  <si>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</si>
  <si>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</si>
  <si>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</si>
  <si>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</si>
  <si>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Thay đổi của giá trị tài sản ròng của Quỹ do các hoạt động đầu tư trong kỳ (III + IV) 
Change of Net Asset Value of the Fund due to investment activities during the period ( = III + IV)</t>
  </si>
  <si>
    <t>2237</t>
  </si>
  <si>
    <t>Giá trị tài sản ròng đầu kỳ 
Net Asset Value at the beginning of period</t>
  </si>
  <si>
    <t>2238</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</si>
  <si>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</si>
  <si>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</si>
  <si>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</si>
  <si>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</si>
  <si>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</si>
  <si>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</si>
  <si>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</si>
  <si>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</si>
  <si>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</si>
  <si>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</si>
  <si>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</si>
  <si>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</si>
  <si>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</si>
  <si>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</si>
  <si>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</si>
  <si>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</si>
  <si>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</si>
  <si>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</si>
  <si>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</si>
  <si>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</si>
  <si>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Phó Trưởng Phòng DVKHTC2</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</si>
  <si>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</si>
  <si>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</si>
  <si>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</si>
  <si>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</si>
  <si>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</si>
  <si>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</si>
  <si>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</si>
  <si>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</si>
  <si>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</si>
  <si>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</si>
  <si>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</si>
  <si>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</si>
  <si>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</si>
  <si>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</si>
  <si>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</si>
  <si>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</si>
  <si>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</si>
  <si>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</si>
  <si>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</si>
  <si>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</si>
  <si>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</si>
  <si>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</si>
  <si>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</si>
  <si>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</si>
  <si>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</si>
  <si>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</si>
  <si>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</si>
  <si>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</si>
  <si>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</si>
  <si>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</si>
  <si>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</si>
  <si>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</si>
  <si>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</si>
  <si>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</si>
  <si>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</si>
  <si>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</si>
  <si>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</si>
  <si>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</si>
  <si>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</si>
  <si>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</si>
  <si>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</si>
  <si>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</si>
  <si>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</si>
  <si>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</si>
  <si>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</si>
  <si>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</si>
  <si>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</si>
  <si>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</si>
  <si>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</si>
  <si>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</si>
  <si>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</si>
  <si>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</si>
  <si>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</si>
  <si>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</si>
  <si>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</si>
  <si>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</si>
  <si>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</si>
  <si>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</si>
  <si>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</si>
  <si>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</si>
  <si>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Ghi chú / Notes: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</si>
  <si>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</si>
  <si>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</si>
  <si>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Đại diện có thẩm quyền của ngân hàng giám sát</t>
  </si>
  <si>
    <t>BÁO CÁO HOẠT ĐỘNG ĐẦU TƯ
REPORT ON INVESTMENT ACTIVITIES</t>
  </si>
  <si>
    <t>I. BÁO CÁO VỀ TÀI SẢN CỦA QUỸ/ ASSET REPORT</t>
  </si>
  <si>
    <t>Tại ngày 30 tháng 04  năm2021 
As at 30 Apr 2021</t>
  </si>
  <si>
    <t>Tại ngày 31 tháng 03  năm 2021 
As at 31 Mar 2021</t>
  </si>
  <si>
    <t>Tài sản  
Assets</t>
  </si>
  <si>
    <t>2200</t>
  </si>
  <si>
    <t>I.1</t>
  </si>
  <si>
    <t>Tiền và các khoản tương đương tiền  
Cash and cash equivalents</t>
  </si>
  <si>
    <t>2201</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</si>
  <si>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</si>
  <si>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</si>
  <si>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</si>
  <si>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</si>
  <si>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</si>
  <si>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</si>
  <si>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</si>
  <si>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</si>
  <si>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</si>
  <si>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</si>
  <si>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</si>
  <si>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</si>
  <si>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</si>
  <si>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Tương đương tiền
Cash equivalents</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</si>
  <si>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</si>
  <si>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</si>
  <si>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</si>
  <si>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</si>
  <si>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</si>
  <si>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</si>
  <si>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</si>
  <si>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</si>
  <si>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</si>
  <si>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</si>
  <si>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</si>
  <si>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</si>
  <si>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</si>
  <si>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</si>
  <si>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</si>
  <si>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</si>
  <si>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</si>
  <si>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</si>
  <si>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</si>
  <si>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</si>
  <si>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</si>
  <si>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</si>
  <si>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</si>
  <si>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</si>
  <si>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</si>
  <si>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</si>
  <si>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</si>
  <si>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</si>
  <si>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</si>
  <si>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</si>
  <si>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</si>
  <si>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</si>
  <si>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</si>
  <si>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</si>
  <si>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</si>
  <si>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</si>
  <si>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</si>
  <si>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</si>
  <si>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</si>
  <si>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</si>
  <si>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</si>
  <si>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</si>
  <si>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</si>
  <si>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</si>
  <si>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</si>
  <si>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</si>
  <si>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</si>
  <si>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</si>
  <si>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</si>
  <si>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</si>
  <si>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</si>
  <si>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</si>
  <si>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</si>
  <si>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</si>
  <si>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</si>
  <si>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</si>
  <si>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</si>
  <si>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</si>
  <si>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</si>
  <si>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</si>
  <si>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</si>
  <si>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</si>
  <si>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</si>
  <si>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</si>
  <si>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</si>
  <si>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</si>
  <si>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</si>
  <si>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</si>
  <si>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</si>
  <si>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</si>
  <si>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</si>
  <si>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</si>
  <si>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</si>
  <si>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</si>
  <si>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</si>
  <si>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</si>
  <si>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</si>
  <si>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</si>
  <si>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</si>
  <si>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</si>
  <si>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</si>
  <si>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</si>
  <si>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</si>
  <si>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</si>
  <si>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</si>
  <si>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</si>
  <si>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</si>
  <si>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</si>
  <si>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</si>
  <si>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</si>
  <si>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</si>
  <si>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</si>
  <si>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</si>
  <si>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</si>
  <si>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</si>
  <si>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</si>
  <si>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</si>
  <si>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</si>
  <si>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</si>
  <si>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</si>
  <si>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</si>
  <si>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</si>
  <si>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</si>
  <si>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</si>
  <si>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</si>
  <si>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</si>
  <si>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</si>
  <si>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</si>
  <si>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</si>
  <si>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Custion services</t>
  </si>
  <si>
    <t>2215.10</t>
  </si>
  <si>
    <t>Phí dịch vụ lưu ký - bảo quản tài sản  
Custodian service - Safe Custody Fee</t>
  </si>
  <si>
    <t>2215.10.1</t>
  </si>
  <si>
    <t>Phí dịch vụ lưu ký - giao dịch chứng khoán  
Custodian service - Transaction fee</t>
  </si>
  <si>
    <t>2215.10.2</t>
  </si>
  <si>
    <t>2215.10.3</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</si>
  <si>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</si>
  <si>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</si>
  <si>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</si>
  <si>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</si>
  <si>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</si>
  <si>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</si>
  <si>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</si>
  <si>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</si>
  <si>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</si>
  <si>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</si>
  <si>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</si>
  <si>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</si>
  <si>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</si>
  <si>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2215.19</t>
  </si>
  <si>
    <t>Phải trả khác  
Other payable</t>
  </si>
  <si>
    <t>Phải trả phí báo giá  
Price feed fee payable</t>
  </si>
  <si>
    <t>2215.17.1</t>
  </si>
  <si>
    <t>Trích trước phí công tác, họp của Ban đại diện  
Accrued expenses for Fund's Board of Representatives travelling, meeting</t>
  </si>
  <si>
    <t>2215.17.2</t>
  </si>
  <si>
    <t>Trích trước phí quản lý thường niên trả UBCKNN  
Accrued expenses for annual fee pay to SSC</t>
  </si>
  <si>
    <t>2215.17.3</t>
  </si>
  <si>
    <t>Trích trước phí đăng ký chứng khoán tại VSD  
Accrued expense for security registration at VSD</t>
  </si>
  <si>
    <t>2215.17.4</t>
  </si>
  <si>
    <t>Lệ phí cấp giấy chứng nhận hoạt động quỹ ETF trả UBCKNN  
Register fee for ETF operation payable to SSC</t>
  </si>
  <si>
    <t>2215.17.5</t>
  </si>
  <si>
    <t>Phí dịch vụ đăng ký chứng khoán trả VSD  
Security register fee payable to VSD</t>
  </si>
  <si>
    <t>2215.17.6</t>
  </si>
  <si>
    <t>Phải trả, phải nộp khác  
Other payables</t>
  </si>
  <si>
    <t>2215.17.7</t>
  </si>
  <si>
    <t>Chi phí phải trả khác của công ty QLQ  
Other expenses</t>
  </si>
  <si>
    <t>2215.17.8</t>
  </si>
  <si>
    <t>Vay ngắn hạn   
Short-term loans</t>
  </si>
  <si>
    <t>Gốc khoản vay ngắn hạn   
Short-term loans Principal</t>
  </si>
  <si>
    <t>2215.18.1</t>
  </si>
  <si>
    <t>Trich trước lãi vay ngắn hạn  
Accrued Interest Expense</t>
  </si>
  <si>
    <t>2215.18.2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</si>
  <si>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</si>
  <si>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</si>
  <si>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</si>
  <si>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</si>
  <si>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</si>
  <si>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</si>
  <si>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</si>
  <si>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</si>
  <si>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</si>
  <si>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Mẫu số B03 - ETF: Mẫu báo cáo thay đổi giá trị tài sản ròng, giao dịch chứng chỉ quỹ
Template B03 - ETF: Report on change of Net Asset Value, trading of Fund Certificate</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</si>
  <si>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</si>
  <si>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THAY ĐỔI GIÁ TRỊ TÀI SẢN RÒNG, GIAO DỊCH CHỨNG CHỈ QŨY
REPORT ON CHANGE OF NET ASSET VALUE, TRADING OF FUND CERTIFICATE</t>
  </si>
  <si>
    <t>Công ty quản lý quỹ:</t>
  </si>
  <si>
    <t>Supervising Bank</t>
  </si>
  <si>
    <t>Kỳ báo cáo:</t>
  </si>
  <si>
    <t>Reporting date:</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</si>
  <si>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</si>
  <si>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</si>
  <si>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</si>
  <si>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</si>
  <si>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</si>
  <si>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</si>
  <si>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Trong đó:</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</si>
  <si>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</si>
  <si>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</si>
  <si>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</si>
  <si>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</si>
  <si>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</si>
  <si>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</si>
  <si>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</si>
  <si>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</si>
  <si>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</si>
  <si>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</si>
  <si>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</si>
  <si>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</si>
  <si>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</si>
  <si>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</si>
  <si>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</si>
  <si>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</si>
  <si>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Người lập biểu</t>
  </si>
  <si>
    <t>Kế toán trưởng</t>
  </si>
  <si>
    <t>(Ký, họ tên)</t>
  </si>
  <si>
    <t>(Ký, họ tên, đóng dấu)</t>
  </si>
  <si>
    <t>Vương Thị Trâm Anh</t>
  </si>
  <si>
    <t>Phạm Thanh Dũng</t>
  </si>
  <si>
    <t>Mẫu số B01 - ETF. Báo cáo thu nhập
Template B01 - ETF. Statement of Comprehensive Income</t>
  </si>
  <si>
    <t>BÁO CÁO THU NHẬP</t>
  </si>
  <si>
    <t>STATEMENT OF COMPREHENSIVE INCOME</t>
  </si>
  <si>
    <t>Mã số
Code</t>
  </si>
  <si>
    <t>Thuyết minh
Note</t>
  </si>
  <si>
    <t>NĂM 2021
YEAR 2021</t>
  </si>
  <si>
    <t>NĂM 2020
YEAR 2020</t>
  </si>
  <si>
    <t>Số lũy kế
Year-to-date</t>
  </si>
  <si>
    <t>Tháng 04 năm 2020
Apr 2020</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</si>
  <si>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</si>
  <si>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</si>
  <si>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</si>
  <si>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</si>
  <si>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</si>
  <si>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</si>
  <si>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</si>
  <si>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</si>
  <si>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</si>
  <si>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</si>
  <si>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</si>
  <si>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</si>
  <si>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</si>
  <si>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</si>
  <si>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</si>
  <si>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</si>
  <si>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</si>
  <si>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</si>
  <si>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</si>
  <si>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</si>
  <si>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</si>
  <si>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</si>
  <si>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</si>
  <si>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</si>
  <si>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</si>
  <si>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</si>
  <si>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</si>
  <si>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</si>
  <si>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</si>
  <si>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</si>
  <si>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</si>
  <si>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</si>
  <si>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</si>
  <si>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</si>
  <si>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</si>
  <si>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</si>
  <si>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</si>
  <si>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</si>
  <si>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</si>
  <si>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</si>
  <si>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</si>
  <si>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</si>
  <si>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</si>
  <si>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20</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</si>
  <si>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</si>
  <si>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</si>
  <si>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</si>
  <si>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</si>
  <si>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</si>
  <si>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</si>
  <si>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</si>
  <si>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</si>
  <si>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</si>
  <si>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</si>
  <si>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</si>
  <si>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</si>
  <si>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</si>
  <si>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</si>
  <si>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</si>
  <si>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</si>
  <si>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</si>
  <si>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</si>
  <si>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</si>
  <si>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</si>
  <si>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</si>
  <si>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</si>
  <si>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</si>
  <si>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</si>
  <si>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</si>
  <si>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</si>
  <si>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</si>
  <si>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</si>
  <si>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</si>
  <si>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</si>
  <si>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</si>
  <si>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</si>
  <si>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</si>
  <si>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</si>
  <si>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</si>
  <si>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</si>
  <si>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</si>
  <si>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</si>
  <si>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</si>
  <si>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</si>
  <si>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</si>
  <si>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</si>
  <si>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</si>
  <si>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</si>
  <si>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</si>
  <si>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</si>
  <si>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</si>
  <si>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</si>
  <si>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</si>
  <si>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</si>
  <si>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</si>
  <si>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</si>
  <si>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</si>
  <si>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</si>
  <si>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</si>
  <si>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</si>
  <si>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</si>
  <si>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</si>
  <si>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</si>
  <si>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</si>
  <si>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</si>
  <si>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</si>
  <si>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</si>
  <si>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</si>
  <si>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</si>
  <si>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</si>
  <si>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</si>
  <si>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</si>
  <si>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</si>
  <si>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</si>
  <si>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</si>
  <si>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</si>
  <si>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</si>
  <si>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</si>
  <si>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</si>
  <si>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</si>
  <si>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</si>
  <si>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</si>
  <si>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</si>
  <si>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Mẫu số B02 - ETF. Báo cáo tình hình tài chính
Template B02 - ETF. Statement of Financial Position</t>
  </si>
  <si>
    <t>BÁO CÁO TÌNH HÌNH TÀI CHÍNH
STATEMENT OF FINANCIAL POSITION</t>
  </si>
  <si>
    <t>CHỈ TIÊU
Indicators</t>
  </si>
  <si>
    <t>Thuyết minh
Notes</t>
  </si>
  <si>
    <t>Tại ngày 30 tháng 04  năm 2021 
As at 30 Apr 2021</t>
  </si>
  <si>
    <t>Tại ngày 31 tháng 03  năm 2021 
As at 31 Mar 2021</t>
  </si>
  <si>
    <t>110</t>
  </si>
  <si>
    <t>1.1</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</si>
  <si>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</si>
  <si>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</si>
  <si>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</si>
  <si>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</si>
  <si>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</si>
  <si>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</si>
  <si>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</si>
  <si>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</si>
  <si>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</si>
  <si>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112</t>
  </si>
  <si>
    <t>1.3</t>
  </si>
  <si>
    <t>113</t>
  </si>
  <si>
    <t>120</t>
  </si>
  <si>
    <t>2.1</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</si>
  <si>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</si>
  <si>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</si>
  <si>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</si>
  <si>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</si>
  <si>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</si>
  <si>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</si>
  <si>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</si>
  <si>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</si>
  <si>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</si>
  <si>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</si>
  <si>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</si>
  <si>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</si>
  <si>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</si>
  <si>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</si>
  <si>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</si>
  <si>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</si>
  <si>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</si>
  <si>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</si>
  <si>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122</t>
  </si>
  <si>
    <t>130</t>
  </si>
  <si>
    <t>3.1</t>
  </si>
  <si>
    <t>131</t>
  </si>
  <si>
    <t>Trong đó: Phải thu khó đòi về bán các khoản đầu tư
In which: Overdue receivables from selling investments</t>
  </si>
  <si>
    <t>132</t>
  </si>
  <si>
    <t>3.2</t>
  </si>
  <si>
    <t>133</t>
  </si>
  <si>
    <t>3.2.1</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</si>
  <si>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</si>
  <si>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</si>
  <si>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</si>
  <si>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</si>
  <si>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</si>
  <si>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</si>
  <si>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</si>
  <si>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</si>
  <si>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</si>
  <si>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</si>
  <si>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</si>
  <si>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</si>
  <si>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</si>
  <si>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</si>
  <si>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</si>
  <si>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</si>
  <si>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</si>
  <si>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</si>
  <si>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</si>
  <si>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</si>
  <si>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</si>
  <si>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</si>
  <si>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</si>
  <si>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</si>
  <si>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</si>
  <si>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</si>
  <si>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137</t>
  </si>
  <si>
    <t>Phải thu cho khoản cổ phiếu hạn chế chờ mua
Receivable from AP/Investors on securities on hold of buying</t>
  </si>
  <si>
    <t>137.1</t>
  </si>
  <si>
    <t>137.2</t>
  </si>
  <si>
    <t>137.2.1</t>
  </si>
  <si>
    <t>Trả trước giá dịch vụ đăng ký niêm yết cho HOSE
Prepaid expense for listed registration at HOSE</t>
  </si>
  <si>
    <t>137.2.2</t>
  </si>
  <si>
    <t>137.2.3</t>
  </si>
  <si>
    <t>137.2.4</t>
  </si>
  <si>
    <t>Các khoản khác
Others</t>
  </si>
  <si>
    <t>137.3</t>
  </si>
  <si>
    <t>3.4</t>
  </si>
  <si>
    <t>138</t>
  </si>
  <si>
    <t>TỔNG TÀI SẢN
TOTAL ASSETS</t>
  </si>
  <si>
    <t>100</t>
  </si>
  <si>
    <t>311</t>
  </si>
  <si>
    <t>Gốc khoản vay ngắn hạn
Short-term loans Principal</t>
  </si>
  <si>
    <t>311.1</t>
  </si>
  <si>
    <t>Trích trước lãi vay ngắn hạn
Accrued Interest Expense</t>
  </si>
  <si>
    <t>311.2</t>
  </si>
  <si>
    <t>312</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</si>
  <si>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</si>
  <si>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</si>
  <si>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</si>
  <si>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</si>
  <si>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</si>
  <si>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314</t>
  </si>
  <si>
    <t>315</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</si>
  <si>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</si>
  <si>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</si>
  <si>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</si>
  <si>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</si>
  <si>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</si>
  <si>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</si>
  <si>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</si>
  <si>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</si>
  <si>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</si>
  <si>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</si>
  <si>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</si>
  <si>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</si>
  <si>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</si>
  <si>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</si>
  <si>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</si>
  <si>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317</t>
  </si>
  <si>
    <t>318</t>
  </si>
  <si>
    <t>319</t>
  </si>
  <si>
    <t>9.1</t>
  </si>
  <si>
    <t>319.1</t>
  </si>
  <si>
    <t>9.2</t>
  </si>
  <si>
    <t>319.2</t>
  </si>
  <si>
    <t>319.2.1</t>
  </si>
  <si>
    <t>319.2.2</t>
  </si>
  <si>
    <t>319.2.3</t>
  </si>
  <si>
    <t>319.2.4</t>
  </si>
  <si>
    <t>9.3</t>
  </si>
  <si>
    <t>319.3</t>
  </si>
  <si>
    <t>9.4</t>
  </si>
  <si>
    <t>319.4</t>
  </si>
  <si>
    <t>9.5</t>
  </si>
  <si>
    <t>319.5</t>
  </si>
  <si>
    <t>9.6</t>
  </si>
  <si>
    <t>319.6</t>
  </si>
  <si>
    <t>9.7</t>
  </si>
  <si>
    <t>319.7</t>
  </si>
  <si>
    <t>319.8</t>
  </si>
  <si>
    <t>320</t>
  </si>
  <si>
    <t>10.1</t>
  </si>
  <si>
    <t>320.1</t>
  </si>
  <si>
    <t>10.2</t>
  </si>
  <si>
    <t>320.2</t>
  </si>
  <si>
    <t>10.3</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</si>
  <si>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</si>
  <si>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</si>
  <si>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</si>
  <si>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</si>
  <si>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</si>
  <si>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</si>
  <si>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</si>
  <si>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</si>
  <si>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</si>
  <si>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</si>
  <si>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</si>
  <si>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</si>
  <si>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</si>
  <si>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400</t>
  </si>
  <si>
    <t>411</t>
  </si>
  <si>
    <t>412</t>
  </si>
  <si>
    <t>413</t>
  </si>
  <si>
    <t>414</t>
  </si>
  <si>
    <t>420</t>
  </si>
  <si>
    <t>420.1</t>
  </si>
  <si>
    <t>420.2</t>
  </si>
  <si>
    <t>430</t>
  </si>
  <si>
    <t>440</t>
  </si>
  <si>
    <t>441</t>
  </si>
  <si>
    <t>442</t>
  </si>
  <si>
    <t>001</t>
  </si>
  <si>
    <t>002</t>
  </si>
  <si>
    <t>003</t>
  </si>
  <si>
    <t>004</t>
  </si>
  <si>
    <t>Giám đốc điều hành Nghiệp vụ hỗ trợ đầu tư</t>
  </si>
  <si>
    <t>Giám đốc điều hành
Nghiệp vụ hỗ trợ đầu tư</t>
  </si>
  <si>
    <t>%/cùng kỳ năm trước
%/against last year</t>
  </si>
  <si>
    <t>Dự chi phí dịch vụ thành viên lập quỹ, tạo lập thị trường
Accrued expense for AP, market maker serviece</t>
  </si>
  <si>
    <t>3.6.3. Phí dịch vụ thành viên lập quỹ, tạo lập thị trường
Accrual expense for AP, market maker service</t>
  </si>
  <si>
    <t>Tại ngày 30 tháng 04 năm 2021/ As at 30 Apr 2021</t>
  </si>
  <si>
    <t>Vay ngắn hạn
Short-term borrowings</t>
  </si>
  <si>
    <t>Phải trả về mua các khoản đầu tư
Payables for securities purchased but not yet settled</t>
  </si>
  <si>
    <t>Phải trả phí cho các Đại lý phân phối, Công ty quản lý Quỹ về mua bán CCQ
Subscription and Redemption fee payable to distributors and fund management company</t>
  </si>
  <si>
    <t>Thuế và các khoản phải nộp Nhà nước
Tax payables and obligations to the State Budget</t>
  </si>
  <si>
    <t>Phải trả thu nhập cho Nhà đầu tư
Profit distribution payables</t>
  </si>
  <si>
    <t>Chi phí phải trả 
Accual Expenses</t>
  </si>
  <si>
    <t>Phải trả cho Nhà đầu tư về mua Chứng chỉ quỹ
Subcription payable to investors</t>
  </si>
  <si>
    <t>Phải trả cho Nhà đầu tư về mua lại Chứng chỉ quỹ
Redemption payable to investors</t>
  </si>
  <si>
    <t>Phải trả dịch vụ quản lý Quỹ ETF
Fund management related service expense payable</t>
  </si>
  <si>
    <t>Trích trước phải trả phí quản lý
Expense accruals for Management fee</t>
  </si>
  <si>
    <t>Trích trước phí lưu ký tài sản Quỹ ETF
Accrued expense for Custodian fee</t>
  </si>
  <si>
    <t>Phí dịch vụ lưu ký - bảo quản tài sản
Custodian service - Safe Custody Fee</t>
  </si>
  <si>
    <t>Phí dịch vụ lưu ký - giao dịch chứng khoán
Custodian service - Transaction fee</t>
  </si>
  <si>
    <t>Phí dịch vụ lưu ký - phí VSD
Custodian service -  VSD fee</t>
  </si>
  <si>
    <t>Phí dịch vụ lưu ký - phí VSD về quản lý vị thế và tài sản ký quỹ cho các hợp đồng phái sinh
Custodian service -  VSD fee for position and margin management of index future contracts</t>
  </si>
  <si>
    <t>Trích trước phí quản trị quỹ
Accrued expense for Fund administration fee</t>
  </si>
  <si>
    <t>Trích trước phí giám sát
Accrued expense for Supervising fee</t>
  </si>
  <si>
    <t>Trích trước phí dịch vụ đại lý chuyển nhượng
Accrued expense for Tranfer agency fee</t>
  </si>
  <si>
    <t>Dự chi phí cung cấp dịch vụ tính giá trị tài sản ròng tham chiếu (iNAV) cho HOSE
Accrued expense for payable to HOSE for iNAV calculation</t>
  </si>
  <si>
    <t>Dự chi phí cấp quyền sử dụng chỉ số cho HOSE
Accrued expense for payable to HOSE for Index usage</t>
  </si>
  <si>
    <t>Dự chi phí dịch vụ thành viên lập quỹ, tạo lập thị trường
Accrued expense for AP, market marker service</t>
  </si>
  <si>
    <t>Phải trả phí báo giá
Price feed fee payable</t>
  </si>
  <si>
    <t>Trích trước phí công tác, họp của ban đại diện
Accrued expense for Fund's Board of Representatives travelling, meeting</t>
  </si>
  <si>
    <t>Phải trả khác
Other payables</t>
  </si>
  <si>
    <t>Vốn góp của Nhà đầu tư
Paid up capital</t>
  </si>
  <si>
    <t>Vốn góp phát hành
Capital from subscription</t>
  </si>
  <si>
    <t>Vốn góp mua lại
Capital from redemption</t>
  </si>
  <si>
    <t>Thặng dư vốn góp của Nhà đầu tư
Share premium</t>
  </si>
  <si>
    <t>Lợi nhuận chưa phân phối 
Undistributed earnings</t>
  </si>
  <si>
    <t>Lợi nhuận chưa phân phối đầu kỳ
Retained earning at the beginning of the period</t>
  </si>
  <si>
    <t>Lợi nhuận chưa phân phối trong kỳ
Retained earning during the period</t>
  </si>
  <si>
    <t>GIÁ TRỊ TÀI SẢN RÒNG QUỸ ETF TRÊN 1 ĐƠN VỊ CHỨNG CHỈ QUỸ
NET ASSET VALUE  PER FUND CERTIFICATE</t>
  </si>
  <si>
    <t>LỢI NHUẬN ĐÃ PHÂN PHỐI CHO NHÀ ĐẦU TƯ
DISTRIBUTED EARNINGS</t>
  </si>
  <si>
    <t>Lợi nhuận/Tài sản đã phân phối cho Nhà đầu tư trong năm
Distributed earnings assets in the period</t>
  </si>
  <si>
    <t>Lợi nhuận đã phân phối cho Nhà đầu tư lũy kế từ khi thành lập Quỹ đến kỳ lập báo cáo này
Accumulated distributed profit/ assets</t>
  </si>
  <si>
    <t>CÁC CHỈ TIÊU NGOÀI BÁO CÁO TÌNH HÌNH TÀI CHÍNH
OFF BALANCE SHEET ITEMS</t>
  </si>
  <si>
    <t>Tài sản nhận thế chấp
Assets received as pledge</t>
  </si>
  <si>
    <t>Nợ khó đòi đã xử lý
Written off bad debts</t>
  </si>
  <si>
    <t>Ngoại tệ các loại
Foreign currencies</t>
  </si>
  <si>
    <t>Số lượng Chứng chỉ quỹ đang lưu hành
Number of outstanding fund certificates</t>
  </si>
  <si>
    <t>GIÁ TRỊ TÀI SẢN RÒNG CÓ THỂ PHÂN PHỐI CHO NHÀ ĐẦU TƯ NẮM GIỮ CHỨNG CHỈ QUỸ ETF (I-II)
DISTRIBUTABLE NET ASSET VALUE (I-II)</t>
  </si>
  <si>
    <t>NỢ PHẢI TRẢ
TOTAL LIABILITIES</t>
  </si>
  <si>
    <t>Dự phòng nợ phải thu khó đòi
Provision for doubtful debt</t>
  </si>
  <si>
    <t>Các khoản phải thu khác
Other receivables</t>
  </si>
  <si>
    <t>Dự thu cổ tức, tiền lãi chưa đến ngày nhận 
Dividend and interest receivables before payment date</t>
  </si>
  <si>
    <t>Phải thu cổ tức, tiền lãi đến ngày nhận
Dividend and interest receivables on or after payment date</t>
  </si>
  <si>
    <t>Phải thu và dự thu cổ tức, tiền lãi các khoản đầu tư
Dividend and interest receivables</t>
  </si>
  <si>
    <t>Phải thu về bán các khoản đầu tư
Receivables from investments sold but not yet settled</t>
  </si>
  <si>
    <t>Các khoản phải thu
Receivables</t>
  </si>
  <si>
    <t>Dự phòng giảm giá tài sản nhận thế chấp
Impairment of devaluation of assets as pledge</t>
  </si>
  <si>
    <t>Các khoản đầu tư
Investment</t>
  </si>
  <si>
    <t>Các khoản đầu tư thuần
Investment</t>
  </si>
  <si>
    <t>Tài khoản phong tỏa
Escrow account</t>
  </si>
  <si>
    <t>Tiền gửi có kỳ hạn dưới 3 tháng
Deposit with term less than 3 months</t>
  </si>
  <si>
    <t>Tiền gửi ngân hàng
Cash at bank</t>
  </si>
  <si>
    <t>Tiền gửi ngân hàng và tương đương tiền
Cash at bank and cash equivalent</t>
  </si>
  <si>
    <t>TÀI SẢN
ASSETS</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</si>
</sst>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43" formatCode="_(* #,##0.00_);_(* \(#,##0.00\);_(* &quot;-&quot;??_);_(@_)"/>
    <numFmt numFmtId="164" formatCode="[$-409]d\-mmm\-yyyy;@"/>
    <numFmt numFmtId="165" formatCode="dd/mmm/yyyy"/>
    <numFmt numFmtId="166" formatCode="_-* #,##0.00\ _₫_-;\-* #,##0.00\ _₫_-;_-* &quot;-&quot;??\ _₫_-;_-@_-"/>
    <numFmt numFmtId="167" formatCode="_-* #,##0.00&quot; &quot;_₫_-;\-* #,##0.00&quot; &quot;_₫_-;_-* &quot;-&quot;??&quot; &quot;_₫_-;_-@_-"/>
    <numFmt numFmtId="168" formatCode="_(* #,##0_);_(* \(#,##0\);_(* &quot;-&quot;??_);_(@_)"/>
    <numFmt numFmtId="169" formatCode="[$-1010000]d/m/yyyy;@"/>
    <numFmt numFmtId="170" formatCode="#,##0;\(#,##0\);"/>
    <numFmt numFmtId="171" formatCode="#,##0.00%"/>
    <numFmt numFmtId="172" formatCode="&quot;&quot;#,##0"/>
    <numFmt numFmtId="173" formatCode="0.000%"/>
  </numFmts>
  <fonts count="44">
    <font>
      <sz val="11"/>
      <color theme="1"/>
      <name val="Calibri"/>
      <family val="2"/>
      <scheme val="minor"/>
    </font>
    <font>
      <sz val="10"/>
      <color theme="1"/>
      <name val="Calibri"/>
      <family val="2"/>
      <scheme val="minor"/>
    </font>
    <font>
      <sz val="11"/>
      <color theme="1"/>
      <name val="Calibri"/>
      <family val="2"/>
      <scheme val="minor"/>
    </font>
    <font>
      <b/>
      <sz val="12"/>
      <color theme="1"/>
      <name val="Times New Roman"/>
      <family val="1"/>
    </font>
    <font>
      <sz val="11"/>
      <color theme="1"/>
      <name val="Times New Roman"/>
      <family val="1"/>
    </font>
    <font>
      <sz val="12"/>
      <color theme="1"/>
      <name val="Times New Roman"/>
      <family val="1"/>
    </font>
    <font>
      <sz val="12"/>
      <color theme="0" tint="-4.9989318521683403E-2"/>
      <name val="Times New Roman"/>
      <family val="1"/>
    </font>
    <font>
      <sz val="10"/>
      <color indexed="8"/>
      <name val="Calibri"/>
      <family val="2"/>
      <scheme val="minor"/>
    </font>
    <font>
      <sz val="12"/>
      <color indexed="8"/>
      <name val="Times New Roman"/>
      <family val="1"/>
    </font>
    <font>
      <i/>
      <sz val="12"/>
      <color theme="1"/>
      <name val="Times New Roman"/>
      <family val="1"/>
    </font>
    <font>
      <b/>
      <sz val="12"/>
      <color indexed="8"/>
      <name val="Times New Roman"/>
      <family val="1"/>
    </font>
    <font>
      <sz val="12"/>
      <name val=".VnTime"/>
      <family val="2"/>
    </font>
    <font>
      <i/>
      <sz val="12"/>
      <name val="Times New Roman"/>
      <family val="1"/>
    </font>
    <font>
      <sz val="12"/>
      <name val="Times New Roman"/>
      <family val="1"/>
    </font>
    <font>
      <b/>
      <sz val="12"/>
      <name val="Times New Roman"/>
      <family val="1"/>
    </font>
    <font>
      <u/>
      <sz val="11"/>
      <color theme="10"/>
      <name val="Calibri"/>
      <family val="2"/>
      <scheme val="minor"/>
    </font>
    <font>
      <u/>
      <sz val="11"/>
      <color theme="10"/>
      <name val="Times New Roman"/>
      <family val="1"/>
    </font>
    <font>
      <u/>
      <sz val="12"/>
      <color theme="10"/>
      <name val="Times New Roman"/>
      <family val="1"/>
    </font>
    <font>
      <u/>
      <sz val="12"/>
      <color theme="1"/>
      <name val="Times New Roman"/>
      <family val="1"/>
    </font>
    <font>
      <sz val="10"/>
      <name val="Arial"/>
      <family val="2"/>
    </font>
    <font>
      <sz val="10"/>
      <color indexed="8"/>
      <name val="Arial"/>
      <family val="2"/>
    </font>
    <font>
      <sz val="11"/>
      <name val="Times New Roman"/>
      <family val="1"/>
    </font>
    <font>
      <sz val="11"/>
      <color indexed="8"/>
      <name val="Calibri"/>
      <family val="2"/>
      <scheme val="minor"/>
    </font>
    <font>
      <sz val="10"/>
      <color theme="1"/>
      <name val="Arial"/>
      <family val="2"/>
    </font>
    <font>
      <sz val="8"/>
      <color theme="1"/>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8"/>
      <color indexed="8"/>
      <name val="Tahoma"/>
      <family val="2"/>
    </font>
    <font>
      <sz val="8"/>
      <color rgb="FF000000"/>
      <name val="Tahoma"/>
      <family val="2"/>
    </font>
    <font>
      <b/>
      <sz val="8"/>
      <color theme="1"/>
      <name val="Tahoma"/>
      <family val="2"/>
    </font>
    <font>
      <sz val="8"/>
      <name val="Tahoma"/>
      <family val="2"/>
    </font>
    <font>
      <b/>
      <sz val="8"/>
      <name val="Tahoma"/>
      <family val="2"/>
    </font>
    <font>
      <sz val="9.75"/>
      <color indexed="8"/>
      <name val="Times New Roman"/>
      <family val="2"/>
    </font>
    <font>
      <b/>
      <sz val="9"/>
      <color indexed="8"/>
      <name val="Tahoma"/>
      <family val="2"/>
    </font>
    <font>
      <b/>
      <sz val="8"/>
      <color indexed="8"/>
      <name val="Times New Roman"/>
      <family val="2"/>
    </font>
    <font>
      <b/>
      <sz val="9.75"/>
      <color indexed="8"/>
      <name val="Times New Roman"/>
      <family val="2"/>
    </font>
    <font>
      <b/>
      <sz val="7.5"/>
      <color indexed="8"/>
      <name val="Tahoma"/>
      <family val="2"/>
    </font>
    <font>
      <i/>
      <sz val="9.75"/>
      <color indexed="8"/>
      <name val="Times New Roman"/>
      <family val="2"/>
    </font>
    <font>
      <b/>
      <sz val="11"/>
      <color indexed="8"/>
      <name val="Calibri"/>
      <family val="2"/>
      <scheme val="minor"/>
    </font>
    <font>
      <b/>
      <sz val="8"/>
      <color theme="0"/>
      <name val="Tahoma"/>
      <family val="2"/>
    </font>
    <font>
      <sz val="8"/>
      <color theme="0"/>
      <name val="Tahoma"/>
      <family val="2"/>
    </font>
    <font>
      <i/>
      <sz val="8"/>
      <color theme="0"/>
      <name val="Tahoma"/>
      <family val="2"/>
    </font>
  </fonts>
  <fills count="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indexed="9"/>
        <bgColor indexed="64"/>
      </patternFill>
    </fill>
    <fill>
      <patternFill patternType="solid">
        <fgColor rgb="FFFFFFFF"/>
        <bgColor indexed="64"/>
      </patternFill>
    </fill>
    <fill>
      <patternFill patternType="solid">
        <fgColor theme="0" tint="-0.14999847407452621"/>
        <bgColor indexed="64"/>
      </patternFill>
    </fill>
    <fill>
      <patternFill patternType="solid">
        <fgColor rgb="FFFFC080"/>
        <bgColor indexed="64"/>
      </patternFill>
    </fill>
  </fills>
  <borders count="3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style="thin">
        <color indexed="8"/>
      </left>
      <right style="thin">
        <color rgb="FFA0A0A0"/>
      </right>
      <top style="thin">
        <color indexed="8"/>
      </top>
      <bottom style="thin">
        <color indexed="8"/>
      </bottom>
      <diagonal/>
    </border>
    <border>
      <left/>
      <right style="thin">
        <color rgb="FFA0A0A0"/>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rgb="FFA0A0A0"/>
      </right>
      <top/>
      <bottom style="thin">
        <color rgb="FFA0A0A0"/>
      </bottom>
      <diagonal/>
    </border>
    <border>
      <left/>
      <right style="thin">
        <color rgb="FFA0A0A0"/>
      </right>
      <top/>
      <bottom style="thin">
        <color rgb="FFA0A0A0"/>
      </bottom>
      <diagonal/>
    </border>
    <border>
      <left/>
      <right style="thin">
        <color indexed="8"/>
      </right>
      <top/>
      <bottom style="thin">
        <color rgb="FFA0A0A0"/>
      </bottom>
      <diagonal/>
    </border>
    <border>
      <left/>
      <right style="thin">
        <color indexed="8"/>
      </right>
      <top style="thin">
        <color rgb="FFE3E3E3"/>
      </top>
      <bottom style="thin">
        <color indexed="8"/>
      </bottom>
      <diagonal/>
    </border>
    <border>
      <left/>
      <right style="thin">
        <color indexed="8"/>
      </right>
      <top style="thin">
        <color rgb="FFE3E3E3"/>
      </top>
      <bottom style="thin">
        <color rgb="FFE3E3E3"/>
      </bottom>
      <diagonal/>
    </border>
    <border>
      <left/>
      <right style="thin">
        <color indexed="8"/>
      </right>
      <top style="thin">
        <color rgb="FFA0A0A0"/>
      </top>
      <bottom style="thin">
        <color rgb="FFE3E3E3"/>
      </bottom>
      <diagonal/>
    </border>
  </borders>
  <cellStyleXfs count="20">
    <xf numFmtId="0" fontId="0" fillId="0" borderId="0"/>
    <xf numFmtId="0" fontId="1" fillId="0" borderId="0"/>
    <xf numFmtId="43" fontId="2" fillId="0" borderId="0" applyFont="0" applyFill="0" applyBorder="0" applyAlignment="0" applyProtection="0"/>
    <xf numFmtId="0" fontId="7" fillId="0" borderId="0">
      <alignment vertical="center"/>
    </xf>
    <xf numFmtId="0" fontId="11" fillId="0" borderId="0"/>
    <xf numFmtId="0" fontId="15" fillId="0" borderId="0" applyNumberFormat="0" applyFill="0" applyBorder="0" applyAlignment="0" applyProtection="0"/>
    <xf numFmtId="166" fontId="19" fillId="0" borderId="0" quotePrefix="1" applyFont="0" applyFill="0" applyBorder="0" applyAlignment="0">
      <protection locked="0"/>
    </xf>
    <xf numFmtId="43" fontId="20" fillId="0" borderId="0" applyFont="0" applyFill="0" applyBorder="0" applyAlignment="0" applyProtection="0">
      <alignment vertical="center"/>
    </xf>
    <xf numFmtId="167" fontId="21" fillId="0" borderId="0" applyFont="0" applyFill="0" applyBorder="0" applyAlignment="0" applyProtection="0"/>
    <xf numFmtId="0" fontId="19" fillId="0" borderId="0"/>
    <xf numFmtId="0" fontId="19" fillId="0" borderId="0"/>
    <xf numFmtId="0" fontId="22" fillId="0" borderId="0">
      <alignment vertical="center"/>
    </xf>
    <xf numFmtId="0" fontId="23" fillId="0" borderId="0"/>
    <xf numFmtId="0" fontId="23" fillId="0" borderId="0"/>
    <xf numFmtId="0" fontId="2" fillId="0" borderId="0"/>
    <xf numFmtId="0" fontId="22" fillId="0" borderId="0">
      <alignment vertical="center"/>
    </xf>
    <xf numFmtId="0" fontId="1" fillId="0" borderId="0"/>
    <xf numFmtId="4" fontId="2" fillId="0" borderId="0" applyFont="0" applyFill="0" applyBorder="0" applyAlignment="0" applyProtection="0"/>
    <xf numFmtId="0" fontId="11" fillId="0" borderId="0"/>
    <xf numFmtId="9" fontId="2" fillId="0" borderId="0" applyFont="0" applyFill="0" applyBorder="0" applyAlignment="0" applyProtection="0"/>
  </cellStyleXfs>
  <cellXfs count="352">
    <xf numFmtId="0" fontId="0" fillId="0" borderId="0" xfId="0"/>
    <xf numFmtId="0" fontId="4" fillId="2" borderId="0" xfId="0" applyFont="1" applyFill="1"/>
    <xf numFmtId="0" fontId="5" fillId="2" borderId="0" xfId="0" applyFont="1" applyFill="1" applyAlignment="1">
      <alignment horizontal="left"/>
    </xf>
    <xf numFmtId="0" fontId="4" fillId="2" borderId="0" xfId="0" applyFont="1" applyFill="1" applyAlignment="1">
      <alignment horizontal="left"/>
    </xf>
    <xf numFmtId="0" fontId="5" fillId="2" borderId="0" xfId="0" applyFont="1" applyFill="1"/>
    <xf numFmtId="0" fontId="3" fillId="3" borderId="2" xfId="0" applyFont="1" applyFill="1" applyBorder="1" applyAlignment="1">
      <alignment vertical="center"/>
    </xf>
    <xf numFmtId="0" fontId="3" fillId="3" borderId="2" xfId="0" applyFont="1" applyFill="1" applyBorder="1" applyAlignment="1">
      <alignment vertical="center" wrapText="1"/>
    </xf>
    <xf numFmtId="0" fontId="3" fillId="3" borderId="3" xfId="0" applyFont="1" applyFill="1" applyBorder="1" applyAlignment="1">
      <alignment vertical="center" wrapText="1"/>
    </xf>
    <xf numFmtId="0" fontId="5" fillId="3" borderId="0" xfId="0" applyFont="1" applyFill="1" applyBorder="1" applyAlignment="1">
      <alignment vertical="center"/>
    </xf>
    <xf numFmtId="0" fontId="5" fillId="3" borderId="0" xfId="0" applyFont="1" applyFill="1" applyBorder="1" applyAlignment="1">
      <alignment vertical="center" wrapText="1"/>
    </xf>
    <xf numFmtId="0" fontId="5" fillId="3" borderId="8" xfId="0" applyFont="1" applyFill="1" applyBorder="1" applyAlignment="1">
      <alignment vertical="center" wrapText="1"/>
    </xf>
    <xf numFmtId="0" fontId="6" fillId="2" borderId="0" xfId="0" applyFont="1" applyFill="1" applyBorder="1"/>
    <xf numFmtId="0" fontId="3" fillId="3" borderId="0" xfId="0" applyFont="1" applyFill="1" applyBorder="1" applyAlignment="1">
      <alignment vertical="center"/>
    </xf>
    <xf numFmtId="0" fontId="3" fillId="3" borderId="0" xfId="0" applyFont="1" applyFill="1" applyBorder="1" applyAlignment="1">
      <alignment vertical="center" wrapText="1"/>
    </xf>
    <xf numFmtId="0" fontId="3" fillId="3" borderId="8" xfId="0" applyFont="1" applyFill="1" applyBorder="1" applyAlignment="1">
      <alignment vertical="center" wrapText="1"/>
    </xf>
    <xf numFmtId="14" fontId="3" fillId="3" borderId="0" xfId="0" applyNumberFormat="1" applyFont="1" applyFill="1" applyBorder="1" applyAlignment="1">
      <alignment horizontal="left" vertical="center"/>
    </xf>
    <xf numFmtId="165" fontId="5" fillId="3" borderId="6" xfId="0" applyNumberFormat="1" applyFont="1" applyFill="1" applyBorder="1" applyAlignment="1"/>
    <xf numFmtId="0" fontId="9" fillId="2" borderId="0" xfId="0" applyFont="1" applyFill="1"/>
    <xf numFmtId="0" fontId="14" fillId="2" borderId="0" xfId="4" applyFont="1" applyFill="1" applyBorder="1" applyAlignment="1">
      <alignment horizontal="center" vertical="center"/>
    </xf>
    <xf numFmtId="0" fontId="13" fillId="2" borderId="0" xfId="4" applyFont="1" applyFill="1" applyBorder="1" applyAlignment="1">
      <alignment horizontal="center" vertical="center"/>
    </xf>
    <xf numFmtId="0" fontId="3" fillId="2" borderId="9" xfId="0" applyFont="1" applyFill="1" applyBorder="1" applyAlignment="1">
      <alignment horizontal="center" vertical="center"/>
    </xf>
    <xf numFmtId="0" fontId="3" fillId="2" borderId="9" xfId="0" applyFont="1" applyFill="1" applyBorder="1" applyAlignment="1">
      <alignment horizontal="left" vertical="center"/>
    </xf>
    <xf numFmtId="0" fontId="5" fillId="2" borderId="9" xfId="0" applyFont="1" applyFill="1" applyBorder="1" applyAlignment="1">
      <alignment horizontal="center" vertical="center"/>
    </xf>
    <xf numFmtId="0" fontId="16" fillId="2" borderId="9" xfId="5" applyFont="1" applyFill="1" applyBorder="1" applyAlignment="1">
      <alignment horizontal="center" vertical="center"/>
    </xf>
    <xf numFmtId="0" fontId="17" fillId="2" borderId="9" xfId="5" quotePrefix="1" applyFont="1" applyFill="1" applyBorder="1" applyAlignment="1">
      <alignment horizontal="center" vertical="center"/>
    </xf>
    <xf numFmtId="0" fontId="13" fillId="2" borderId="9" xfId="4" applyFont="1" applyFill="1" applyBorder="1" applyAlignment="1">
      <alignment horizontal="center" vertical="center"/>
    </xf>
    <xf numFmtId="0" fontId="17" fillId="2" borderId="9" xfId="5" applyFont="1" applyFill="1" applyBorder="1" applyAlignment="1">
      <alignment horizontal="center" vertical="center"/>
    </xf>
    <xf numFmtId="0" fontId="18" fillId="2" borderId="0" xfId="0" applyFont="1" applyFill="1" applyBorder="1"/>
    <xf numFmtId="0" fontId="9" fillId="2" borderId="0" xfId="0" applyFont="1" applyFill="1" applyBorder="1" applyAlignment="1">
      <alignment vertical="center"/>
    </xf>
    <xf numFmtId="0" fontId="24" fillId="3" borderId="0" xfId="14" applyFont="1" applyFill="1"/>
    <xf numFmtId="0" fontId="25" fillId="3" borderId="0" xfId="14" applyFont="1" applyFill="1" applyAlignment="1">
      <alignment wrapText="1"/>
    </xf>
    <xf numFmtId="0" fontId="28" fillId="3" borderId="0" xfId="14" applyFont="1" applyFill="1" applyAlignment="1">
      <alignment horizontal="center"/>
    </xf>
    <xf numFmtId="0" fontId="27" fillId="3" borderId="0" xfId="14" applyFont="1" applyFill="1" applyAlignment="1">
      <alignment horizontal="center"/>
    </xf>
    <xf numFmtId="168" fontId="27" fillId="3" borderId="0" xfId="8" applyNumberFormat="1" applyFont="1" applyFill="1" applyAlignment="1">
      <alignment horizontal="center"/>
    </xf>
    <xf numFmtId="0" fontId="27" fillId="3" borderId="0" xfId="14" applyFont="1" applyFill="1" applyAlignment="1">
      <alignment horizontal="center" vertical="center" wrapText="1"/>
    </xf>
    <xf numFmtId="0" fontId="27" fillId="3" borderId="0" xfId="14" applyFont="1" applyFill="1" applyAlignment="1">
      <alignment horizontal="left" vertical="center"/>
    </xf>
    <xf numFmtId="0" fontId="29" fillId="3" borderId="0" xfId="14" applyFont="1" applyFill="1" applyAlignment="1">
      <alignment horizontal="left" vertical="center"/>
    </xf>
    <xf numFmtId="168" fontId="29" fillId="3" borderId="0" xfId="8" applyNumberFormat="1" applyFont="1" applyFill="1" applyAlignment="1">
      <alignment horizontal="center"/>
    </xf>
    <xf numFmtId="0" fontId="29" fillId="3" borderId="0" xfId="14" applyFont="1" applyFill="1" applyAlignment="1">
      <alignment horizontal="center"/>
    </xf>
    <xf numFmtId="0" fontId="27" fillId="3" borderId="0" xfId="14" applyFont="1" applyFill="1" applyAlignment="1">
      <alignment horizontal="center" vertical="center"/>
    </xf>
    <xf numFmtId="0" fontId="27" fillId="3" borderId="0" xfId="14" applyFont="1" applyFill="1" applyAlignment="1">
      <alignment horizontal="left" wrapText="1"/>
    </xf>
    <xf numFmtId="0" fontId="27" fillId="3" borderId="0" xfId="14" applyFont="1" applyFill="1" applyAlignment="1">
      <alignment vertical="center"/>
    </xf>
    <xf numFmtId="48" fontId="29" fillId="3" borderId="0" xfId="14" applyNumberFormat="1" applyFont="1" applyFill="1" applyAlignment="1" applyProtection="1">
      <alignment horizontal="left" vertical="center" wrapText="1"/>
      <protection locked="0"/>
    </xf>
    <xf numFmtId="0" fontId="29" fillId="3" borderId="0" xfId="14" applyFont="1" applyFill="1" applyAlignment="1">
      <alignment horizontal="left" wrapText="1"/>
    </xf>
    <xf numFmtId="0" fontId="30" fillId="5" borderId="0" xfId="16" applyNumberFormat="1" applyFont="1" applyFill="1" applyBorder="1" applyAlignment="1" applyProtection="1">
      <alignment vertical="top"/>
    </xf>
    <xf numFmtId="0" fontId="29" fillId="3" borderId="0" xfId="14" applyFont="1" applyFill="1" applyAlignment="1">
      <alignment vertical="center"/>
    </xf>
    <xf numFmtId="3" fontId="29" fillId="3" borderId="0" xfId="14" applyNumberFormat="1" applyFont="1" applyFill="1" applyAlignment="1">
      <alignment horizontal="left" vertical="center" wrapText="1"/>
    </xf>
    <xf numFmtId="48" fontId="27" fillId="3" borderId="0" xfId="14" applyNumberFormat="1" applyFont="1" applyFill="1" applyAlignment="1" applyProtection="1">
      <alignment horizontal="left" vertical="center" wrapText="1"/>
      <protection locked="0"/>
    </xf>
    <xf numFmtId="48" fontId="29" fillId="3" borderId="0" xfId="14" applyNumberFormat="1" applyFont="1" applyFill="1" applyAlignment="1" applyProtection="1">
      <alignment vertical="center" wrapText="1"/>
      <protection locked="0"/>
    </xf>
    <xf numFmtId="0" fontId="31" fillId="3" borderId="0" xfId="0" applyFont="1" applyFill="1" applyAlignment="1">
      <alignment vertical="center"/>
    </xf>
    <xf numFmtId="166" fontId="29" fillId="3" borderId="0" xfId="14" applyNumberFormat="1" applyFont="1" applyFill="1" applyAlignment="1">
      <alignment horizontal="left" vertical="center" wrapText="1"/>
    </xf>
    <xf numFmtId="0" fontId="29" fillId="3" borderId="0" xfId="14" applyFont="1" applyFill="1" applyAlignment="1">
      <alignment horizontal="left" vertical="center" wrapText="1"/>
    </xf>
    <xf numFmtId="0" fontId="24" fillId="3" borderId="0" xfId="14" applyFont="1" applyFill="1" applyAlignment="1">
      <alignment horizontal="left"/>
    </xf>
    <xf numFmtId="3" fontId="29" fillId="3" borderId="0" xfId="14" applyNumberFormat="1" applyFont="1" applyFill="1" applyAlignment="1">
      <alignment wrapText="1"/>
    </xf>
    <xf numFmtId="3" fontId="27" fillId="3" borderId="0" xfId="14" applyNumberFormat="1" applyFont="1" applyFill="1" applyAlignment="1">
      <alignment wrapText="1"/>
    </xf>
    <xf numFmtId="0" fontId="32" fillId="3" borderId="0" xfId="14" applyFont="1" applyFill="1"/>
    <xf numFmtId="0" fontId="31" fillId="6" borderId="9" xfId="14" applyFont="1" applyFill="1" applyBorder="1" applyAlignment="1">
      <alignment horizontal="center" vertical="center" wrapText="1"/>
    </xf>
    <xf numFmtId="0" fontId="24" fillId="0" borderId="9" xfId="14" applyFont="1" applyFill="1" applyBorder="1" applyAlignment="1">
      <alignment horizontal="center" vertical="center"/>
    </xf>
    <xf numFmtId="49" fontId="24" fillId="0" borderId="9" xfId="14" applyNumberFormat="1" applyFont="1" applyFill="1" applyBorder="1" applyAlignment="1" applyProtection="1">
      <alignment horizontal="left" vertical="center" wrapText="1"/>
    </xf>
    <xf numFmtId="49" fontId="32" fillId="0" borderId="9" xfId="14" applyNumberFormat="1" applyFont="1" applyFill="1" applyBorder="1" applyAlignment="1" applyProtection="1">
      <alignment horizontal="left" vertical="center" wrapText="1"/>
    </xf>
    <xf numFmtId="49" fontId="24" fillId="0" borderId="9" xfId="14" applyNumberFormat="1" applyFont="1" applyFill="1" applyBorder="1" applyAlignment="1" applyProtection="1">
      <alignment horizontal="center" vertical="center" wrapText="1"/>
    </xf>
    <xf numFmtId="0" fontId="28" fillId="3" borderId="0" xfId="14" applyFont="1" applyFill="1"/>
    <xf numFmtId="169" fontId="33" fillId="3" borderId="0" xfId="18" applyNumberFormat="1" applyFont="1" applyFill="1" applyAlignment="1">
      <alignment vertical="center" wrapText="1"/>
    </xf>
    <xf numFmtId="0" fontId="32" fillId="3" borderId="0" xfId="18" applyFont="1" applyFill="1" applyBorder="1" applyAlignment="1">
      <alignment vertical="center"/>
    </xf>
    <xf numFmtId="168" fontId="33" fillId="3" borderId="0" xfId="8" applyNumberFormat="1" applyFont="1" applyFill="1" applyBorder="1" applyAlignment="1">
      <alignment vertical="center" wrapText="1"/>
    </xf>
    <xf numFmtId="0" fontId="33" fillId="3" borderId="0" xfId="18" applyFont="1" applyFill="1" applyBorder="1" applyAlignment="1">
      <alignment vertical="center"/>
    </xf>
    <xf numFmtId="0" fontId="33" fillId="3" borderId="0" xfId="18" applyFont="1" applyFill="1" applyBorder="1" applyAlignment="1">
      <alignment vertical="center" wrapText="1"/>
    </xf>
    <xf numFmtId="168" fontId="33" fillId="3" borderId="0" xfId="8" applyNumberFormat="1" applyFont="1" applyFill="1" applyBorder="1" applyAlignment="1">
      <alignment horizontal="right" vertical="center" wrapText="1"/>
    </xf>
    <xf numFmtId="168" fontId="33" fillId="3" borderId="0" xfId="8" applyNumberFormat="1" applyFont="1" applyFill="1" applyBorder="1" applyAlignment="1">
      <alignment horizontal="left" vertical="center"/>
    </xf>
    <xf numFmtId="2" fontId="32" fillId="3" borderId="0" xfId="18" applyNumberFormat="1" applyFont="1" applyFill="1" applyAlignment="1">
      <alignment vertical="center"/>
    </xf>
    <xf numFmtId="168" fontId="33" fillId="3" borderId="0" xfId="8" applyNumberFormat="1" applyFont="1" applyFill="1" applyBorder="1" applyAlignment="1">
      <alignment horizontal="right" vertical="center"/>
    </xf>
    <xf numFmtId="168" fontId="33" fillId="3" borderId="0" xfId="8" applyNumberFormat="1" applyFont="1" applyFill="1" applyAlignment="1">
      <alignment horizontal="right" vertical="center"/>
    </xf>
    <xf numFmtId="2" fontId="32" fillId="3" borderId="0" xfId="18" applyNumberFormat="1" applyFont="1" applyFill="1" applyAlignment="1">
      <alignment horizontal="right" vertical="center"/>
    </xf>
    <xf numFmtId="168" fontId="32" fillId="3" borderId="0" xfId="8" applyNumberFormat="1" applyFont="1" applyFill="1" applyAlignment="1">
      <alignment horizontal="right" vertical="center"/>
    </xf>
    <xf numFmtId="2" fontId="33" fillId="3" borderId="0" xfId="18" applyNumberFormat="1" applyFont="1" applyFill="1" applyAlignment="1">
      <alignment vertical="center"/>
    </xf>
    <xf numFmtId="2" fontId="32" fillId="3" borderId="5" xfId="18" applyNumberFormat="1" applyFont="1" applyFill="1" applyBorder="1" applyAlignment="1">
      <alignment vertical="center"/>
    </xf>
    <xf numFmtId="168" fontId="32" fillId="3" borderId="5" xfId="8" applyNumberFormat="1" applyFont="1" applyFill="1" applyBorder="1" applyAlignment="1">
      <alignment horizontal="right" vertical="center"/>
    </xf>
    <xf numFmtId="2" fontId="32" fillId="3" borderId="0" xfId="18" applyNumberFormat="1" applyFont="1" applyFill="1" applyBorder="1" applyAlignment="1">
      <alignment horizontal="right" vertical="center"/>
    </xf>
    <xf numFmtId="0" fontId="24" fillId="3" borderId="0" xfId="14" applyFont="1" applyFill="1" applyBorder="1"/>
    <xf numFmtId="2" fontId="32" fillId="3" borderId="0" xfId="18" applyNumberFormat="1" applyFont="1" applyFill="1" applyBorder="1" applyAlignment="1">
      <alignment vertical="center"/>
    </xf>
    <xf numFmtId="0" fontId="24" fillId="3" borderId="0" xfId="14" applyFont="1" applyFill="1" applyAlignment="1">
      <alignment vertical="center"/>
    </xf>
    <xf numFmtId="2" fontId="24" fillId="3" borderId="0" xfId="18" applyNumberFormat="1" applyFont="1" applyFill="1" applyAlignment="1">
      <alignment vertical="center"/>
    </xf>
    <xf numFmtId="0" fontId="33" fillId="0" borderId="0" xfId="14" applyFont="1" applyFill="1" applyAlignment="1">
      <alignment vertical="center"/>
    </xf>
    <xf numFmtId="0" fontId="33" fillId="3" borderId="0" xfId="14" applyFont="1" applyFill="1" applyAlignment="1">
      <alignment vertical="center"/>
    </xf>
    <xf numFmtId="0" fontId="34" fillId="4" borderId="0" xfId="11" applyNumberFormat="1" applyFont="1" applyFill="1" applyBorder="1" applyAlignment="1" applyProtection="1">
      <alignment horizontal="left" vertical="top"/>
    </xf>
    <xf numFmtId="0" fontId="27" fillId="4" borderId="0" xfId="11" applyNumberFormat="1" applyFont="1" applyFill="1" applyBorder="1" applyAlignment="1" applyProtection="1">
      <alignment horizontal="right" vertical="center"/>
    </xf>
    <xf numFmtId="0" fontId="22" fillId="0" borderId="0" xfId="11" applyFont="1">
      <alignment vertical="center"/>
    </xf>
    <xf numFmtId="0" fontId="27" fillId="4" borderId="0" xfId="11" applyNumberFormat="1" applyFont="1" applyFill="1" applyBorder="1" applyAlignment="1" applyProtection="1">
      <alignment horizontal="center" vertical="center"/>
    </xf>
    <xf numFmtId="0" fontId="27" fillId="4" borderId="0" xfId="11" applyNumberFormat="1" applyFont="1" applyFill="1" applyBorder="1" applyAlignment="1" applyProtection="1">
      <alignment horizontal="left" vertical="center"/>
    </xf>
    <xf numFmtId="0" fontId="27" fillId="4" borderId="0" xfId="11" applyNumberFormat="1" applyFont="1" applyFill="1" applyBorder="1" applyAlignment="1" applyProtection="1">
      <alignment horizontal="left" vertical="center"/>
    </xf>
    <xf numFmtId="0" fontId="29" fillId="4" borderId="0" xfId="11" applyNumberFormat="1" applyFont="1" applyFill="1" applyBorder="1" applyAlignment="1" applyProtection="1">
      <alignment horizontal="left" vertical="center"/>
    </xf>
    <xf numFmtId="0" fontId="29" fillId="4" borderId="0" xfId="11" applyNumberFormat="1" applyFont="1" applyFill="1" applyBorder="1" applyAlignment="1" applyProtection="1">
      <alignment horizontal="left" vertical="center"/>
    </xf>
    <xf numFmtId="0" fontId="27" fillId="4" borderId="0" xfId="11" applyNumberFormat="1" applyFont="1" applyFill="1" applyBorder="1" applyAlignment="1" applyProtection="1">
      <alignment horizontal="center" vertical="top"/>
    </xf>
    <xf numFmtId="0" fontId="29" fillId="4" borderId="0" xfId="11" applyNumberFormat="1" applyFont="1" applyFill="1" applyBorder="1" applyAlignment="1" applyProtection="1">
      <alignment horizontal="left" vertical="top"/>
    </xf>
    <xf numFmtId="0" fontId="28" fillId="4" borderId="0" xfId="11" applyNumberFormat="1" applyFont="1" applyFill="1" applyBorder="1" applyAlignment="1" applyProtection="1">
      <alignment horizontal="right" vertical="center"/>
    </xf>
    <xf numFmtId="0" fontId="34" fillId="4" borderId="14" xfId="11" applyNumberFormat="1" applyFont="1" applyFill="1" applyBorder="1" applyAlignment="1" applyProtection="1">
      <alignment horizontal="left" vertical="top"/>
    </xf>
    <xf numFmtId="0" fontId="29" fillId="4" borderId="14" xfId="11" applyNumberFormat="1" applyFont="1" applyFill="1" applyBorder="1" applyAlignment="1" applyProtection="1">
      <alignment horizontal="right" vertical="center"/>
    </xf>
    <xf numFmtId="0" fontId="27" fillId="7" borderId="15" xfId="11" applyNumberFormat="1" applyFont="1" applyFill="1" applyBorder="1" applyAlignment="1" applyProtection="1">
      <alignment horizontal="center" vertical="center" wrapText="1"/>
    </xf>
    <xf numFmtId="0" fontId="27" fillId="7" borderId="16" xfId="11" applyNumberFormat="1" applyFont="1" applyFill="1" applyBorder="1" applyAlignment="1" applyProtection="1">
      <alignment horizontal="center" vertical="center" wrapText="1"/>
    </xf>
    <xf numFmtId="0" fontId="27" fillId="7" borderId="17" xfId="11" applyNumberFormat="1" applyFont="1" applyFill="1" applyBorder="1" applyAlignment="1" applyProtection="1">
      <alignment horizontal="center" vertical="center" wrapText="1"/>
    </xf>
    <xf numFmtId="0" fontId="29" fillId="4" borderId="18" xfId="11" applyNumberFormat="1" applyFont="1" applyFill="1" applyBorder="1" applyAlignment="1" applyProtection="1">
      <alignment horizontal="center" vertical="top"/>
    </xf>
    <xf numFmtId="0" fontId="29" fillId="4" borderId="19" xfId="11" applyNumberFormat="1" applyFont="1" applyFill="1" applyBorder="1" applyAlignment="1" applyProtection="1">
      <alignment horizontal="left" vertical="top" wrapText="1"/>
    </xf>
    <xf numFmtId="0" fontId="29" fillId="4" borderId="19" xfId="11" applyNumberFormat="1" applyFont="1" applyFill="1" applyBorder="1" applyAlignment="1" applyProtection="1">
      <alignment horizontal="center" vertical="top"/>
    </xf>
    <xf numFmtId="4" fontId="29" fillId="4" borderId="19" xfId="11" applyNumberFormat="1" applyFont="1" applyFill="1" applyBorder="1" applyAlignment="1" applyProtection="1">
      <alignment horizontal="right" vertical="top"/>
    </xf>
    <xf numFmtId="170" fontId="29" fillId="4" borderId="19" xfId="11" applyNumberFormat="1" applyFont="1" applyFill="1" applyBorder="1" applyAlignment="1" applyProtection="1">
      <alignment horizontal="right" vertical="top"/>
    </xf>
    <xf numFmtId="171" fontId="29" fillId="4" borderId="20" xfId="11" applyNumberFormat="1" applyFont="1" applyFill="1" applyBorder="1" applyAlignment="1" applyProtection="1">
      <alignment horizontal="right" vertical="top"/>
    </xf>
    <xf numFmtId="0" fontId="29" fillId="4" borderId="21" xfId="11" applyNumberFormat="1" applyFont="1" applyFill="1" applyBorder="1" applyAlignment="1" applyProtection="1">
      <alignment horizontal="center" vertical="top"/>
    </xf>
    <xf numFmtId="170" fontId="29" fillId="4" borderId="22" xfId="11" applyNumberFormat="1" applyFont="1" applyFill="1" applyBorder="1" applyAlignment="1" applyProtection="1">
      <alignment horizontal="right" vertical="top"/>
    </xf>
    <xf numFmtId="0" fontId="27" fillId="7" borderId="24" xfId="11" applyNumberFormat="1" applyFont="1" applyFill="1" applyBorder="1" applyAlignment="1" applyProtection="1">
      <alignment horizontal="center" vertical="center" wrapText="1"/>
    </xf>
    <xf numFmtId="0" fontId="27" fillId="7" borderId="25" xfId="11" applyNumberFormat="1" applyFont="1" applyFill="1" applyBorder="1" applyAlignment="1" applyProtection="1">
      <alignment horizontal="center" vertical="center" wrapText="1"/>
    </xf>
    <xf numFmtId="0" fontId="27" fillId="7" borderId="26" xfId="11" applyNumberFormat="1" applyFont="1" applyFill="1" applyBorder="1" applyAlignment="1" applyProtection="1">
      <alignment horizontal="center" vertical="center" wrapText="1"/>
    </xf>
    <xf numFmtId="0" fontId="27" fillId="4" borderId="0" xfId="11" applyNumberFormat="1" applyFont="1" applyFill="1" applyBorder="1" applyAlignment="1" applyProtection="1">
      <alignment horizontal="center" vertical="top"/>
    </xf>
    <xf numFmtId="0" fontId="36" fillId="4" borderId="0" xfId="11" applyNumberFormat="1" applyFont="1" applyFill="1" applyBorder="1" applyAlignment="1" applyProtection="1">
      <alignment horizontal="right" vertical="center"/>
    </xf>
    <xf numFmtId="0" fontId="37" fillId="4" borderId="0" xfId="11" applyNumberFormat="1" applyFont="1" applyFill="1" applyBorder="1" applyAlignment="1" applyProtection="1">
      <alignment horizontal="center" vertical="center"/>
    </xf>
    <xf numFmtId="0" fontId="27" fillId="4" borderId="0" xfId="11" applyNumberFormat="1" applyFont="1" applyFill="1" applyBorder="1" applyAlignment="1" applyProtection="1">
      <alignment horizontal="left" vertical="top"/>
    </xf>
    <xf numFmtId="0" fontId="29" fillId="4" borderId="0" xfId="11" applyNumberFormat="1" applyFont="1" applyFill="1" applyBorder="1" applyAlignment="1" applyProtection="1">
      <alignment horizontal="left" vertical="top"/>
    </xf>
    <xf numFmtId="0" fontId="37" fillId="4" borderId="0" xfId="11" applyNumberFormat="1" applyFont="1" applyFill="1" applyBorder="1" applyAlignment="1" applyProtection="1">
      <alignment horizontal="center" vertical="top"/>
    </xf>
    <xf numFmtId="0" fontId="34" fillId="4" borderId="14" xfId="11" applyNumberFormat="1" applyFont="1" applyFill="1" applyBorder="1" applyAlignment="1" applyProtection="1">
      <alignment horizontal="right" vertical="top"/>
    </xf>
    <xf numFmtId="170" fontId="27" fillId="4" borderId="18" xfId="11" applyNumberFormat="1" applyFont="1" applyFill="1" applyBorder="1" applyAlignment="1" applyProtection="1">
      <alignment horizontal="center" vertical="top"/>
    </xf>
    <xf numFmtId="170" fontId="27" fillId="4" borderId="19" xfId="11" applyNumberFormat="1" applyFont="1" applyFill="1" applyBorder="1" applyAlignment="1" applyProtection="1">
      <alignment horizontal="left" vertical="top" wrapText="1"/>
    </xf>
    <xf numFmtId="170" fontId="27" fillId="4" borderId="19" xfId="11" applyNumberFormat="1" applyFont="1" applyFill="1" applyBorder="1" applyAlignment="1" applyProtection="1">
      <alignment horizontal="center" vertical="top"/>
    </xf>
    <xf numFmtId="170" fontId="27" fillId="4" borderId="19" xfId="11" applyNumberFormat="1" applyFont="1" applyFill="1" applyBorder="1" applyAlignment="1" applyProtection="1">
      <alignment horizontal="right" vertical="top"/>
    </xf>
    <xf numFmtId="170" fontId="27" fillId="4" borderId="20" xfId="11" applyNumberFormat="1" applyFont="1" applyFill="1" applyBorder="1" applyAlignment="1" applyProtection="1">
      <alignment horizontal="right" vertical="top"/>
    </xf>
    <xf numFmtId="170" fontId="29" fillId="4" borderId="18" xfId="11" applyNumberFormat="1" applyFont="1" applyFill="1" applyBorder="1" applyAlignment="1" applyProtection="1">
      <alignment horizontal="center" vertical="top"/>
    </xf>
    <xf numFmtId="170" fontId="29" fillId="4" borderId="19" xfId="11" applyNumberFormat="1" applyFont="1" applyFill="1" applyBorder="1" applyAlignment="1" applyProtection="1">
      <alignment horizontal="left" vertical="top" wrapText="1"/>
    </xf>
    <xf numFmtId="170" fontId="29" fillId="4" borderId="19" xfId="11" applyNumberFormat="1" applyFont="1" applyFill="1" applyBorder="1" applyAlignment="1" applyProtection="1">
      <alignment horizontal="center" vertical="top"/>
    </xf>
    <xf numFmtId="170" fontId="29" fillId="4" borderId="20" xfId="11" applyNumberFormat="1" applyFont="1" applyFill="1" applyBorder="1" applyAlignment="1" applyProtection="1">
      <alignment horizontal="right" vertical="top"/>
    </xf>
    <xf numFmtId="170" fontId="28" fillId="4" borderId="18" xfId="11" applyNumberFormat="1" applyFont="1" applyFill="1" applyBorder="1" applyAlignment="1" applyProtection="1">
      <alignment horizontal="center" vertical="top"/>
    </xf>
    <xf numFmtId="170" fontId="28" fillId="4" borderId="19" xfId="11" applyNumberFormat="1" applyFont="1" applyFill="1" applyBorder="1" applyAlignment="1" applyProtection="1">
      <alignment horizontal="left" vertical="top" wrapText="1"/>
    </xf>
    <xf numFmtId="170" fontId="28" fillId="4" borderId="19" xfId="11" applyNumberFormat="1" applyFont="1" applyFill="1" applyBorder="1" applyAlignment="1" applyProtection="1">
      <alignment horizontal="right" vertical="top"/>
    </xf>
    <xf numFmtId="170" fontId="28" fillId="4" borderId="20" xfId="11" applyNumberFormat="1" applyFont="1" applyFill="1" applyBorder="1" applyAlignment="1" applyProtection="1">
      <alignment horizontal="right" vertical="top"/>
    </xf>
    <xf numFmtId="170" fontId="29" fillId="4" borderId="21" xfId="11" applyNumberFormat="1" applyFont="1" applyFill="1" applyBorder="1" applyAlignment="1" applyProtection="1">
      <alignment horizontal="center" vertical="top"/>
    </xf>
    <xf numFmtId="170" fontId="29" fillId="4" borderId="22" xfId="11" applyNumberFormat="1" applyFont="1" applyFill="1" applyBorder="1" applyAlignment="1" applyProtection="1">
      <alignment horizontal="left" vertical="top" wrapText="1"/>
    </xf>
    <xf numFmtId="170" fontId="29" fillId="4" borderId="23" xfId="11" applyNumberFormat="1" applyFont="1" applyFill="1" applyBorder="1" applyAlignment="1" applyProtection="1">
      <alignment horizontal="right" vertical="top"/>
    </xf>
    <xf numFmtId="0" fontId="28" fillId="4" borderId="0" xfId="11" applyNumberFormat="1" applyFont="1" applyFill="1" applyBorder="1" applyAlignment="1" applyProtection="1">
      <alignment horizontal="center"/>
    </xf>
    <xf numFmtId="0" fontId="29" fillId="4" borderId="0" xfId="11" applyNumberFormat="1" applyFont="1" applyFill="1" applyBorder="1" applyAlignment="1" applyProtection="1">
      <alignment horizontal="center" vertical="top"/>
    </xf>
    <xf numFmtId="0" fontId="39" fillId="4" borderId="14" xfId="11" applyNumberFormat="1" applyFont="1" applyFill="1" applyBorder="1" applyAlignment="1" applyProtection="1">
      <alignment horizontal="right" vertical="top"/>
    </xf>
    <xf numFmtId="0" fontId="27" fillId="7" borderId="16" xfId="11" applyNumberFormat="1" applyFont="1" applyFill="1" applyBorder="1" applyAlignment="1" applyProtection="1">
      <alignment horizontal="center" vertical="center" wrapText="1"/>
    </xf>
    <xf numFmtId="3" fontId="27" fillId="4" borderId="19" xfId="11" applyNumberFormat="1" applyFont="1" applyFill="1" applyBorder="1" applyAlignment="1" applyProtection="1">
      <alignment horizontal="right" vertical="top"/>
    </xf>
    <xf numFmtId="3" fontId="27" fillId="4" borderId="20" xfId="11" applyNumberFormat="1" applyFont="1" applyFill="1" applyBorder="1" applyAlignment="1" applyProtection="1">
      <alignment horizontal="right" vertical="top"/>
    </xf>
    <xf numFmtId="3" fontId="29" fillId="4" borderId="19" xfId="11" applyNumberFormat="1" applyFont="1" applyFill="1" applyBorder="1" applyAlignment="1" applyProtection="1">
      <alignment horizontal="right" vertical="top"/>
    </xf>
    <xf numFmtId="3" fontId="29" fillId="4" borderId="20" xfId="11" applyNumberFormat="1" applyFont="1" applyFill="1" applyBorder="1" applyAlignment="1" applyProtection="1">
      <alignment horizontal="right" vertical="top"/>
    </xf>
    <xf numFmtId="171" fontId="29" fillId="4" borderId="19" xfId="11" applyNumberFormat="1" applyFont="1" applyFill="1" applyBorder="1" applyAlignment="1" applyProtection="1">
      <alignment horizontal="right" vertical="top"/>
    </xf>
    <xf numFmtId="4" fontId="29" fillId="4" borderId="20" xfId="11" applyNumberFormat="1" applyFont="1" applyFill="1" applyBorder="1" applyAlignment="1" applyProtection="1">
      <alignment horizontal="right" vertical="top"/>
    </xf>
    <xf numFmtId="3" fontId="29" fillId="4" borderId="23" xfId="11" applyNumberFormat="1" applyFont="1" applyFill="1" applyBorder="1" applyAlignment="1" applyProtection="1">
      <alignment horizontal="right" vertical="top"/>
    </xf>
    <xf numFmtId="0" fontId="39" fillId="4" borderId="0" xfId="11" applyNumberFormat="1" applyFont="1" applyFill="1" applyBorder="1" applyAlignment="1" applyProtection="1">
      <alignment horizontal="center"/>
    </xf>
    <xf numFmtId="0" fontId="29" fillId="0" borderId="0" xfId="11" applyFont="1">
      <alignment vertical="center"/>
    </xf>
    <xf numFmtId="0" fontId="29" fillId="4" borderId="14" xfId="11" applyNumberFormat="1" applyFont="1" applyFill="1" applyBorder="1" applyAlignment="1" applyProtection="1">
      <alignment horizontal="left" vertical="top"/>
    </xf>
    <xf numFmtId="0" fontId="29" fillId="4" borderId="14" xfId="11" applyNumberFormat="1" applyFont="1" applyFill="1" applyBorder="1" applyAlignment="1" applyProtection="1">
      <alignment horizontal="right" vertical="top"/>
    </xf>
    <xf numFmtId="0" fontId="29" fillId="4" borderId="18" xfId="11" applyNumberFormat="1" applyFont="1" applyFill="1" applyBorder="1" applyAlignment="1" applyProtection="1">
      <alignment horizontal="center" vertical="center"/>
    </xf>
    <xf numFmtId="0" fontId="29" fillId="4" borderId="19" xfId="11" applyNumberFormat="1" applyFont="1" applyFill="1" applyBorder="1" applyAlignment="1" applyProtection="1">
      <alignment horizontal="left" vertical="center" wrapText="1"/>
    </xf>
    <xf numFmtId="0" fontId="29" fillId="4" borderId="19" xfId="11" applyNumberFormat="1" applyFont="1" applyFill="1" applyBorder="1" applyAlignment="1" applyProtection="1">
      <alignment horizontal="center" vertical="center"/>
    </xf>
    <xf numFmtId="171" fontId="29" fillId="4" borderId="20" xfId="11" applyNumberFormat="1" applyFont="1" applyFill="1" applyBorder="1" applyAlignment="1" applyProtection="1">
      <alignment horizontal="right" vertical="center"/>
    </xf>
    <xf numFmtId="0" fontId="29" fillId="4" borderId="21" xfId="11" applyNumberFormat="1" applyFont="1" applyFill="1" applyBorder="1" applyAlignment="1" applyProtection="1">
      <alignment horizontal="center" vertical="center"/>
    </xf>
    <xf numFmtId="0" fontId="29" fillId="4" borderId="22" xfId="11" applyNumberFormat="1" applyFont="1" applyFill="1" applyBorder="1" applyAlignment="1" applyProtection="1">
      <alignment horizontal="left" vertical="center" wrapText="1"/>
    </xf>
    <xf numFmtId="170" fontId="27" fillId="4" borderId="19" xfId="11" applyNumberFormat="1" applyFont="1" applyFill="1" applyBorder="1" applyAlignment="1" applyProtection="1">
      <alignment horizontal="right" vertical="top"/>
    </xf>
    <xf numFmtId="170" fontId="27" fillId="4" borderId="20" xfId="11" applyNumberFormat="1" applyFont="1" applyFill="1" applyBorder="1" applyAlignment="1" applyProtection="1">
      <alignment horizontal="right" vertical="top"/>
    </xf>
    <xf numFmtId="4" fontId="27" fillId="4" borderId="21" xfId="11" applyNumberFormat="1" applyFont="1" applyFill="1" applyBorder="1" applyAlignment="1" applyProtection="1">
      <alignment horizontal="center" vertical="top"/>
    </xf>
    <xf numFmtId="4" fontId="27" fillId="4" borderId="22" xfId="11" applyNumberFormat="1" applyFont="1" applyFill="1" applyBorder="1" applyAlignment="1" applyProtection="1">
      <alignment horizontal="left" vertical="top" wrapText="1"/>
    </xf>
    <xf numFmtId="4" fontId="27" fillId="4" borderId="22" xfId="11" applyNumberFormat="1" applyFont="1" applyFill="1" applyBorder="1" applyAlignment="1" applyProtection="1">
      <alignment horizontal="center" vertical="top"/>
    </xf>
    <xf numFmtId="4" fontId="27" fillId="4" borderId="22" xfId="11" applyNumberFormat="1" applyFont="1" applyFill="1" applyBorder="1" applyAlignment="1" applyProtection="1">
      <alignment horizontal="right" vertical="top"/>
    </xf>
    <xf numFmtId="0" fontId="28" fillId="4" borderId="0" xfId="11" applyNumberFormat="1" applyFont="1" applyFill="1" applyBorder="1" applyAlignment="1" applyProtection="1">
      <alignment horizontal="center" vertical="center"/>
    </xf>
    <xf numFmtId="0" fontId="27" fillId="7" borderId="28" xfId="11" applyNumberFormat="1" applyFont="1" applyFill="1" applyBorder="1" applyAlignment="1" applyProtection="1">
      <alignment horizontal="center" vertical="center" wrapText="1"/>
    </xf>
    <xf numFmtId="0" fontId="27" fillId="7" borderId="29" xfId="11" applyNumberFormat="1" applyFont="1" applyFill="1" applyBorder="1" applyAlignment="1" applyProtection="1">
      <alignment horizontal="center" vertical="center" wrapText="1"/>
    </xf>
    <xf numFmtId="0" fontId="27" fillId="4" borderId="18" xfId="11" applyNumberFormat="1" applyFont="1" applyFill="1" applyBorder="1" applyAlignment="1" applyProtection="1">
      <alignment horizontal="left" vertical="top" wrapText="1"/>
    </xf>
    <xf numFmtId="0" fontId="27" fillId="4" borderId="19" xfId="11" applyNumberFormat="1" applyFont="1" applyFill="1" applyBorder="1" applyAlignment="1" applyProtection="1">
      <alignment horizontal="center" vertical="top"/>
    </xf>
    <xf numFmtId="0" fontId="27" fillId="4" borderId="19" xfId="11" applyNumberFormat="1" applyFont="1" applyFill="1" applyBorder="1" applyAlignment="1" applyProtection="1">
      <alignment horizontal="center" vertical="center"/>
    </xf>
    <xf numFmtId="0" fontId="28" fillId="4" borderId="18" xfId="11" applyNumberFormat="1" applyFont="1" applyFill="1" applyBorder="1" applyAlignment="1" applyProtection="1">
      <alignment horizontal="left" vertical="top" wrapText="1"/>
    </xf>
    <xf numFmtId="0" fontId="28" fillId="4" borderId="19" xfId="11" applyNumberFormat="1" applyFont="1" applyFill="1" applyBorder="1" applyAlignment="1" applyProtection="1">
      <alignment horizontal="center" vertical="top"/>
    </xf>
    <xf numFmtId="0" fontId="28" fillId="4" borderId="19" xfId="11" applyNumberFormat="1" applyFont="1" applyFill="1" applyBorder="1" applyAlignment="1" applyProtection="1">
      <alignment horizontal="center" vertical="center"/>
    </xf>
    <xf numFmtId="0" fontId="27" fillId="4" borderId="21" xfId="11" applyNumberFormat="1" applyFont="1" applyFill="1" applyBorder="1" applyAlignment="1" applyProtection="1">
      <alignment horizontal="left" vertical="top" wrapText="1"/>
    </xf>
    <xf numFmtId="0" fontId="27" fillId="4" borderId="22" xfId="11" applyNumberFormat="1" applyFont="1" applyFill="1" applyBorder="1" applyAlignment="1" applyProtection="1">
      <alignment horizontal="center" vertical="top"/>
    </xf>
    <xf numFmtId="0" fontId="27" fillId="4" borderId="22" xfId="11" applyNumberFormat="1" applyFont="1" applyFill="1" applyBorder="1" applyAlignment="1" applyProtection="1">
      <alignment horizontal="center" vertical="center"/>
    </xf>
    <xf numFmtId="170" fontId="27" fillId="4" borderId="22" xfId="11" applyNumberFormat="1" applyFont="1" applyFill="1" applyBorder="1" applyAlignment="1" applyProtection="1">
      <alignment horizontal="right" vertical="top"/>
    </xf>
    <xf numFmtId="170" fontId="27" fillId="4" borderId="23" xfId="11" applyNumberFormat="1" applyFont="1" applyFill="1" applyBorder="1" applyAlignment="1" applyProtection="1">
      <alignment horizontal="right" vertical="top"/>
    </xf>
    <xf numFmtId="0" fontId="28" fillId="4" borderId="0" xfId="11" applyNumberFormat="1" applyFont="1" applyFill="1" applyBorder="1" applyAlignment="1" applyProtection="1">
      <alignment horizontal="center" vertical="top"/>
    </xf>
    <xf numFmtId="172" fontId="27" fillId="4" borderId="18" xfId="11" applyNumberFormat="1" applyFont="1" applyFill="1" applyBorder="1" applyAlignment="1" applyProtection="1">
      <alignment horizontal="center" vertical="top"/>
    </xf>
    <xf numFmtId="172" fontId="27" fillId="4" borderId="19" xfId="11" applyNumberFormat="1" applyFont="1" applyFill="1" applyBorder="1" applyAlignment="1" applyProtection="1">
      <alignment horizontal="left" vertical="top" wrapText="1"/>
    </xf>
    <xf numFmtId="172" fontId="27" fillId="4" borderId="19" xfId="11" applyNumberFormat="1" applyFont="1" applyFill="1" applyBorder="1" applyAlignment="1" applyProtection="1">
      <alignment horizontal="center" vertical="top"/>
    </xf>
    <xf numFmtId="172" fontId="28" fillId="4" borderId="18" xfId="11" applyNumberFormat="1" applyFont="1" applyFill="1" applyBorder="1" applyAlignment="1" applyProtection="1">
      <alignment horizontal="center" vertical="top"/>
    </xf>
    <xf numFmtId="172" fontId="28" fillId="4" borderId="19" xfId="11" applyNumberFormat="1" applyFont="1" applyFill="1" applyBorder="1" applyAlignment="1" applyProtection="1">
      <alignment horizontal="left" vertical="top" wrapText="1"/>
    </xf>
    <xf numFmtId="172" fontId="28" fillId="4" borderId="19" xfId="11" applyNumberFormat="1" applyFont="1" applyFill="1" applyBorder="1" applyAlignment="1" applyProtection="1">
      <alignment horizontal="center" vertical="top"/>
    </xf>
    <xf numFmtId="4" fontId="27" fillId="4" borderId="18" xfId="11" applyNumberFormat="1" applyFont="1" applyFill="1" applyBorder="1" applyAlignment="1" applyProtection="1">
      <alignment horizontal="center" vertical="top"/>
    </xf>
    <xf numFmtId="4" fontId="27" fillId="4" borderId="19" xfId="11" applyNumberFormat="1" applyFont="1" applyFill="1" applyBorder="1" applyAlignment="1" applyProtection="1">
      <alignment horizontal="left" vertical="top" wrapText="1"/>
    </xf>
    <xf numFmtId="4" fontId="27" fillId="4" borderId="19" xfId="11" applyNumberFormat="1" applyFont="1" applyFill="1" applyBorder="1" applyAlignment="1" applyProtection="1">
      <alignment horizontal="center" vertical="top"/>
    </xf>
    <xf numFmtId="43" fontId="29" fillId="4" borderId="20" xfId="2" applyFont="1" applyFill="1" applyBorder="1" applyAlignment="1" applyProtection="1">
      <alignment horizontal="right" vertical="top"/>
    </xf>
    <xf numFmtId="171" fontId="27" fillId="4" borderId="20" xfId="11" applyNumberFormat="1" applyFont="1" applyFill="1" applyBorder="1" applyAlignment="1" applyProtection="1">
      <alignment horizontal="right" vertical="center"/>
    </xf>
    <xf numFmtId="171" fontId="27" fillId="4" borderId="23" xfId="11" applyNumberFormat="1" applyFont="1" applyFill="1" applyBorder="1" applyAlignment="1" applyProtection="1">
      <alignment horizontal="right" vertical="center"/>
    </xf>
    <xf numFmtId="173" fontId="29" fillId="4" borderId="20" xfId="19" applyNumberFormat="1" applyFont="1" applyFill="1" applyBorder="1" applyAlignment="1" applyProtection="1">
      <alignment horizontal="right" vertical="top"/>
    </xf>
    <xf numFmtId="0" fontId="29" fillId="4" borderId="18" xfId="11" applyNumberFormat="1" applyFont="1" applyFill="1" applyBorder="1" applyAlignment="1" applyProtection="1">
      <alignment horizontal="left" vertical="top" wrapText="1"/>
    </xf>
    <xf numFmtId="0" fontId="28" fillId="4" borderId="0" xfId="11" applyNumberFormat="1" applyFont="1" applyFill="1" applyBorder="1" applyAlignment="1" applyProtection="1">
      <alignment horizontal="right" vertical="top"/>
    </xf>
    <xf numFmtId="172" fontId="29" fillId="4" borderId="18" xfId="11" applyNumberFormat="1" applyFont="1" applyFill="1" applyBorder="1" applyAlignment="1" applyProtection="1">
      <alignment horizontal="center" vertical="top"/>
    </xf>
    <xf numFmtId="172" fontId="29" fillId="4" borderId="19" xfId="11" applyNumberFormat="1" applyFont="1" applyFill="1" applyBorder="1" applyAlignment="1" applyProtection="1">
      <alignment horizontal="left" vertical="top" wrapText="1"/>
    </xf>
    <xf numFmtId="172" fontId="29" fillId="4" borderId="19" xfId="11" applyNumberFormat="1" applyFont="1" applyFill="1" applyBorder="1" applyAlignment="1" applyProtection="1">
      <alignment horizontal="center" vertical="top"/>
    </xf>
    <xf numFmtId="172" fontId="29" fillId="4" borderId="21" xfId="11" applyNumberFormat="1" applyFont="1" applyFill="1" applyBorder="1" applyAlignment="1" applyProtection="1">
      <alignment horizontal="center" vertical="top"/>
    </xf>
    <xf numFmtId="172" fontId="29" fillId="4" borderId="22" xfId="11" applyNumberFormat="1" applyFont="1" applyFill="1" applyBorder="1" applyAlignment="1" applyProtection="1">
      <alignment horizontal="left" vertical="top" wrapText="1"/>
    </xf>
    <xf numFmtId="172" fontId="29" fillId="4" borderId="22" xfId="11" applyNumberFormat="1" applyFont="1" applyFill="1" applyBorder="1" applyAlignment="1" applyProtection="1">
      <alignment horizontal="center" vertical="top"/>
    </xf>
    <xf numFmtId="0" fontId="29" fillId="0" borderId="0" xfId="11" applyFont="1" applyAlignment="1">
      <alignment vertical="top"/>
    </xf>
    <xf numFmtId="0" fontId="27" fillId="4" borderId="0" xfId="11" applyNumberFormat="1" applyFont="1" applyFill="1" applyBorder="1" applyAlignment="1" applyProtection="1">
      <alignment vertical="top"/>
    </xf>
    <xf numFmtId="0" fontId="28" fillId="4" borderId="0" xfId="11" applyNumberFormat="1" applyFont="1" applyFill="1" applyBorder="1" applyAlignment="1" applyProtection="1">
      <alignment vertical="center"/>
    </xf>
    <xf numFmtId="0" fontId="22" fillId="0" borderId="0" xfId="11" applyFont="1" applyAlignment="1">
      <alignment vertical="top"/>
    </xf>
    <xf numFmtId="0" fontId="27" fillId="4" borderId="0" xfId="11" applyNumberFormat="1" applyFont="1" applyFill="1" applyBorder="1" applyAlignment="1" applyProtection="1">
      <alignment horizontal="center" vertical="top" wrapText="1"/>
    </xf>
    <xf numFmtId="0" fontId="27" fillId="7" borderId="17" xfId="11" applyNumberFormat="1" applyFont="1" applyFill="1" applyBorder="1" applyAlignment="1" applyProtection="1">
      <alignment vertical="center" wrapText="1"/>
    </xf>
    <xf numFmtId="170" fontId="27" fillId="4" borderId="32" xfId="11" applyNumberFormat="1" applyFont="1" applyFill="1" applyBorder="1" applyAlignment="1" applyProtection="1">
      <alignment vertical="top"/>
    </xf>
    <xf numFmtId="170" fontId="27" fillId="4" borderId="31" xfId="11" applyNumberFormat="1" applyFont="1" applyFill="1" applyBorder="1" applyAlignment="1" applyProtection="1">
      <alignment vertical="top"/>
    </xf>
    <xf numFmtId="170" fontId="29" fillId="4" borderId="31" xfId="11" applyNumberFormat="1" applyFont="1" applyFill="1" applyBorder="1" applyAlignment="1" applyProtection="1">
      <alignment vertical="top"/>
    </xf>
    <xf numFmtId="4" fontId="27" fillId="4" borderId="30" xfId="11" applyNumberFormat="1" applyFont="1" applyFill="1" applyBorder="1" applyAlignment="1" applyProtection="1">
      <alignment vertical="top"/>
    </xf>
    <xf numFmtId="0" fontId="27" fillId="4" borderId="0" xfId="11" applyNumberFormat="1" applyFont="1" applyFill="1" applyBorder="1" applyAlignment="1" applyProtection="1">
      <alignment vertical="top" wrapText="1"/>
    </xf>
    <xf numFmtId="0" fontId="27" fillId="4" borderId="21" xfId="11" applyNumberFormat="1" applyFont="1" applyFill="1" applyBorder="1" applyAlignment="1" applyProtection="1">
      <alignment horizontal="center" vertical="top"/>
    </xf>
    <xf numFmtId="0" fontId="27" fillId="4" borderId="22" xfId="11" applyNumberFormat="1" applyFont="1" applyFill="1" applyBorder="1" applyAlignment="1" applyProtection="1">
      <alignment horizontal="left" vertical="top" wrapText="1"/>
    </xf>
    <xf numFmtId="171" fontId="27" fillId="4" borderId="23" xfId="11" applyNumberFormat="1" applyFont="1" applyFill="1" applyBorder="1" applyAlignment="1" applyProtection="1">
      <alignment horizontal="right" vertical="top"/>
    </xf>
    <xf numFmtId="0" fontId="40" fillId="0" borderId="0" xfId="11" applyFont="1">
      <alignment vertical="center"/>
    </xf>
    <xf numFmtId="168" fontId="29" fillId="4" borderId="19" xfId="2" applyNumberFormat="1" applyFont="1" applyFill="1" applyBorder="1" applyAlignment="1" applyProtection="1">
      <alignment horizontal="right" vertical="top"/>
    </xf>
    <xf numFmtId="3" fontId="22" fillId="0" borderId="0" xfId="11" applyNumberFormat="1" applyFont="1">
      <alignment vertical="center"/>
    </xf>
    <xf numFmtId="171" fontId="29" fillId="3" borderId="19" xfId="11" applyNumberFormat="1" applyFont="1" applyFill="1" applyBorder="1" applyAlignment="1" applyProtection="1">
      <alignment horizontal="right" vertical="top"/>
    </xf>
    <xf numFmtId="3" fontId="29" fillId="3" borderId="22" xfId="11" applyNumberFormat="1" applyFont="1" applyFill="1" applyBorder="1" applyAlignment="1" applyProtection="1">
      <alignment horizontal="right" vertical="top"/>
    </xf>
    <xf numFmtId="0" fontId="29" fillId="4" borderId="19" xfId="11" applyNumberFormat="1" applyFont="1" applyFill="1" applyBorder="1" applyAlignment="1" applyProtection="1">
      <alignment horizontal="left" vertical="top" wrapText="1"/>
    </xf>
    <xf numFmtId="170" fontId="41" fillId="4" borderId="19" xfId="11" applyNumberFormat="1" applyFont="1" applyFill="1" applyBorder="1" applyAlignment="1" applyProtection="1">
      <alignment horizontal="center" vertical="top"/>
    </xf>
    <xf numFmtId="170" fontId="42" fillId="4" borderId="19" xfId="11" applyNumberFormat="1" applyFont="1" applyFill="1" applyBorder="1" applyAlignment="1" applyProtection="1">
      <alignment horizontal="center" vertical="top"/>
    </xf>
    <xf numFmtId="170" fontId="43" fillId="4" borderId="19" xfId="11" applyNumberFormat="1" applyFont="1" applyFill="1" applyBorder="1" applyAlignment="1" applyProtection="1">
      <alignment horizontal="center" vertical="top"/>
    </xf>
    <xf numFmtId="170" fontId="42" fillId="4" borderId="22" xfId="11" applyNumberFormat="1" applyFont="1" applyFill="1" applyBorder="1" applyAlignment="1" applyProtection="1">
      <alignment horizontal="center" vertical="top"/>
    </xf>
    <xf numFmtId="0" fontId="42" fillId="4" borderId="19" xfId="11" applyNumberFormat="1" applyFont="1" applyFill="1" applyBorder="1" applyAlignment="1" applyProtection="1">
      <alignment horizontal="center" vertical="center"/>
    </xf>
    <xf numFmtId="0" fontId="42" fillId="4" borderId="19" xfId="11" quotePrefix="1" applyNumberFormat="1" applyFont="1" applyFill="1" applyBorder="1" applyAlignment="1" applyProtection="1">
      <alignment horizontal="center" vertical="center"/>
    </xf>
    <xf numFmtId="0" fontId="42" fillId="4" borderId="22" xfId="11" applyNumberFormat="1" applyFont="1" applyFill="1" applyBorder="1" applyAlignment="1" applyProtection="1">
      <alignment horizontal="center" vertical="center"/>
    </xf>
    <xf numFmtId="0" fontId="42" fillId="4" borderId="19" xfId="11" applyNumberFormat="1" applyFont="1" applyFill="1" applyBorder="1" applyAlignment="1" applyProtection="1">
      <alignment horizontal="center" vertical="top"/>
    </xf>
    <xf numFmtId="0" fontId="41" fillId="4" borderId="22" xfId="11" applyNumberFormat="1" applyFont="1" applyFill="1" applyBorder="1" applyAlignment="1" applyProtection="1">
      <alignment horizontal="center" vertical="top"/>
    </xf>
    <xf numFmtId="49" fontId="42" fillId="0" borderId="9" xfId="14" applyNumberFormat="1" applyFont="1" applyFill="1" applyBorder="1" applyAlignment="1" applyProtection="1">
      <alignment horizontal="center" vertical="center" wrapText="1"/>
    </xf>
    <xf numFmtId="0" fontId="42" fillId="4" borderId="22" xfId="11" applyNumberFormat="1" applyFont="1" applyFill="1" applyBorder="1" applyAlignment="1" applyProtection="1">
      <alignment horizontal="center" vertical="top"/>
    </xf>
    <xf numFmtId="168" fontId="29" fillId="4" borderId="0" xfId="2" applyNumberFormat="1" applyFont="1" applyFill="1" applyBorder="1" applyAlignment="1" applyProtection="1">
      <alignment horizontal="left" vertical="top"/>
    </xf>
    <xf numFmtId="168" fontId="29" fillId="4" borderId="14" xfId="2" applyNumberFormat="1" applyFont="1" applyFill="1" applyBorder="1" applyAlignment="1" applyProtection="1">
      <alignment horizontal="left" vertical="top"/>
    </xf>
    <xf numFmtId="168" fontId="29" fillId="4" borderId="14" xfId="2" applyNumberFormat="1" applyFont="1" applyFill="1" applyBorder="1" applyAlignment="1" applyProtection="1">
      <alignment horizontal="right" vertical="top"/>
    </xf>
    <xf numFmtId="168" fontId="27" fillId="7" borderId="16" xfId="2" applyNumberFormat="1" applyFont="1" applyFill="1" applyBorder="1" applyAlignment="1" applyProtection="1">
      <alignment horizontal="center" vertical="center" wrapText="1"/>
    </xf>
    <xf numFmtId="168" fontId="27" fillId="7" borderId="17" xfId="2" applyNumberFormat="1" applyFont="1" applyFill="1" applyBorder="1" applyAlignment="1" applyProtection="1">
      <alignment horizontal="center" vertical="center" wrapText="1"/>
    </xf>
    <xf numFmtId="168" fontId="27" fillId="4" borderId="19" xfId="2" applyNumberFormat="1" applyFont="1" applyFill="1" applyBorder="1" applyAlignment="1" applyProtection="1">
      <alignment horizontal="right" vertical="top"/>
    </xf>
    <xf numFmtId="168" fontId="27" fillId="4" borderId="20" xfId="2" applyNumberFormat="1" applyFont="1" applyFill="1" applyBorder="1" applyAlignment="1" applyProtection="1">
      <alignment horizontal="right" vertical="top"/>
    </xf>
    <xf numFmtId="168" fontId="29" fillId="4" borderId="20" xfId="2" applyNumberFormat="1" applyFont="1" applyFill="1" applyBorder="1" applyAlignment="1" applyProtection="1">
      <alignment horizontal="right" vertical="top"/>
    </xf>
    <xf numFmtId="168" fontId="28" fillId="4" borderId="19" xfId="2" applyNumberFormat="1" applyFont="1" applyFill="1" applyBorder="1" applyAlignment="1" applyProtection="1">
      <alignment horizontal="right" vertical="top"/>
    </xf>
    <xf numFmtId="168" fontId="28" fillId="4" borderId="20" xfId="2" applyNumberFormat="1" applyFont="1" applyFill="1" applyBorder="1" applyAlignment="1" applyProtection="1">
      <alignment horizontal="right" vertical="top"/>
    </xf>
    <xf numFmtId="168" fontId="29" fillId="4" borderId="22" xfId="2" applyNumberFormat="1" applyFont="1" applyFill="1" applyBorder="1" applyAlignment="1" applyProtection="1">
      <alignment horizontal="right" vertical="top"/>
    </xf>
    <xf numFmtId="168" fontId="29" fillId="4" borderId="23" xfId="2" applyNumberFormat="1" applyFont="1" applyFill="1" applyBorder="1" applyAlignment="1" applyProtection="1">
      <alignment horizontal="right" vertical="top"/>
    </xf>
    <xf numFmtId="168" fontId="29" fillId="0" borderId="0" xfId="2" applyNumberFormat="1" applyFont="1" applyAlignment="1">
      <alignment vertical="center"/>
    </xf>
    <xf numFmtId="0" fontId="29" fillId="4" borderId="0" xfId="11" applyNumberFormat="1" applyFont="1" applyFill="1" applyBorder="1" applyAlignment="1" applyProtection="1">
      <alignment vertical="top"/>
    </xf>
    <xf numFmtId="168" fontId="27" fillId="4" borderId="19" xfId="2" applyNumberFormat="1" applyFont="1" applyFill="1" applyBorder="1" applyAlignment="1" applyProtection="1">
      <alignment horizontal="right" vertical="center"/>
    </xf>
    <xf numFmtId="168" fontId="29" fillId="4" borderId="19" xfId="2" applyNumberFormat="1" applyFont="1" applyFill="1" applyBorder="1" applyAlignment="1" applyProtection="1">
      <alignment horizontal="right" vertical="center"/>
    </xf>
    <xf numFmtId="168" fontId="28" fillId="4" borderId="19" xfId="2" applyNumberFormat="1" applyFont="1" applyFill="1" applyBorder="1" applyAlignment="1" applyProtection="1">
      <alignment horizontal="right" vertical="center"/>
    </xf>
    <xf numFmtId="43" fontId="27" fillId="4" borderId="22" xfId="2" applyNumberFormat="1" applyFont="1" applyFill="1" applyBorder="1" applyAlignment="1" applyProtection="1">
      <alignment horizontal="right" vertical="center"/>
    </xf>
    <xf numFmtId="0" fontId="5" fillId="3" borderId="7" xfId="0" applyFont="1" applyFill="1" applyBorder="1" applyAlignment="1">
      <alignment horizontal="left" vertical="center" wrapText="1"/>
    </xf>
    <xf numFmtId="0" fontId="5" fillId="3" borderId="0" xfId="0" applyFont="1" applyFill="1" applyBorder="1" applyAlignment="1">
      <alignment horizontal="left" vertical="center" wrapText="1"/>
    </xf>
    <xf numFmtId="0" fontId="3" fillId="2" borderId="0" xfId="0" applyFont="1" applyFill="1" applyBorder="1" applyAlignment="1">
      <alignment horizontal="left"/>
    </xf>
    <xf numFmtId="0" fontId="5" fillId="3" borderId="1" xfId="0" applyFont="1" applyFill="1" applyBorder="1" applyAlignment="1">
      <alignment horizontal="left" wrapText="1"/>
    </xf>
    <xf numFmtId="0" fontId="5" fillId="3" borderId="2" xfId="0" applyFont="1" applyFill="1" applyBorder="1" applyAlignment="1">
      <alignment horizontal="left"/>
    </xf>
    <xf numFmtId="0" fontId="5" fillId="3" borderId="3" xfId="0" applyFont="1" applyFill="1" applyBorder="1" applyAlignment="1">
      <alignment horizontal="left"/>
    </xf>
    <xf numFmtId="0" fontId="5" fillId="3" borderId="4" xfId="0" applyFont="1" applyFill="1" applyBorder="1" applyAlignment="1">
      <alignment horizontal="left" wrapText="1"/>
    </xf>
    <xf numFmtId="0" fontId="5" fillId="3" borderId="5" xfId="0" applyFont="1" applyFill="1" applyBorder="1" applyAlignment="1">
      <alignment horizontal="left"/>
    </xf>
    <xf numFmtId="0" fontId="5" fillId="3" borderId="6" xfId="0" applyFont="1" applyFill="1" applyBorder="1" applyAlignment="1">
      <alignment horizontal="left"/>
    </xf>
    <xf numFmtId="0" fontId="3" fillId="2" borderId="0" xfId="0" applyFont="1" applyFill="1" applyAlignment="1">
      <alignment horizontal="left"/>
    </xf>
    <xf numFmtId="0" fontId="3" fillId="3" borderId="1" xfId="0" applyFont="1" applyFill="1" applyBorder="1" applyAlignment="1">
      <alignment horizontal="left" vertical="center" wrapText="1"/>
    </xf>
    <xf numFmtId="0" fontId="3" fillId="3" borderId="2" xfId="0" applyFont="1" applyFill="1" applyBorder="1" applyAlignment="1">
      <alignment horizontal="left" vertical="center" wrapText="1"/>
    </xf>
    <xf numFmtId="0" fontId="3" fillId="3" borderId="7" xfId="0" applyFont="1" applyFill="1" applyBorder="1" applyAlignment="1">
      <alignment horizontal="left" vertical="center" wrapText="1"/>
    </xf>
    <xf numFmtId="0" fontId="3" fillId="3" borderId="0" xfId="0" applyFont="1" applyFill="1" applyBorder="1" applyAlignment="1">
      <alignment horizontal="left" vertical="center" wrapText="1"/>
    </xf>
    <xf numFmtId="164" fontId="8" fillId="4" borderId="5" xfId="3" applyNumberFormat="1" applyFont="1" applyFill="1" applyBorder="1" applyAlignment="1" applyProtection="1">
      <alignment horizontal="left" vertical="top"/>
    </xf>
    <xf numFmtId="0" fontId="10" fillId="3" borderId="1" xfId="0" applyFont="1" applyFill="1" applyBorder="1" applyAlignment="1">
      <alignment horizontal="center" vertical="center"/>
    </xf>
    <xf numFmtId="0" fontId="10" fillId="3" borderId="2" xfId="0" applyFont="1" applyFill="1" applyBorder="1" applyAlignment="1">
      <alignment horizontal="center" vertical="center"/>
    </xf>
    <xf numFmtId="0" fontId="10" fillId="3" borderId="3" xfId="0" applyFont="1" applyFill="1" applyBorder="1" applyAlignment="1">
      <alignment horizontal="center" vertical="center"/>
    </xf>
    <xf numFmtId="0" fontId="12" fillId="3" borderId="7" xfId="4" applyFont="1" applyFill="1" applyBorder="1" applyAlignment="1">
      <alignment horizontal="center" vertical="center"/>
    </xf>
    <xf numFmtId="0" fontId="12" fillId="3" borderId="0" xfId="4" applyFont="1" applyFill="1" applyBorder="1" applyAlignment="1">
      <alignment horizontal="center" vertical="center"/>
    </xf>
    <xf numFmtId="0" fontId="12" fillId="3" borderId="8" xfId="4" applyFont="1" applyFill="1" applyBorder="1" applyAlignment="1">
      <alignment horizontal="center" vertical="center"/>
    </xf>
    <xf numFmtId="0" fontId="5" fillId="3" borderId="4" xfId="0" applyFont="1" applyFill="1" applyBorder="1" applyAlignment="1">
      <alignment horizontal="left"/>
    </xf>
    <xf numFmtId="0" fontId="5" fillId="2" borderId="9" xfId="0" applyFont="1" applyFill="1" applyBorder="1" applyAlignment="1">
      <alignment horizontal="left" vertical="center"/>
    </xf>
    <xf numFmtId="0" fontId="13" fillId="3" borderId="7" xfId="4" applyFont="1" applyFill="1" applyBorder="1" applyAlignment="1">
      <alignment horizontal="center" vertical="center"/>
    </xf>
    <xf numFmtId="0" fontId="13" fillId="3" borderId="0" xfId="4" applyFont="1" applyFill="1" applyBorder="1" applyAlignment="1">
      <alignment horizontal="center" vertical="center"/>
    </xf>
    <xf numFmtId="0" fontId="13" fillId="3" borderId="8" xfId="4" applyFont="1" applyFill="1" applyBorder="1" applyAlignment="1">
      <alignment horizontal="center" vertical="center"/>
    </xf>
    <xf numFmtId="0" fontId="14" fillId="3" borderId="7" xfId="4" applyFont="1" applyFill="1" applyBorder="1" applyAlignment="1">
      <alignment horizontal="center" vertical="center"/>
    </xf>
    <xf numFmtId="0" fontId="14" fillId="3" borderId="0" xfId="4" applyFont="1" applyFill="1" applyBorder="1" applyAlignment="1">
      <alignment horizontal="center" vertical="center"/>
    </xf>
    <xf numFmtId="0" fontId="14" fillId="3" borderId="8" xfId="4" applyFont="1" applyFill="1" applyBorder="1" applyAlignment="1">
      <alignment horizontal="center" vertical="center"/>
    </xf>
    <xf numFmtId="0" fontId="14" fillId="3" borderId="4" xfId="4" applyFont="1" applyFill="1" applyBorder="1" applyAlignment="1">
      <alignment horizontal="center" vertical="center"/>
    </xf>
    <xf numFmtId="0" fontId="14" fillId="3" borderId="5" xfId="4" applyFont="1" applyFill="1" applyBorder="1" applyAlignment="1">
      <alignment horizontal="center" vertical="center"/>
    </xf>
    <xf numFmtId="0" fontId="14" fillId="3" borderId="6" xfId="4" applyFont="1" applyFill="1" applyBorder="1" applyAlignment="1">
      <alignment horizontal="center" vertical="center"/>
    </xf>
    <xf numFmtId="0" fontId="3" fillId="2" borderId="9" xfId="0" applyFont="1" applyFill="1" applyBorder="1" applyAlignment="1">
      <alignment horizontal="left" vertical="center"/>
    </xf>
    <xf numFmtId="0" fontId="3" fillId="2" borderId="9" xfId="0" applyFont="1" applyFill="1" applyBorder="1" applyAlignment="1">
      <alignment horizontal="left" wrapText="1"/>
    </xf>
    <xf numFmtId="0" fontId="27" fillId="4" borderId="0" xfId="11" applyNumberFormat="1" applyFont="1" applyFill="1" applyBorder="1" applyAlignment="1" applyProtection="1">
      <alignment horizontal="left" vertical="top"/>
    </xf>
    <xf numFmtId="0" fontId="29" fillId="4" borderId="0" xfId="11" applyNumberFormat="1" applyFont="1" applyFill="1" applyBorder="1" applyAlignment="1" applyProtection="1">
      <alignment horizontal="left" vertical="top"/>
    </xf>
    <xf numFmtId="0" fontId="27" fillId="4" borderId="0" xfId="11" applyNumberFormat="1" applyFont="1" applyFill="1" applyBorder="1" applyAlignment="1" applyProtection="1">
      <alignment horizontal="center" vertical="center" wrapText="1"/>
    </xf>
    <xf numFmtId="0" fontId="26" fillId="4" borderId="0" xfId="11" applyNumberFormat="1" applyFont="1" applyFill="1" applyBorder="1" applyAlignment="1" applyProtection="1">
      <alignment horizontal="center" vertical="center" wrapText="1"/>
    </xf>
    <xf numFmtId="0" fontId="35" fillId="4" borderId="0" xfId="11" applyNumberFormat="1" applyFont="1" applyFill="1" applyBorder="1" applyAlignment="1" applyProtection="1">
      <alignment horizontal="center" vertical="center" wrapText="1"/>
    </xf>
    <xf numFmtId="0" fontId="29" fillId="4" borderId="0" xfId="11" applyNumberFormat="1" applyFont="1" applyFill="1" applyBorder="1" applyAlignment="1" applyProtection="1">
      <alignment horizontal="center" vertical="top"/>
    </xf>
    <xf numFmtId="0" fontId="27" fillId="4" borderId="0" xfId="11" applyNumberFormat="1" applyFont="1" applyFill="1" applyBorder="1" applyAlignment="1" applyProtection="1">
      <alignment horizontal="center" vertical="center"/>
    </xf>
    <xf numFmtId="14" fontId="27" fillId="4" borderId="0" xfId="11" applyNumberFormat="1" applyFont="1" applyFill="1" applyBorder="1" applyAlignment="1" applyProtection="1">
      <alignment horizontal="left" vertical="top"/>
    </xf>
    <xf numFmtId="15" fontId="29" fillId="4" borderId="0" xfId="11" applyNumberFormat="1" applyFont="1" applyFill="1" applyBorder="1" applyAlignment="1" applyProtection="1">
      <alignment horizontal="left" vertical="top"/>
    </xf>
    <xf numFmtId="0" fontId="27" fillId="4" borderId="0" xfId="11" applyNumberFormat="1" applyFont="1" applyFill="1" applyBorder="1" applyAlignment="1" applyProtection="1">
      <alignment horizontal="left" vertical="top" wrapText="1"/>
    </xf>
    <xf numFmtId="0" fontId="29" fillId="4" borderId="14" xfId="11" applyNumberFormat="1" applyFont="1" applyFill="1" applyBorder="1" applyAlignment="1" applyProtection="1">
      <alignment horizontal="right" vertical="top"/>
    </xf>
    <xf numFmtId="0" fontId="29" fillId="4" borderId="0" xfId="11" applyNumberFormat="1" applyFont="1" applyFill="1" applyBorder="1" applyAlignment="1" applyProtection="1">
      <alignment horizontal="left" vertical="center" wrapText="1"/>
    </xf>
    <xf numFmtId="0" fontId="27" fillId="4" borderId="0" xfId="11" applyNumberFormat="1" applyFont="1" applyFill="1" applyBorder="1" applyAlignment="1" applyProtection="1">
      <alignment horizontal="center" vertical="top"/>
    </xf>
    <xf numFmtId="0" fontId="29" fillId="4" borderId="0" xfId="11" applyNumberFormat="1" applyFont="1" applyFill="1" applyBorder="1" applyAlignment="1" applyProtection="1">
      <alignment horizontal="center" vertical="center"/>
    </xf>
    <xf numFmtId="0" fontId="34" fillId="4" borderId="0" xfId="11" applyNumberFormat="1" applyFont="1" applyFill="1" applyBorder="1" applyAlignment="1" applyProtection="1">
      <alignment horizontal="left" vertical="top"/>
    </xf>
    <xf numFmtId="0" fontId="27" fillId="4" borderId="0" xfId="11" applyNumberFormat="1" applyFont="1" applyFill="1" applyBorder="1" applyAlignment="1" applyProtection="1">
      <alignment horizontal="right" vertical="center" wrapText="1"/>
    </xf>
    <xf numFmtId="0" fontId="29" fillId="4" borderId="0" xfId="11" applyNumberFormat="1" applyFont="1" applyFill="1" applyBorder="1" applyAlignment="1" applyProtection="1">
      <alignment horizontal="left" vertical="center"/>
    </xf>
    <xf numFmtId="0" fontId="27" fillId="4" borderId="0" xfId="11" applyNumberFormat="1" applyFont="1" applyFill="1" applyBorder="1" applyAlignment="1" applyProtection="1">
      <alignment horizontal="left" vertical="center"/>
    </xf>
    <xf numFmtId="14" fontId="27" fillId="4" borderId="0" xfId="11" applyNumberFormat="1" applyFont="1" applyFill="1" applyBorder="1" applyAlignment="1" applyProtection="1">
      <alignment horizontal="left" vertical="center"/>
    </xf>
    <xf numFmtId="15" fontId="29" fillId="4" borderId="0" xfId="11" applyNumberFormat="1" applyFont="1" applyFill="1" applyBorder="1" applyAlignment="1" applyProtection="1">
      <alignment horizontal="left" vertical="center"/>
    </xf>
    <xf numFmtId="0" fontId="27" fillId="4" borderId="0" xfId="11" applyNumberFormat="1" applyFont="1" applyFill="1" applyBorder="1" applyAlignment="1" applyProtection="1">
      <alignment horizontal="left" vertical="center" wrapText="1"/>
    </xf>
    <xf numFmtId="0" fontId="28" fillId="4" borderId="0" xfId="11" applyNumberFormat="1" applyFont="1" applyFill="1" applyBorder="1" applyAlignment="1" applyProtection="1">
      <alignment horizontal="left" vertical="top"/>
    </xf>
    <xf numFmtId="0" fontId="28" fillId="4" borderId="0" xfId="11" applyNumberFormat="1" applyFont="1" applyFill="1" applyBorder="1" applyAlignment="1" applyProtection="1">
      <alignment horizontal="left" vertical="top" wrapText="1"/>
    </xf>
    <xf numFmtId="164" fontId="29" fillId="4" borderId="0" xfId="3" applyNumberFormat="1" applyFont="1" applyFill="1" applyBorder="1" applyAlignment="1" applyProtection="1">
      <alignment horizontal="left" vertical="top"/>
    </xf>
    <xf numFmtId="0" fontId="24" fillId="3" borderId="0" xfId="14" applyFont="1" applyFill="1" applyAlignment="1">
      <alignment horizontal="left"/>
    </xf>
    <xf numFmtId="0" fontId="25" fillId="3" borderId="0" xfId="14" applyFont="1" applyFill="1" applyAlignment="1">
      <alignment horizontal="center" vertical="center" wrapText="1"/>
    </xf>
    <xf numFmtId="0" fontId="26" fillId="3" borderId="0" xfId="14" applyFont="1" applyFill="1" applyAlignment="1">
      <alignment horizontal="center" vertical="center" wrapText="1"/>
    </xf>
    <xf numFmtId="0" fontId="27" fillId="3" borderId="0" xfId="14" applyFont="1" applyFill="1" applyAlignment="1">
      <alignment horizontal="center" vertical="center" wrapText="1"/>
    </xf>
    <xf numFmtId="3" fontId="25" fillId="3" borderId="0" xfId="14" applyNumberFormat="1" applyFont="1" applyFill="1" applyAlignment="1">
      <alignment horizontal="center" vertical="center" wrapText="1"/>
    </xf>
    <xf numFmtId="0" fontId="25" fillId="3" borderId="0" xfId="14" applyFont="1" applyFill="1" applyAlignment="1">
      <alignment horizontal="center" vertical="center"/>
    </xf>
    <xf numFmtId="14" fontId="27" fillId="3" borderId="0" xfId="14" applyNumberFormat="1" applyFont="1" applyFill="1" applyAlignment="1">
      <alignment horizontal="left" vertical="center"/>
    </xf>
    <xf numFmtId="0" fontId="31" fillId="6" borderId="10" xfId="14" applyFont="1" applyFill="1" applyBorder="1" applyAlignment="1">
      <alignment horizontal="center" vertical="center" wrapText="1"/>
    </xf>
    <xf numFmtId="0" fontId="31" fillId="6" borderId="13" xfId="14" applyFont="1" applyFill="1" applyBorder="1" applyAlignment="1">
      <alignment horizontal="center" vertical="center" wrapText="1"/>
    </xf>
    <xf numFmtId="0" fontId="31" fillId="6" borderId="11" xfId="14" applyFont="1" applyFill="1" applyBorder="1" applyAlignment="1">
      <alignment horizontal="center" vertical="center" wrapText="1"/>
    </xf>
    <xf numFmtId="0" fontId="31" fillId="6" borderId="12" xfId="14" applyFont="1" applyFill="1" applyBorder="1" applyAlignment="1">
      <alignment horizontal="center" vertical="center" wrapText="1"/>
    </xf>
    <xf numFmtId="0" fontId="24" fillId="0" borderId="1" xfId="14" applyFont="1" applyBorder="1" applyAlignment="1">
      <alignment horizontal="center" vertical="center" wrapText="1"/>
    </xf>
    <xf numFmtId="0" fontId="24" fillId="0" borderId="2" xfId="14" applyFont="1" applyBorder="1" applyAlignment="1">
      <alignment horizontal="center" vertical="center" wrapText="1"/>
    </xf>
    <xf numFmtId="0" fontId="24" fillId="0" borderId="3" xfId="14" applyFont="1" applyBorder="1" applyAlignment="1">
      <alignment horizontal="center" vertical="center" wrapText="1"/>
    </xf>
    <xf numFmtId="0" fontId="24" fillId="0" borderId="7" xfId="14" applyFont="1" applyBorder="1" applyAlignment="1">
      <alignment horizontal="center" vertical="center" wrapText="1"/>
    </xf>
    <xf numFmtId="0" fontId="24" fillId="0" borderId="0" xfId="14" applyFont="1" applyBorder="1" applyAlignment="1">
      <alignment horizontal="center" vertical="center" wrapText="1"/>
    </xf>
    <xf numFmtId="0" fontId="24" fillId="0" borderId="8" xfId="14" applyFont="1" applyBorder="1" applyAlignment="1">
      <alignment horizontal="center" vertical="center" wrapText="1"/>
    </xf>
    <xf numFmtId="0" fontId="24" fillId="0" borderId="4" xfId="14" applyFont="1" applyBorder="1" applyAlignment="1">
      <alignment horizontal="center" vertical="center" wrapText="1"/>
    </xf>
    <xf numFmtId="0" fontId="24" fillId="0" borderId="5" xfId="14" applyFont="1" applyBorder="1" applyAlignment="1">
      <alignment horizontal="center" vertical="center" wrapText="1"/>
    </xf>
    <xf numFmtId="0" fontId="24" fillId="0" borderId="6" xfId="14" applyFont="1" applyBorder="1" applyAlignment="1">
      <alignment horizontal="center" vertical="center" wrapText="1"/>
    </xf>
    <xf numFmtId="0" fontId="33" fillId="3" borderId="0" xfId="18" applyFont="1" applyFill="1" applyAlignment="1">
      <alignment horizontal="center" vertical="center"/>
    </xf>
    <xf numFmtId="169" fontId="33" fillId="3" borderId="0" xfId="18" applyNumberFormat="1" applyFont="1" applyFill="1" applyAlignment="1">
      <alignment horizontal="center" vertical="center"/>
    </xf>
    <xf numFmtId="0" fontId="31" fillId="6" borderId="9" xfId="14" applyFont="1" applyFill="1" applyBorder="1" applyAlignment="1">
      <alignment horizontal="center" vertical="center" wrapText="1"/>
    </xf>
    <xf numFmtId="0" fontId="33" fillId="6" borderId="10" xfId="14" applyFont="1" applyFill="1" applyBorder="1" applyAlignment="1" applyProtection="1">
      <alignment horizontal="center" vertical="center" wrapText="1"/>
    </xf>
    <xf numFmtId="0" fontId="33" fillId="6" borderId="13" xfId="14" applyFont="1" applyFill="1" applyBorder="1" applyAlignment="1" applyProtection="1">
      <alignment horizontal="center" vertical="center" wrapText="1"/>
    </xf>
    <xf numFmtId="0" fontId="33" fillId="3" borderId="0" xfId="18" applyFont="1" applyFill="1" applyBorder="1" applyAlignment="1">
      <alignment horizontal="center" vertical="center"/>
    </xf>
    <xf numFmtId="168" fontId="33" fillId="3" borderId="0" xfId="8" applyNumberFormat="1" applyFont="1" applyFill="1" applyBorder="1" applyAlignment="1">
      <alignment horizontal="center" vertical="center"/>
    </xf>
    <xf numFmtId="0" fontId="33" fillId="3" borderId="2" xfId="18" applyFont="1" applyFill="1" applyBorder="1" applyAlignment="1">
      <alignment horizontal="center" vertical="center"/>
    </xf>
    <xf numFmtId="0" fontId="38" fillId="4" borderId="0" xfId="11" applyNumberFormat="1" applyFont="1" applyFill="1" applyBorder="1" applyAlignment="1" applyProtection="1">
      <alignment horizontal="center" vertical="center" wrapText="1"/>
    </xf>
    <xf numFmtId="0" fontId="39" fillId="4" borderId="0" xfId="11" applyNumberFormat="1" applyFont="1" applyFill="1" applyBorder="1" applyAlignment="1" applyProtection="1">
      <alignment horizontal="right" vertical="top"/>
    </xf>
    <xf numFmtId="0" fontId="29" fillId="4" borderId="19" xfId="11" applyNumberFormat="1" applyFont="1" applyFill="1" applyBorder="1" applyAlignment="1" applyProtection="1">
      <alignment horizontal="left" vertical="top" wrapText="1"/>
    </xf>
    <xf numFmtId="0" fontId="27" fillId="7" borderId="16" xfId="11" applyNumberFormat="1" applyFont="1" applyFill="1" applyBorder="1" applyAlignment="1" applyProtection="1">
      <alignment horizontal="center" vertical="center" wrapText="1"/>
    </xf>
    <xf numFmtId="0" fontId="29" fillId="4" borderId="22" xfId="11" applyNumberFormat="1" applyFont="1" applyFill="1" applyBorder="1" applyAlignment="1" applyProtection="1">
      <alignment horizontal="left" vertical="top" wrapText="1"/>
    </xf>
    <xf numFmtId="0" fontId="26" fillId="4" borderId="0" xfId="11" applyNumberFormat="1" applyFont="1" applyFill="1" applyBorder="1" applyAlignment="1" applyProtection="1">
      <alignment horizontal="center" vertical="top" wrapText="1"/>
    </xf>
    <xf numFmtId="0" fontId="35" fillId="4" borderId="0" xfId="11" applyNumberFormat="1" applyFont="1" applyFill="1" applyBorder="1" applyAlignment="1" applyProtection="1">
      <alignment horizontal="center" vertical="center"/>
    </xf>
    <xf numFmtId="0" fontId="35" fillId="4" borderId="0" xfId="11" applyNumberFormat="1" applyFont="1" applyFill="1" applyBorder="1" applyAlignment="1" applyProtection="1">
      <alignment horizontal="center" vertical="top"/>
    </xf>
    <xf numFmtId="0" fontId="27" fillId="7" borderId="15" xfId="11" applyNumberFormat="1" applyFont="1" applyFill="1" applyBorder="1" applyAlignment="1" applyProtection="1">
      <alignment horizontal="center" vertical="center" wrapText="1"/>
    </xf>
    <xf numFmtId="0" fontId="27" fillId="7" borderId="27" xfId="11" applyNumberFormat="1" applyFont="1" applyFill="1" applyBorder="1" applyAlignment="1" applyProtection="1">
      <alignment horizontal="center" vertical="center" wrapText="1"/>
    </xf>
    <xf numFmtId="0" fontId="27" fillId="7" borderId="28" xfId="11" applyNumberFormat="1" applyFont="1" applyFill="1" applyBorder="1" applyAlignment="1" applyProtection="1">
      <alignment horizontal="center" vertical="center" wrapText="1"/>
    </xf>
    <xf numFmtId="0" fontId="27" fillId="7" borderId="17" xfId="11" applyNumberFormat="1" applyFont="1" applyFill="1" applyBorder="1" applyAlignment="1" applyProtection="1">
      <alignment horizontal="center" vertical="center" wrapText="1"/>
    </xf>
    <xf numFmtId="0" fontId="28" fillId="4" borderId="0" xfId="11" applyNumberFormat="1" applyFont="1" applyFill="1" applyBorder="1" applyAlignment="1" applyProtection="1">
      <alignment horizontal="center" vertical="center"/>
    </xf>
    <xf numFmtId="0" fontId="28" fillId="4" borderId="0" xfId="11" applyNumberFormat="1" applyFont="1" applyFill="1" applyBorder="1" applyAlignment="1" applyProtection="1">
      <alignment horizontal="center"/>
    </xf>
    <xf numFmtId="14" fontId="27" fillId="4" borderId="0" xfId="11" applyNumberFormat="1" applyFont="1" applyFill="1" applyBorder="1" applyAlignment="1" applyProtection="1">
      <alignment horizontal="left" vertical="top" wrapText="1"/>
    </xf>
    <xf numFmtId="0" fontId="29" fillId="4" borderId="14" xfId="11" applyNumberFormat="1" applyFont="1" applyFill="1" applyBorder="1" applyAlignment="1" applyProtection="1">
      <alignment horizontal="left" vertical="top"/>
    </xf>
    <xf numFmtId="0" fontId="27" fillId="4" borderId="0" xfId="11" applyNumberFormat="1" applyFont="1" applyFill="1" applyBorder="1" applyAlignment="1" applyProtection="1">
      <alignment horizontal="center" vertical="top" wrapText="1"/>
    </xf>
    <xf numFmtId="168" fontId="27" fillId="4" borderId="0" xfId="2" applyNumberFormat="1" applyFont="1" applyFill="1" applyBorder="1" applyAlignment="1" applyProtection="1">
      <alignment horizontal="center" vertical="top"/>
    </xf>
    <xf numFmtId="168" fontId="27" fillId="4" borderId="0" xfId="2" applyNumberFormat="1" applyFont="1" applyFill="1" applyBorder="1" applyAlignment="1" applyProtection="1">
      <alignment horizontal="center" vertical="center" wrapText="1"/>
    </xf>
    <xf numFmtId="168" fontId="28" fillId="4" borderId="0" xfId="2" applyNumberFormat="1" applyFont="1" applyFill="1" applyBorder="1" applyAlignment="1" applyProtection="1">
      <alignment horizontal="center" vertical="center"/>
    </xf>
  </cellXfs>
  <cellStyles count="20">
    <cellStyle name="Comma" xfId="2" builtinId="3"/>
    <cellStyle name="Comma 13" xfId="6"/>
    <cellStyle name="Comma 2" xfId="7"/>
    <cellStyle name="Comma 4" xfId="8"/>
    <cellStyle name="Currency [0] 2" xfId="9"/>
    <cellStyle name="Hyperlink" xfId="5" builtinId="8"/>
    <cellStyle name="Normal" xfId="0" builtinId="0"/>
    <cellStyle name="Normal 2" xfId="1"/>
    <cellStyle name="Normal 2 2" xfId="10"/>
    <cellStyle name="Normal 3" xfId="11"/>
    <cellStyle name="Normal 3 2" xfId="12"/>
    <cellStyle name="Normal 3 2 2" xfId="13"/>
    <cellStyle name="Normal 3 2 3" xfId="14"/>
    <cellStyle name="Normal 4" xfId="15"/>
    <cellStyle name="Normal 5" xfId="16"/>
    <cellStyle name="Normal 6" xfId="3"/>
    <cellStyle name="Normal_Bao cao tai chinh 280405" xfId="4"/>
    <cellStyle name="Normal_Bao cao tai chinh 280405 2" xfId="18"/>
    <cellStyle name="Percent" xfId="19" builtinId="5"/>
    <cellStyle name="Percent 2" xfId="17"/>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1" Type="http://schemas.openxmlformats.org/officeDocument/2006/relationships/image" Target="../media/image6.jpeg"/></Relationships>
</file>

<file path=xl/drawings/_rels/drawing8.x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1</xdr:col>
      <xdr:colOff>85725</xdr:colOff>
      <xdr:row>0</xdr:row>
      <xdr:rowOff>0</xdr:rowOff>
    </xdr:from>
    <xdr:to>
      <xdr:col>1</xdr:col>
      <xdr:colOff>1000125</xdr:colOff>
      <xdr:row>0</xdr:row>
      <xdr:rowOff>514350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1475" y="0"/>
          <a:ext cx="914400"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276225</xdr:colOff>
      <xdr:row>0</xdr:row>
      <xdr:rowOff>9525</xdr:rowOff>
    </xdr:from>
    <xdr:to>
      <xdr:col>1</xdr:col>
      <xdr:colOff>857250</xdr:colOff>
      <xdr:row>0</xdr:row>
      <xdr:rowOff>495300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6225" y="9525"/>
          <a:ext cx="86677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76199</xdr:colOff>
      <xdr:row>0</xdr:row>
      <xdr:rowOff>9525</xdr:rowOff>
    </xdr:from>
    <xdr:to>
      <xdr:col>1</xdr:col>
      <xdr:colOff>849922</xdr:colOff>
      <xdr:row>0</xdr:row>
      <xdr:rowOff>428625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199" y="9525"/>
          <a:ext cx="773723"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304800</xdr:colOff>
      <xdr:row>0</xdr:row>
      <xdr:rowOff>19049</xdr:rowOff>
    </xdr:from>
    <xdr:to>
      <xdr:col>2</xdr:col>
      <xdr:colOff>341313</xdr:colOff>
      <xdr:row>1</xdr:row>
      <xdr:rowOff>47624</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0" y="19049"/>
          <a:ext cx="750888"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685801</xdr:colOff>
      <xdr:row>0</xdr:row>
      <xdr:rowOff>19051</xdr:rowOff>
    </xdr:from>
    <xdr:to>
      <xdr:col>0</xdr:col>
      <xdr:colOff>1619251</xdr:colOff>
      <xdr:row>0</xdr:row>
      <xdr:rowOff>543561</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5801" y="19051"/>
          <a:ext cx="933450"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47626</xdr:colOff>
      <xdr:row>0</xdr:row>
      <xdr:rowOff>0</xdr:rowOff>
    </xdr:from>
    <xdr:to>
      <xdr:col>1</xdr:col>
      <xdr:colOff>981075</xdr:colOff>
      <xdr:row>1</xdr:row>
      <xdr:rowOff>50311</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726" y="0"/>
          <a:ext cx="933449" cy="5265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381000</xdr:colOff>
      <xdr:row>0</xdr:row>
      <xdr:rowOff>0</xdr:rowOff>
    </xdr:from>
    <xdr:to>
      <xdr:col>1</xdr:col>
      <xdr:colOff>876300</xdr:colOff>
      <xdr:row>0</xdr:row>
      <xdr:rowOff>460057</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0" y="0"/>
          <a:ext cx="876300" cy="4600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tabSelected="1" view="pageBreakPreview" zoomScale="80" zoomScaleNormal="50" zoomScaleSheetLayoutView="80" workbookViewId="0">
      <selection activeCell="H27" sqref="H27"/>
    </sheetView>
  </sheetViews>
  <sheetFormatPr defaultRowHeight="15"/>
  <cols>
    <col min="1" max="1" width="11.85546875" style="1" customWidth="1"/>
    <col min="2" max="2" width="6.140625" style="1" customWidth="1"/>
    <col min="3" max="3" width="11.42578125" style="1" customWidth="1"/>
    <col min="4" max="4" width="24.28515625" style="1" customWidth="1"/>
    <col min="5" max="5" width="23.140625" style="1" customWidth="1"/>
    <col min="6" max="6" width="5.28515625" style="1" customWidth="1"/>
    <col min="7" max="7" width="24.5703125" style="1" customWidth="1"/>
    <col min="8" max="8" width="21.42578125" style="1" customWidth="1"/>
    <col min="9" max="9" width="12.85546875" style="1" customWidth="1"/>
    <col min="10" max="16384" width="9.140625" style="1"/>
  </cols>
  <sheetData>
    <row r="1" spans="1:10" ht="15.75">
      <c r="A1" s="248" t="s">
        <v>0</v>
      </c>
      <c r="B1" s="248"/>
    </row>
    <row r="2" spans="1:10" ht="15.75">
      <c r="C2" s="249" t="s">
        <v>1007</v>
      </c>
      <c r="D2" s="250"/>
      <c r="E2" s="251"/>
    </row>
    <row r="3" spans="1:10" ht="15.75">
      <c r="A3" s="2"/>
      <c r="B3" s="2"/>
      <c r="C3" s="252" t="s">
        <v>1</v>
      </c>
      <c r="D3" s="253"/>
      <c r="E3" s="254"/>
    </row>
    <row r="4" spans="1:10">
      <c r="A4" s="3"/>
      <c r="B4" s="3"/>
    </row>
    <row r="5" spans="1:10" ht="15.75">
      <c r="A5" s="255" t="s">
        <v>2</v>
      </c>
      <c r="B5" s="255"/>
      <c r="E5" s="4"/>
      <c r="F5" s="4"/>
      <c r="G5" s="4"/>
      <c r="H5" s="4"/>
      <c r="I5" s="4"/>
    </row>
    <row r="6" spans="1:10" ht="15.75">
      <c r="A6" s="2"/>
      <c r="B6" s="2"/>
      <c r="C6" s="256" t="s">
        <v>3</v>
      </c>
      <c r="D6" s="257"/>
      <c r="E6" s="5" t="s">
        <v>4</v>
      </c>
      <c r="F6" s="6"/>
      <c r="G6" s="6"/>
      <c r="H6" s="6"/>
      <c r="I6" s="7"/>
    </row>
    <row r="7" spans="1:10" ht="15.75">
      <c r="A7" s="2"/>
      <c r="B7" s="2"/>
      <c r="C7" s="246" t="s">
        <v>5</v>
      </c>
      <c r="D7" s="247"/>
      <c r="E7" s="8" t="s">
        <v>6</v>
      </c>
      <c r="F7" s="9"/>
      <c r="G7" s="9"/>
      <c r="H7" s="9"/>
      <c r="I7" s="10"/>
      <c r="J7" s="11"/>
    </row>
    <row r="8" spans="1:10" ht="15.75">
      <c r="A8" s="2"/>
      <c r="B8" s="2"/>
      <c r="C8" s="258" t="s">
        <v>7</v>
      </c>
      <c r="D8" s="259"/>
      <c r="E8" s="12" t="s">
        <v>8</v>
      </c>
      <c r="F8" s="13"/>
      <c r="G8" s="13"/>
      <c r="H8" s="13"/>
      <c r="I8" s="14"/>
      <c r="J8" s="11"/>
    </row>
    <row r="9" spans="1:10" ht="15.75">
      <c r="A9" s="2"/>
      <c r="B9" s="2"/>
      <c r="C9" s="246" t="s">
        <v>9</v>
      </c>
      <c r="D9" s="247"/>
      <c r="E9" s="8" t="s">
        <v>10</v>
      </c>
      <c r="F9" s="9"/>
      <c r="G9" s="9"/>
      <c r="H9" s="9"/>
      <c r="I9" s="10"/>
      <c r="J9" s="11"/>
    </row>
    <row r="10" spans="1:10" ht="15.75">
      <c r="A10" s="2"/>
      <c r="B10" s="2"/>
      <c r="C10" s="258" t="s">
        <v>11</v>
      </c>
      <c r="D10" s="259"/>
      <c r="E10" s="12" t="s">
        <v>12</v>
      </c>
      <c r="F10" s="13"/>
      <c r="G10" s="13"/>
      <c r="H10" s="13"/>
      <c r="I10" s="14"/>
      <c r="J10" s="11"/>
    </row>
    <row r="11" spans="1:10" ht="15.75">
      <c r="A11" s="2"/>
      <c r="B11" s="2"/>
      <c r="C11" s="246" t="s">
        <v>13</v>
      </c>
      <c r="D11" s="247"/>
      <c r="E11" s="8" t="s">
        <v>14</v>
      </c>
      <c r="F11" s="9"/>
      <c r="G11" s="9"/>
      <c r="H11" s="9"/>
      <c r="I11" s="10"/>
      <c r="J11" s="11"/>
    </row>
    <row r="12" spans="1:10" ht="15.75">
      <c r="A12" s="2"/>
      <c r="B12" s="2"/>
      <c r="C12" s="258" t="s">
        <v>15</v>
      </c>
      <c r="D12" s="259"/>
      <c r="E12" s="15">
        <v>44322</v>
      </c>
      <c r="F12" s="13"/>
      <c r="G12" s="13"/>
      <c r="H12" s="13"/>
      <c r="I12" s="14"/>
      <c r="J12" s="11"/>
    </row>
    <row r="13" spans="1:10" ht="15.75">
      <c r="A13" s="2"/>
      <c r="B13" s="2"/>
      <c r="C13" s="267" t="s">
        <v>16</v>
      </c>
      <c r="D13" s="253"/>
      <c r="E13" s="260">
        <f>+E12</f>
        <v>44322</v>
      </c>
      <c r="F13" s="260"/>
      <c r="G13" s="260"/>
      <c r="H13" s="260"/>
      <c r="I13" s="16"/>
      <c r="J13" s="11"/>
    </row>
    <row r="14" spans="1:10" ht="15.75">
      <c r="C14" s="4"/>
      <c r="D14" s="17"/>
      <c r="E14" s="4"/>
      <c r="F14" s="4"/>
      <c r="G14" s="4"/>
      <c r="H14" s="4"/>
      <c r="I14" s="4"/>
      <c r="J14" s="4"/>
    </row>
    <row r="15" spans="1:10" ht="15.75">
      <c r="A15" s="255" t="s">
        <v>17</v>
      </c>
      <c r="B15" s="255"/>
      <c r="E15" s="4"/>
      <c r="F15" s="4"/>
      <c r="G15" s="4"/>
      <c r="H15" s="4"/>
      <c r="I15" s="4"/>
      <c r="J15" s="4"/>
    </row>
    <row r="16" spans="1:10" ht="15.75">
      <c r="C16" s="261" t="s">
        <v>18</v>
      </c>
      <c r="D16" s="262"/>
      <c r="E16" s="263"/>
      <c r="G16" s="261" t="s">
        <v>19</v>
      </c>
      <c r="H16" s="262"/>
      <c r="I16" s="263"/>
    </row>
    <row r="17" spans="1:9" ht="15.75">
      <c r="A17" s="4"/>
      <c r="B17" s="4"/>
      <c r="C17" s="264" t="s">
        <v>20</v>
      </c>
      <c r="D17" s="265"/>
      <c r="E17" s="266"/>
      <c r="G17" s="264" t="s">
        <v>21</v>
      </c>
      <c r="H17" s="265"/>
      <c r="I17" s="266"/>
    </row>
    <row r="18" spans="1:9" ht="15.75">
      <c r="A18" s="4"/>
      <c r="B18" s="4"/>
      <c r="C18" s="264"/>
      <c r="D18" s="265"/>
      <c r="E18" s="266"/>
      <c r="G18" s="269"/>
      <c r="H18" s="270"/>
      <c r="I18" s="271"/>
    </row>
    <row r="19" spans="1:9" ht="27" customHeight="1">
      <c r="A19" s="4"/>
      <c r="B19" s="4"/>
      <c r="C19" s="264"/>
      <c r="D19" s="265"/>
      <c r="E19" s="266"/>
      <c r="G19" s="269"/>
      <c r="H19" s="270"/>
      <c r="I19" s="271"/>
    </row>
    <row r="20" spans="1:9" ht="15.75">
      <c r="A20" s="4"/>
      <c r="B20" s="4"/>
      <c r="C20" s="264"/>
      <c r="D20" s="265"/>
      <c r="E20" s="266"/>
      <c r="G20" s="269"/>
      <c r="H20" s="270"/>
      <c r="I20" s="271"/>
    </row>
    <row r="21" spans="1:9" ht="15.75">
      <c r="A21" s="4"/>
      <c r="B21" s="4"/>
      <c r="C21" s="264"/>
      <c r="D21" s="265"/>
      <c r="E21" s="266"/>
      <c r="G21" s="269"/>
      <c r="H21" s="270"/>
      <c r="I21" s="271"/>
    </row>
    <row r="22" spans="1:9" ht="15.75">
      <c r="A22" s="4"/>
      <c r="B22" s="4"/>
      <c r="C22" s="264"/>
      <c r="D22" s="265"/>
      <c r="E22" s="266"/>
      <c r="G22" s="269"/>
      <c r="H22" s="270"/>
      <c r="I22" s="271"/>
    </row>
    <row r="23" spans="1:9" ht="15.75">
      <c r="A23" s="4"/>
      <c r="B23" s="4"/>
      <c r="C23" s="264"/>
      <c r="D23" s="265"/>
      <c r="E23" s="266"/>
      <c r="G23" s="269"/>
      <c r="H23" s="270"/>
      <c r="I23" s="271"/>
    </row>
    <row r="24" spans="1:9" ht="15.75">
      <c r="A24" s="4"/>
      <c r="B24" s="4"/>
      <c r="C24" s="272" t="s">
        <v>8</v>
      </c>
      <c r="D24" s="273"/>
      <c r="E24" s="274"/>
      <c r="G24" s="272" t="s">
        <v>4</v>
      </c>
      <c r="H24" s="273"/>
      <c r="I24" s="274"/>
    </row>
    <row r="25" spans="1:9" ht="15.75">
      <c r="A25" s="4"/>
      <c r="B25" s="4"/>
      <c r="C25" s="272" t="s">
        <v>22</v>
      </c>
      <c r="D25" s="273"/>
      <c r="E25" s="274"/>
      <c r="G25" s="272" t="s">
        <v>1002</v>
      </c>
      <c r="H25" s="273"/>
      <c r="I25" s="274"/>
    </row>
    <row r="26" spans="1:9" ht="15.75">
      <c r="A26" s="4"/>
      <c r="B26" s="4"/>
      <c r="C26" s="275" t="s">
        <v>23</v>
      </c>
      <c r="D26" s="276"/>
      <c r="E26" s="277"/>
      <c r="G26" s="275" t="s">
        <v>24</v>
      </c>
      <c r="H26" s="276"/>
      <c r="I26" s="277"/>
    </row>
    <row r="27" spans="1:9" ht="15.75">
      <c r="A27" s="4"/>
      <c r="B27" s="4"/>
      <c r="C27" s="18"/>
      <c r="D27" s="18"/>
      <c r="E27" s="18"/>
      <c r="G27" s="19"/>
      <c r="H27" s="19"/>
      <c r="I27" s="19"/>
    </row>
    <row r="28" spans="1:9" ht="15.75">
      <c r="A28" s="4"/>
      <c r="B28" s="4"/>
      <c r="C28" s="18"/>
      <c r="D28" s="18"/>
      <c r="E28" s="18"/>
      <c r="G28" s="19"/>
      <c r="H28" s="19"/>
      <c r="I28" s="19"/>
    </row>
    <row r="29" spans="1:9" ht="15.75">
      <c r="A29" s="4"/>
      <c r="B29" s="4"/>
      <c r="C29" s="20" t="s">
        <v>25</v>
      </c>
      <c r="D29" s="278" t="s">
        <v>26</v>
      </c>
      <c r="E29" s="278"/>
      <c r="F29" s="278"/>
      <c r="G29" s="278"/>
      <c r="H29" s="21" t="s">
        <v>27</v>
      </c>
      <c r="I29" s="19"/>
    </row>
    <row r="30" spans="1:9" ht="15.75">
      <c r="A30" s="4"/>
      <c r="B30" s="4"/>
      <c r="C30" s="20" t="s">
        <v>28</v>
      </c>
      <c r="D30" s="278" t="s">
        <v>29</v>
      </c>
      <c r="E30" s="278"/>
      <c r="F30" s="278"/>
      <c r="G30" s="278"/>
      <c r="H30" s="21"/>
      <c r="I30" s="19"/>
    </row>
    <row r="31" spans="1:9" ht="15.75">
      <c r="A31" s="4"/>
      <c r="B31" s="4"/>
      <c r="C31" s="22" t="s">
        <v>30</v>
      </c>
      <c r="D31" s="268" t="s">
        <v>31</v>
      </c>
      <c r="E31" s="268"/>
      <c r="F31" s="268"/>
      <c r="G31" s="268"/>
      <c r="H31" s="23" t="s">
        <v>32</v>
      </c>
      <c r="I31" s="19"/>
    </row>
    <row r="32" spans="1:9" ht="15.75">
      <c r="A32" s="4"/>
      <c r="B32" s="4"/>
      <c r="C32" s="22" t="s">
        <v>33</v>
      </c>
      <c r="D32" s="268" t="s">
        <v>34</v>
      </c>
      <c r="E32" s="268"/>
      <c r="F32" s="268"/>
      <c r="G32" s="268"/>
      <c r="H32" s="23" t="s">
        <v>35</v>
      </c>
      <c r="I32" s="19"/>
    </row>
    <row r="33" spans="1:9" ht="15.75">
      <c r="A33" s="4"/>
      <c r="B33" s="4"/>
      <c r="C33" s="22" t="s">
        <v>36</v>
      </c>
      <c r="D33" s="268" t="s">
        <v>37</v>
      </c>
      <c r="E33" s="268"/>
      <c r="F33" s="268"/>
      <c r="G33" s="268"/>
      <c r="H33" s="23" t="s">
        <v>38</v>
      </c>
      <c r="I33" s="19"/>
    </row>
    <row r="34" spans="1:9" ht="15.75">
      <c r="A34" s="4"/>
      <c r="B34" s="4"/>
      <c r="C34" s="22" t="s">
        <v>39</v>
      </c>
      <c r="D34" s="268" t="s">
        <v>40</v>
      </c>
      <c r="E34" s="268"/>
      <c r="F34" s="268"/>
      <c r="G34" s="268"/>
      <c r="H34" s="23" t="s">
        <v>41</v>
      </c>
      <c r="I34" s="19"/>
    </row>
    <row r="35" spans="1:9" ht="15.75">
      <c r="A35" s="4"/>
      <c r="B35" s="4"/>
      <c r="C35" s="22" t="s">
        <v>42</v>
      </c>
      <c r="D35" s="268" t="s">
        <v>43</v>
      </c>
      <c r="E35" s="268"/>
      <c r="F35" s="268"/>
      <c r="G35" s="268"/>
      <c r="H35" s="23" t="s">
        <v>44</v>
      </c>
      <c r="I35" s="19"/>
    </row>
    <row r="36" spans="1:9" ht="15.75">
      <c r="A36" s="4"/>
      <c r="B36" s="4"/>
      <c r="C36" s="22" t="s">
        <v>45</v>
      </c>
      <c r="D36" s="268" t="s">
        <v>46</v>
      </c>
      <c r="E36" s="268"/>
      <c r="F36" s="268"/>
      <c r="G36" s="268"/>
      <c r="H36" s="24" t="s">
        <v>47</v>
      </c>
      <c r="I36" s="19"/>
    </row>
    <row r="37" spans="1:9" ht="15.75">
      <c r="A37" s="4"/>
      <c r="B37" s="4"/>
      <c r="C37" s="22" t="s">
        <v>48</v>
      </c>
      <c r="D37" s="268" t="s">
        <v>49</v>
      </c>
      <c r="E37" s="268"/>
      <c r="F37" s="268"/>
      <c r="G37" s="268"/>
      <c r="H37" s="25" t="s">
        <v>50</v>
      </c>
      <c r="I37" s="19"/>
    </row>
    <row r="38" spans="1:9" ht="15.75">
      <c r="A38" s="4"/>
      <c r="B38" s="4"/>
      <c r="C38" s="22" t="s">
        <v>51</v>
      </c>
      <c r="D38" s="268" t="s">
        <v>52</v>
      </c>
      <c r="E38" s="268"/>
      <c r="F38" s="268"/>
      <c r="G38" s="268"/>
      <c r="H38" s="25" t="s">
        <v>50</v>
      </c>
      <c r="I38" s="19"/>
    </row>
    <row r="39" spans="1:9" ht="15.75">
      <c r="A39" s="4"/>
      <c r="B39" s="4"/>
      <c r="C39" s="20" t="s">
        <v>53</v>
      </c>
      <c r="D39" s="279" t="s">
        <v>54</v>
      </c>
      <c r="E39" s="279"/>
      <c r="F39" s="279"/>
      <c r="G39" s="279"/>
      <c r="H39" s="25" t="s">
        <v>50</v>
      </c>
      <c r="I39" s="19"/>
    </row>
    <row r="40" spans="1:9" ht="15.75">
      <c r="A40" s="4"/>
      <c r="B40" s="4"/>
      <c r="C40" s="22">
        <v>6</v>
      </c>
      <c r="D40" s="268" t="s">
        <v>55</v>
      </c>
      <c r="E40" s="268"/>
      <c r="F40" s="268"/>
      <c r="G40" s="268"/>
      <c r="H40" s="23" t="s">
        <v>56</v>
      </c>
      <c r="I40" s="19"/>
    </row>
    <row r="41" spans="1:9" ht="15.75">
      <c r="A41" s="4"/>
      <c r="B41" s="4"/>
      <c r="C41" s="22">
        <v>7</v>
      </c>
      <c r="D41" s="268" t="s">
        <v>57</v>
      </c>
      <c r="E41" s="268"/>
      <c r="F41" s="268"/>
      <c r="G41" s="268"/>
      <c r="H41" s="23" t="s">
        <v>58</v>
      </c>
      <c r="I41" s="19"/>
    </row>
    <row r="42" spans="1:9" ht="15.75">
      <c r="A42" s="4"/>
      <c r="B42" s="4"/>
      <c r="C42" s="22">
        <v>8</v>
      </c>
      <c r="D42" s="268" t="s">
        <v>59</v>
      </c>
      <c r="E42" s="268"/>
      <c r="F42" s="268"/>
      <c r="G42" s="268"/>
      <c r="H42" s="26" t="s">
        <v>60</v>
      </c>
      <c r="I42" s="19"/>
    </row>
    <row r="43" spans="1:9" ht="15.75">
      <c r="A43" s="4"/>
      <c r="B43" s="4"/>
      <c r="C43" s="18"/>
      <c r="D43" s="18"/>
      <c r="E43" s="18"/>
      <c r="G43" s="19"/>
      <c r="H43" s="19"/>
      <c r="I43" s="19"/>
    </row>
    <row r="44" spans="1:9" ht="15.75">
      <c r="A44" s="4"/>
      <c r="B44" s="4"/>
      <c r="C44" s="18"/>
      <c r="D44" s="18"/>
      <c r="E44" s="18"/>
      <c r="G44" s="19"/>
      <c r="H44" s="19"/>
      <c r="I44" s="19"/>
    </row>
    <row r="45" spans="1:9" ht="15.75">
      <c r="A45" s="4"/>
      <c r="B45" s="4"/>
      <c r="C45" s="18"/>
      <c r="D45" s="18"/>
      <c r="E45" s="18"/>
      <c r="G45" s="19"/>
      <c r="H45" s="19"/>
      <c r="I45" s="19"/>
    </row>
    <row r="46" spans="1:9" ht="15.75">
      <c r="A46" s="4"/>
      <c r="B46" s="4"/>
      <c r="C46" s="18"/>
      <c r="D46" s="18"/>
      <c r="E46" s="18"/>
      <c r="G46" s="19"/>
      <c r="H46" s="19"/>
      <c r="I46" s="19"/>
    </row>
    <row r="47" spans="1:9" ht="15.75">
      <c r="A47" s="4"/>
      <c r="B47" s="4"/>
      <c r="C47" s="18"/>
      <c r="D47" s="18"/>
      <c r="E47" s="18"/>
      <c r="G47" s="19"/>
      <c r="H47" s="19"/>
      <c r="I47" s="19"/>
    </row>
    <row r="48" spans="1:9" ht="15.75">
      <c r="A48" s="4"/>
      <c r="B48" s="4"/>
      <c r="C48" s="18"/>
      <c r="D48" s="18"/>
      <c r="E48" s="18"/>
      <c r="G48" s="19"/>
      <c r="H48" s="19"/>
      <c r="I48" s="19"/>
    </row>
    <row r="49" spans="1:9" ht="15.75">
      <c r="A49" s="4"/>
      <c r="B49" s="4"/>
      <c r="C49" s="18"/>
      <c r="D49" s="18"/>
      <c r="E49" s="18"/>
      <c r="G49" s="19"/>
      <c r="H49" s="19"/>
      <c r="I49" s="19"/>
    </row>
    <row r="50" spans="1:9" ht="15.75">
      <c r="A50" s="4"/>
      <c r="B50" s="4"/>
      <c r="C50" s="18"/>
      <c r="D50" s="18"/>
      <c r="E50" s="18"/>
      <c r="G50" s="19"/>
      <c r="H50" s="19"/>
      <c r="I50" s="19"/>
    </row>
    <row r="51" spans="1:9" ht="15.75">
      <c r="B51" s="27"/>
      <c r="C51" s="28"/>
    </row>
    <row r="68" ht="78.75" customHeight="1"/>
  </sheetData>
  <mergeCells count="40">
    <mergeCell ref="D39:G39"/>
    <mergeCell ref="D40:G40"/>
    <mergeCell ref="D41:G41"/>
    <mergeCell ref="D42:G42"/>
    <mergeCell ref="D33:G33"/>
    <mergeCell ref="D34:G34"/>
    <mergeCell ref="D35:G35"/>
    <mergeCell ref="D36:G36"/>
    <mergeCell ref="D37:G37"/>
    <mergeCell ref="D38:G38"/>
    <mergeCell ref="D32:G32"/>
    <mergeCell ref="C18:E23"/>
    <mergeCell ref="G18:I23"/>
    <mergeCell ref="C24:E24"/>
    <mergeCell ref="G24:I24"/>
    <mergeCell ref="C25:E25"/>
    <mergeCell ref="G25:I25"/>
    <mergeCell ref="C26:E26"/>
    <mergeCell ref="G26:I26"/>
    <mergeCell ref="D29:G29"/>
    <mergeCell ref="D30:G30"/>
    <mergeCell ref="D31:G31"/>
    <mergeCell ref="E13:H13"/>
    <mergeCell ref="A15:B15"/>
    <mergeCell ref="C16:E16"/>
    <mergeCell ref="G16:I16"/>
    <mergeCell ref="C17:E17"/>
    <mergeCell ref="G17:I17"/>
    <mergeCell ref="C13:D13"/>
    <mergeCell ref="C8:D8"/>
    <mergeCell ref="C9:D9"/>
    <mergeCell ref="C10:D10"/>
    <mergeCell ref="C11:D11"/>
    <mergeCell ref="C12:D12"/>
    <mergeCell ref="C7:D7"/>
    <mergeCell ref="A1:B1"/>
    <mergeCell ref="C2:E2"/>
    <mergeCell ref="C3:E3"/>
    <mergeCell ref="A5:B5"/>
    <mergeCell ref="C6:D6"/>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18"/>
  <sheetViews>
    <sheetView showGridLines="0" showZeros="0" showOutlineSymbols="0" view="pageBreakPreview" topLeftCell="A95" zoomScaleNormal="100" zoomScaleSheetLayoutView="100" workbookViewId="0">
      <selection activeCell="D41" sqref="D41"/>
    </sheetView>
  </sheetViews>
  <sheetFormatPr defaultRowHeight="10.5"/>
  <cols>
    <col min="1" max="1" width="4.28515625" style="146" customWidth="1"/>
    <col min="2" max="2" width="46.7109375" style="146" customWidth="1"/>
    <col min="3" max="3" width="9.140625" style="146"/>
    <col min="4" max="5" width="18.5703125" style="240" customWidth="1"/>
    <col min="6" max="6" width="11.42578125" style="146" customWidth="1"/>
    <col min="7" max="256" width="9.140625" style="146"/>
    <col min="257" max="257" width="4.28515625" style="146" customWidth="1"/>
    <col min="258" max="258" width="42.28515625" style="146" customWidth="1"/>
    <col min="259" max="259" width="9.140625" style="146"/>
    <col min="260" max="261" width="18.5703125" style="146" customWidth="1"/>
    <col min="262" max="262" width="11.42578125" style="146" customWidth="1"/>
    <col min="263" max="512" width="9.140625" style="146"/>
    <col min="513" max="513" width="4.28515625" style="146" customWidth="1"/>
    <col min="514" max="514" width="42.28515625" style="146" customWidth="1"/>
    <col min="515" max="515" width="9.140625" style="146"/>
    <col min="516" max="517" width="18.5703125" style="146" customWidth="1"/>
    <col min="518" max="518" width="11.42578125" style="146" customWidth="1"/>
    <col min="519" max="768" width="9.140625" style="146"/>
    <col min="769" max="769" width="4.28515625" style="146" customWidth="1"/>
    <col min="770" max="770" width="42.28515625" style="146" customWidth="1"/>
    <col min="771" max="771" width="9.140625" style="146"/>
    <col min="772" max="773" width="18.5703125" style="146" customWidth="1"/>
    <col min="774" max="774" width="11.42578125" style="146" customWidth="1"/>
    <col min="775" max="1024" width="9.140625" style="146"/>
    <col min="1025" max="1025" width="4.28515625" style="146" customWidth="1"/>
    <col min="1026" max="1026" width="42.28515625" style="146" customWidth="1"/>
    <col min="1027" max="1027" width="9.140625" style="146"/>
    <col min="1028" max="1029" width="18.5703125" style="146" customWidth="1"/>
    <col min="1030" max="1030" width="11.42578125" style="146" customWidth="1"/>
    <col min="1031" max="1280" width="9.140625" style="146"/>
    <col min="1281" max="1281" width="4.28515625" style="146" customWidth="1"/>
    <col min="1282" max="1282" width="42.28515625" style="146" customWidth="1"/>
    <col min="1283" max="1283" width="9.140625" style="146"/>
    <col min="1284" max="1285" width="18.5703125" style="146" customWidth="1"/>
    <col min="1286" max="1286" width="11.42578125" style="146" customWidth="1"/>
    <col min="1287" max="1536" width="9.140625" style="146"/>
    <col min="1537" max="1537" width="4.28515625" style="146" customWidth="1"/>
    <col min="1538" max="1538" width="42.28515625" style="146" customWidth="1"/>
    <col min="1539" max="1539" width="9.140625" style="146"/>
    <col min="1540" max="1541" width="18.5703125" style="146" customWidth="1"/>
    <col min="1542" max="1542" width="11.42578125" style="146" customWidth="1"/>
    <col min="1543" max="1792" width="9.140625" style="146"/>
    <col min="1793" max="1793" width="4.28515625" style="146" customWidth="1"/>
    <col min="1794" max="1794" width="42.28515625" style="146" customWidth="1"/>
    <col min="1795" max="1795" width="9.140625" style="146"/>
    <col min="1796" max="1797" width="18.5703125" style="146" customWidth="1"/>
    <col min="1798" max="1798" width="11.42578125" style="146" customWidth="1"/>
    <col min="1799" max="2048" width="9.140625" style="146"/>
    <col min="2049" max="2049" width="4.28515625" style="146" customWidth="1"/>
    <col min="2050" max="2050" width="42.28515625" style="146" customWidth="1"/>
    <col min="2051" max="2051" width="9.140625" style="146"/>
    <col min="2052" max="2053" width="18.5703125" style="146" customWidth="1"/>
    <col min="2054" max="2054" width="11.42578125" style="146" customWidth="1"/>
    <col min="2055" max="2304" width="9.140625" style="146"/>
    <col min="2305" max="2305" width="4.28515625" style="146" customWidth="1"/>
    <col min="2306" max="2306" width="42.28515625" style="146" customWidth="1"/>
    <col min="2307" max="2307" width="9.140625" style="146"/>
    <col min="2308" max="2309" width="18.5703125" style="146" customWidth="1"/>
    <col min="2310" max="2310" width="11.42578125" style="146" customWidth="1"/>
    <col min="2311" max="2560" width="9.140625" style="146"/>
    <col min="2561" max="2561" width="4.28515625" style="146" customWidth="1"/>
    <col min="2562" max="2562" width="42.28515625" style="146" customWidth="1"/>
    <col min="2563" max="2563" width="9.140625" style="146"/>
    <col min="2564" max="2565" width="18.5703125" style="146" customWidth="1"/>
    <col min="2566" max="2566" width="11.42578125" style="146" customWidth="1"/>
    <col min="2567" max="2816" width="9.140625" style="146"/>
    <col min="2817" max="2817" width="4.28515625" style="146" customWidth="1"/>
    <col min="2818" max="2818" width="42.28515625" style="146" customWidth="1"/>
    <col min="2819" max="2819" width="9.140625" style="146"/>
    <col min="2820" max="2821" width="18.5703125" style="146" customWidth="1"/>
    <col min="2822" max="2822" width="11.42578125" style="146" customWidth="1"/>
    <col min="2823" max="3072" width="9.140625" style="146"/>
    <col min="3073" max="3073" width="4.28515625" style="146" customWidth="1"/>
    <col min="3074" max="3074" width="42.28515625" style="146" customWidth="1"/>
    <col min="3075" max="3075" width="9.140625" style="146"/>
    <col min="3076" max="3077" width="18.5703125" style="146" customWidth="1"/>
    <col min="3078" max="3078" width="11.42578125" style="146" customWidth="1"/>
    <col min="3079" max="3328" width="9.140625" style="146"/>
    <col min="3329" max="3329" width="4.28515625" style="146" customWidth="1"/>
    <col min="3330" max="3330" width="42.28515625" style="146" customWidth="1"/>
    <col min="3331" max="3331" width="9.140625" style="146"/>
    <col min="3332" max="3333" width="18.5703125" style="146" customWidth="1"/>
    <col min="3334" max="3334" width="11.42578125" style="146" customWidth="1"/>
    <col min="3335" max="3584" width="9.140625" style="146"/>
    <col min="3585" max="3585" width="4.28515625" style="146" customWidth="1"/>
    <col min="3586" max="3586" width="42.28515625" style="146" customWidth="1"/>
    <col min="3587" max="3587" width="9.140625" style="146"/>
    <col min="3588" max="3589" width="18.5703125" style="146" customWidth="1"/>
    <col min="3590" max="3590" width="11.42578125" style="146" customWidth="1"/>
    <col min="3591" max="3840" width="9.140625" style="146"/>
    <col min="3841" max="3841" width="4.28515625" style="146" customWidth="1"/>
    <col min="3842" max="3842" width="42.28515625" style="146" customWidth="1"/>
    <col min="3843" max="3843" width="9.140625" style="146"/>
    <col min="3844" max="3845" width="18.5703125" style="146" customWidth="1"/>
    <col min="3846" max="3846" width="11.42578125" style="146" customWidth="1"/>
    <col min="3847" max="4096" width="9.140625" style="146"/>
    <col min="4097" max="4097" width="4.28515625" style="146" customWidth="1"/>
    <col min="4098" max="4098" width="42.28515625" style="146" customWidth="1"/>
    <col min="4099" max="4099" width="9.140625" style="146"/>
    <col min="4100" max="4101" width="18.5703125" style="146" customWidth="1"/>
    <col min="4102" max="4102" width="11.42578125" style="146" customWidth="1"/>
    <col min="4103" max="4352" width="9.140625" style="146"/>
    <col min="4353" max="4353" width="4.28515625" style="146" customWidth="1"/>
    <col min="4354" max="4354" width="42.28515625" style="146" customWidth="1"/>
    <col min="4355" max="4355" width="9.140625" style="146"/>
    <col min="4356" max="4357" width="18.5703125" style="146" customWidth="1"/>
    <col min="4358" max="4358" width="11.42578125" style="146" customWidth="1"/>
    <col min="4359" max="4608" width="9.140625" style="146"/>
    <col min="4609" max="4609" width="4.28515625" style="146" customWidth="1"/>
    <col min="4610" max="4610" width="42.28515625" style="146" customWidth="1"/>
    <col min="4611" max="4611" width="9.140625" style="146"/>
    <col min="4612" max="4613" width="18.5703125" style="146" customWidth="1"/>
    <col min="4614" max="4614" width="11.42578125" style="146" customWidth="1"/>
    <col min="4615" max="4864" width="9.140625" style="146"/>
    <col min="4865" max="4865" width="4.28515625" style="146" customWidth="1"/>
    <col min="4866" max="4866" width="42.28515625" style="146" customWidth="1"/>
    <col min="4867" max="4867" width="9.140625" style="146"/>
    <col min="4868" max="4869" width="18.5703125" style="146" customWidth="1"/>
    <col min="4870" max="4870" width="11.42578125" style="146" customWidth="1"/>
    <col min="4871" max="5120" width="9.140625" style="146"/>
    <col min="5121" max="5121" width="4.28515625" style="146" customWidth="1"/>
    <col min="5122" max="5122" width="42.28515625" style="146" customWidth="1"/>
    <col min="5123" max="5123" width="9.140625" style="146"/>
    <col min="5124" max="5125" width="18.5703125" style="146" customWidth="1"/>
    <col min="5126" max="5126" width="11.42578125" style="146" customWidth="1"/>
    <col min="5127" max="5376" width="9.140625" style="146"/>
    <col min="5377" max="5377" width="4.28515625" style="146" customWidth="1"/>
    <col min="5378" max="5378" width="42.28515625" style="146" customWidth="1"/>
    <col min="5379" max="5379" width="9.140625" style="146"/>
    <col min="5380" max="5381" width="18.5703125" style="146" customWidth="1"/>
    <col min="5382" max="5382" width="11.42578125" style="146" customWidth="1"/>
    <col min="5383" max="5632" width="9.140625" style="146"/>
    <col min="5633" max="5633" width="4.28515625" style="146" customWidth="1"/>
    <col min="5634" max="5634" width="42.28515625" style="146" customWidth="1"/>
    <col min="5635" max="5635" width="9.140625" style="146"/>
    <col min="5636" max="5637" width="18.5703125" style="146" customWidth="1"/>
    <col min="5638" max="5638" width="11.42578125" style="146" customWidth="1"/>
    <col min="5639" max="5888" width="9.140625" style="146"/>
    <col min="5889" max="5889" width="4.28515625" style="146" customWidth="1"/>
    <col min="5890" max="5890" width="42.28515625" style="146" customWidth="1"/>
    <col min="5891" max="5891" width="9.140625" style="146"/>
    <col min="5892" max="5893" width="18.5703125" style="146" customWidth="1"/>
    <col min="5894" max="5894" width="11.42578125" style="146" customWidth="1"/>
    <col min="5895" max="6144" width="9.140625" style="146"/>
    <col min="6145" max="6145" width="4.28515625" style="146" customWidth="1"/>
    <col min="6146" max="6146" width="42.28515625" style="146" customWidth="1"/>
    <col min="6147" max="6147" width="9.140625" style="146"/>
    <col min="6148" max="6149" width="18.5703125" style="146" customWidth="1"/>
    <col min="6150" max="6150" width="11.42578125" style="146" customWidth="1"/>
    <col min="6151" max="6400" width="9.140625" style="146"/>
    <col min="6401" max="6401" width="4.28515625" style="146" customWidth="1"/>
    <col min="6402" max="6402" width="42.28515625" style="146" customWidth="1"/>
    <col min="6403" max="6403" width="9.140625" style="146"/>
    <col min="6404" max="6405" width="18.5703125" style="146" customWidth="1"/>
    <col min="6406" max="6406" width="11.42578125" style="146" customWidth="1"/>
    <col min="6407" max="6656" width="9.140625" style="146"/>
    <col min="6657" max="6657" width="4.28515625" style="146" customWidth="1"/>
    <col min="6658" max="6658" width="42.28515625" style="146" customWidth="1"/>
    <col min="6659" max="6659" width="9.140625" style="146"/>
    <col min="6660" max="6661" width="18.5703125" style="146" customWidth="1"/>
    <col min="6662" max="6662" width="11.42578125" style="146" customWidth="1"/>
    <col min="6663" max="6912" width="9.140625" style="146"/>
    <col min="6913" max="6913" width="4.28515625" style="146" customWidth="1"/>
    <col min="6914" max="6914" width="42.28515625" style="146" customWidth="1"/>
    <col min="6915" max="6915" width="9.140625" style="146"/>
    <col min="6916" max="6917" width="18.5703125" style="146" customWidth="1"/>
    <col min="6918" max="6918" width="11.42578125" style="146" customWidth="1"/>
    <col min="6919" max="7168" width="9.140625" style="146"/>
    <col min="7169" max="7169" width="4.28515625" style="146" customWidth="1"/>
    <col min="7170" max="7170" width="42.28515625" style="146" customWidth="1"/>
    <col min="7171" max="7171" width="9.140625" style="146"/>
    <col min="7172" max="7173" width="18.5703125" style="146" customWidth="1"/>
    <col min="7174" max="7174" width="11.42578125" style="146" customWidth="1"/>
    <col min="7175" max="7424" width="9.140625" style="146"/>
    <col min="7425" max="7425" width="4.28515625" style="146" customWidth="1"/>
    <col min="7426" max="7426" width="42.28515625" style="146" customWidth="1"/>
    <col min="7427" max="7427" width="9.140625" style="146"/>
    <col min="7428" max="7429" width="18.5703125" style="146" customWidth="1"/>
    <col min="7430" max="7430" width="11.42578125" style="146" customWidth="1"/>
    <col min="7431" max="7680" width="9.140625" style="146"/>
    <col min="7681" max="7681" width="4.28515625" style="146" customWidth="1"/>
    <col min="7682" max="7682" width="42.28515625" style="146" customWidth="1"/>
    <col min="7683" max="7683" width="9.140625" style="146"/>
    <col min="7684" max="7685" width="18.5703125" style="146" customWidth="1"/>
    <col min="7686" max="7686" width="11.42578125" style="146" customWidth="1"/>
    <col min="7687" max="7936" width="9.140625" style="146"/>
    <col min="7937" max="7937" width="4.28515625" style="146" customWidth="1"/>
    <col min="7938" max="7938" width="42.28515625" style="146" customWidth="1"/>
    <col min="7939" max="7939" width="9.140625" style="146"/>
    <col min="7940" max="7941" width="18.5703125" style="146" customWidth="1"/>
    <col min="7942" max="7942" width="11.42578125" style="146" customWidth="1"/>
    <col min="7943" max="8192" width="9.140625" style="146"/>
    <col min="8193" max="8193" width="4.28515625" style="146" customWidth="1"/>
    <col min="8194" max="8194" width="42.28515625" style="146" customWidth="1"/>
    <col min="8195" max="8195" width="9.140625" style="146"/>
    <col min="8196" max="8197" width="18.5703125" style="146" customWidth="1"/>
    <col min="8198" max="8198" width="11.42578125" style="146" customWidth="1"/>
    <col min="8199" max="8448" width="9.140625" style="146"/>
    <col min="8449" max="8449" width="4.28515625" style="146" customWidth="1"/>
    <col min="8450" max="8450" width="42.28515625" style="146" customWidth="1"/>
    <col min="8451" max="8451" width="9.140625" style="146"/>
    <col min="8452" max="8453" width="18.5703125" style="146" customWidth="1"/>
    <col min="8454" max="8454" width="11.42578125" style="146" customWidth="1"/>
    <col min="8455" max="8704" width="9.140625" style="146"/>
    <col min="8705" max="8705" width="4.28515625" style="146" customWidth="1"/>
    <col min="8706" max="8706" width="42.28515625" style="146" customWidth="1"/>
    <col min="8707" max="8707" width="9.140625" style="146"/>
    <col min="8708" max="8709" width="18.5703125" style="146" customWidth="1"/>
    <col min="8710" max="8710" width="11.42578125" style="146" customWidth="1"/>
    <col min="8711" max="8960" width="9.140625" style="146"/>
    <col min="8961" max="8961" width="4.28515625" style="146" customWidth="1"/>
    <col min="8962" max="8962" width="42.28515625" style="146" customWidth="1"/>
    <col min="8963" max="8963" width="9.140625" style="146"/>
    <col min="8964" max="8965" width="18.5703125" style="146" customWidth="1"/>
    <col min="8966" max="8966" width="11.42578125" style="146" customWidth="1"/>
    <col min="8967" max="9216" width="9.140625" style="146"/>
    <col min="9217" max="9217" width="4.28515625" style="146" customWidth="1"/>
    <col min="9218" max="9218" width="42.28515625" style="146" customWidth="1"/>
    <col min="9219" max="9219" width="9.140625" style="146"/>
    <col min="9220" max="9221" width="18.5703125" style="146" customWidth="1"/>
    <col min="9222" max="9222" width="11.42578125" style="146" customWidth="1"/>
    <col min="9223" max="9472" width="9.140625" style="146"/>
    <col min="9473" max="9473" width="4.28515625" style="146" customWidth="1"/>
    <col min="9474" max="9474" width="42.28515625" style="146" customWidth="1"/>
    <col min="9475" max="9475" width="9.140625" style="146"/>
    <col min="9476" max="9477" width="18.5703125" style="146" customWidth="1"/>
    <col min="9478" max="9478" width="11.42578125" style="146" customWidth="1"/>
    <col min="9479" max="9728" width="9.140625" style="146"/>
    <col min="9729" max="9729" width="4.28515625" style="146" customWidth="1"/>
    <col min="9730" max="9730" width="42.28515625" style="146" customWidth="1"/>
    <col min="9731" max="9731" width="9.140625" style="146"/>
    <col min="9732" max="9733" width="18.5703125" style="146" customWidth="1"/>
    <col min="9734" max="9734" width="11.42578125" style="146" customWidth="1"/>
    <col min="9735" max="9984" width="9.140625" style="146"/>
    <col min="9985" max="9985" width="4.28515625" style="146" customWidth="1"/>
    <col min="9986" max="9986" width="42.28515625" style="146" customWidth="1"/>
    <col min="9987" max="9987" width="9.140625" style="146"/>
    <col min="9988" max="9989" width="18.5703125" style="146" customWidth="1"/>
    <col min="9990" max="9990" width="11.42578125" style="146" customWidth="1"/>
    <col min="9991" max="10240" width="9.140625" style="146"/>
    <col min="10241" max="10241" width="4.28515625" style="146" customWidth="1"/>
    <col min="10242" max="10242" width="42.28515625" style="146" customWidth="1"/>
    <col min="10243" max="10243" width="9.140625" style="146"/>
    <col min="10244" max="10245" width="18.5703125" style="146" customWidth="1"/>
    <col min="10246" max="10246" width="11.42578125" style="146" customWidth="1"/>
    <col min="10247" max="10496" width="9.140625" style="146"/>
    <col min="10497" max="10497" width="4.28515625" style="146" customWidth="1"/>
    <col min="10498" max="10498" width="42.28515625" style="146" customWidth="1"/>
    <col min="10499" max="10499" width="9.140625" style="146"/>
    <col min="10500" max="10501" width="18.5703125" style="146" customWidth="1"/>
    <col min="10502" max="10502" width="11.42578125" style="146" customWidth="1"/>
    <col min="10503" max="10752" width="9.140625" style="146"/>
    <col min="10753" max="10753" width="4.28515625" style="146" customWidth="1"/>
    <col min="10754" max="10754" width="42.28515625" style="146" customWidth="1"/>
    <col min="10755" max="10755" width="9.140625" style="146"/>
    <col min="10756" max="10757" width="18.5703125" style="146" customWidth="1"/>
    <col min="10758" max="10758" width="11.42578125" style="146" customWidth="1"/>
    <col min="10759" max="11008" width="9.140625" style="146"/>
    <col min="11009" max="11009" width="4.28515625" style="146" customWidth="1"/>
    <col min="11010" max="11010" width="42.28515625" style="146" customWidth="1"/>
    <col min="11011" max="11011" width="9.140625" style="146"/>
    <col min="11012" max="11013" width="18.5703125" style="146" customWidth="1"/>
    <col min="11014" max="11014" width="11.42578125" style="146" customWidth="1"/>
    <col min="11015" max="11264" width="9.140625" style="146"/>
    <col min="11265" max="11265" width="4.28515625" style="146" customWidth="1"/>
    <col min="11266" max="11266" width="42.28515625" style="146" customWidth="1"/>
    <col min="11267" max="11267" width="9.140625" style="146"/>
    <col min="11268" max="11269" width="18.5703125" style="146" customWidth="1"/>
    <col min="11270" max="11270" width="11.42578125" style="146" customWidth="1"/>
    <col min="11271" max="11520" width="9.140625" style="146"/>
    <col min="11521" max="11521" width="4.28515625" style="146" customWidth="1"/>
    <col min="11522" max="11522" width="42.28515625" style="146" customWidth="1"/>
    <col min="11523" max="11523" width="9.140625" style="146"/>
    <col min="11524" max="11525" width="18.5703125" style="146" customWidth="1"/>
    <col min="11526" max="11526" width="11.42578125" style="146" customWidth="1"/>
    <col min="11527" max="11776" width="9.140625" style="146"/>
    <col min="11777" max="11777" width="4.28515625" style="146" customWidth="1"/>
    <col min="11778" max="11778" width="42.28515625" style="146" customWidth="1"/>
    <col min="11779" max="11779" width="9.140625" style="146"/>
    <col min="11780" max="11781" width="18.5703125" style="146" customWidth="1"/>
    <col min="11782" max="11782" width="11.42578125" style="146" customWidth="1"/>
    <col min="11783" max="12032" width="9.140625" style="146"/>
    <col min="12033" max="12033" width="4.28515625" style="146" customWidth="1"/>
    <col min="12034" max="12034" width="42.28515625" style="146" customWidth="1"/>
    <col min="12035" max="12035" width="9.140625" style="146"/>
    <col min="12036" max="12037" width="18.5703125" style="146" customWidth="1"/>
    <col min="12038" max="12038" width="11.42578125" style="146" customWidth="1"/>
    <col min="12039" max="12288" width="9.140625" style="146"/>
    <col min="12289" max="12289" width="4.28515625" style="146" customWidth="1"/>
    <col min="12290" max="12290" width="42.28515625" style="146" customWidth="1"/>
    <col min="12291" max="12291" width="9.140625" style="146"/>
    <col min="12292" max="12293" width="18.5703125" style="146" customWidth="1"/>
    <col min="12294" max="12294" width="11.42578125" style="146" customWidth="1"/>
    <col min="12295" max="12544" width="9.140625" style="146"/>
    <col min="12545" max="12545" width="4.28515625" style="146" customWidth="1"/>
    <col min="12546" max="12546" width="42.28515625" style="146" customWidth="1"/>
    <col min="12547" max="12547" width="9.140625" style="146"/>
    <col min="12548" max="12549" width="18.5703125" style="146" customWidth="1"/>
    <col min="12550" max="12550" width="11.42578125" style="146" customWidth="1"/>
    <col min="12551" max="12800" width="9.140625" style="146"/>
    <col min="12801" max="12801" width="4.28515625" style="146" customWidth="1"/>
    <col min="12802" max="12802" width="42.28515625" style="146" customWidth="1"/>
    <col min="12803" max="12803" width="9.140625" style="146"/>
    <col min="12804" max="12805" width="18.5703125" style="146" customWidth="1"/>
    <col min="12806" max="12806" width="11.42578125" style="146" customWidth="1"/>
    <col min="12807" max="13056" width="9.140625" style="146"/>
    <col min="13057" max="13057" width="4.28515625" style="146" customWidth="1"/>
    <col min="13058" max="13058" width="42.28515625" style="146" customWidth="1"/>
    <col min="13059" max="13059" width="9.140625" style="146"/>
    <col min="13060" max="13061" width="18.5703125" style="146" customWidth="1"/>
    <col min="13062" max="13062" width="11.42578125" style="146" customWidth="1"/>
    <col min="13063" max="13312" width="9.140625" style="146"/>
    <col min="13313" max="13313" width="4.28515625" style="146" customWidth="1"/>
    <col min="13314" max="13314" width="42.28515625" style="146" customWidth="1"/>
    <col min="13315" max="13315" width="9.140625" style="146"/>
    <col min="13316" max="13317" width="18.5703125" style="146" customWidth="1"/>
    <col min="13318" max="13318" width="11.42578125" style="146" customWidth="1"/>
    <col min="13319" max="13568" width="9.140625" style="146"/>
    <col min="13569" max="13569" width="4.28515625" style="146" customWidth="1"/>
    <col min="13570" max="13570" width="42.28515625" style="146" customWidth="1"/>
    <col min="13571" max="13571" width="9.140625" style="146"/>
    <col min="13572" max="13573" width="18.5703125" style="146" customWidth="1"/>
    <col min="13574" max="13574" width="11.42578125" style="146" customWidth="1"/>
    <col min="13575" max="13824" width="9.140625" style="146"/>
    <col min="13825" max="13825" width="4.28515625" style="146" customWidth="1"/>
    <col min="13826" max="13826" width="42.28515625" style="146" customWidth="1"/>
    <col min="13827" max="13827" width="9.140625" style="146"/>
    <col min="13828" max="13829" width="18.5703125" style="146" customWidth="1"/>
    <col min="13830" max="13830" width="11.42578125" style="146" customWidth="1"/>
    <col min="13831" max="14080" width="9.140625" style="146"/>
    <col min="14081" max="14081" width="4.28515625" style="146" customWidth="1"/>
    <col min="14082" max="14082" width="42.28515625" style="146" customWidth="1"/>
    <col min="14083" max="14083" width="9.140625" style="146"/>
    <col min="14084" max="14085" width="18.5703125" style="146" customWidth="1"/>
    <col min="14086" max="14086" width="11.42578125" style="146" customWidth="1"/>
    <col min="14087" max="14336" width="9.140625" style="146"/>
    <col min="14337" max="14337" width="4.28515625" style="146" customWidth="1"/>
    <col min="14338" max="14338" width="42.28515625" style="146" customWidth="1"/>
    <col min="14339" max="14339" width="9.140625" style="146"/>
    <col min="14340" max="14341" width="18.5703125" style="146" customWidth="1"/>
    <col min="14342" max="14342" width="11.42578125" style="146" customWidth="1"/>
    <col min="14343" max="14592" width="9.140625" style="146"/>
    <col min="14593" max="14593" width="4.28515625" style="146" customWidth="1"/>
    <col min="14594" max="14594" width="42.28515625" style="146" customWidth="1"/>
    <col min="14595" max="14595" width="9.140625" style="146"/>
    <col min="14596" max="14597" width="18.5703125" style="146" customWidth="1"/>
    <col min="14598" max="14598" width="11.42578125" style="146" customWidth="1"/>
    <col min="14599" max="14848" width="9.140625" style="146"/>
    <col min="14849" max="14849" width="4.28515625" style="146" customWidth="1"/>
    <col min="14850" max="14850" width="42.28515625" style="146" customWidth="1"/>
    <col min="14851" max="14851" width="9.140625" style="146"/>
    <col min="14852" max="14853" width="18.5703125" style="146" customWidth="1"/>
    <col min="14854" max="14854" width="11.42578125" style="146" customWidth="1"/>
    <col min="14855" max="15104" width="9.140625" style="146"/>
    <col min="15105" max="15105" width="4.28515625" style="146" customWidth="1"/>
    <col min="15106" max="15106" width="42.28515625" style="146" customWidth="1"/>
    <col min="15107" max="15107" width="9.140625" style="146"/>
    <col min="15108" max="15109" width="18.5703125" style="146" customWidth="1"/>
    <col min="15110" max="15110" width="11.42578125" style="146" customWidth="1"/>
    <col min="15111" max="15360" width="9.140625" style="146"/>
    <col min="15361" max="15361" width="4.28515625" style="146" customWidth="1"/>
    <col min="15362" max="15362" width="42.28515625" style="146" customWidth="1"/>
    <col min="15363" max="15363" width="9.140625" style="146"/>
    <col min="15364" max="15365" width="18.5703125" style="146" customWidth="1"/>
    <col min="15366" max="15366" width="11.42578125" style="146" customWidth="1"/>
    <col min="15367" max="15616" width="9.140625" style="146"/>
    <col min="15617" max="15617" width="4.28515625" style="146" customWidth="1"/>
    <col min="15618" max="15618" width="42.28515625" style="146" customWidth="1"/>
    <col min="15619" max="15619" width="9.140625" style="146"/>
    <col min="15620" max="15621" width="18.5703125" style="146" customWidth="1"/>
    <col min="15622" max="15622" width="11.42578125" style="146" customWidth="1"/>
    <col min="15623" max="15872" width="9.140625" style="146"/>
    <col min="15873" max="15873" width="4.28515625" style="146" customWidth="1"/>
    <col min="15874" max="15874" width="42.28515625" style="146" customWidth="1"/>
    <col min="15875" max="15875" width="9.140625" style="146"/>
    <col min="15876" max="15877" width="18.5703125" style="146" customWidth="1"/>
    <col min="15878" max="15878" width="11.42578125" style="146" customWidth="1"/>
    <col min="15879" max="16128" width="9.140625" style="146"/>
    <col min="16129" max="16129" width="4.28515625" style="146" customWidth="1"/>
    <col min="16130" max="16130" width="42.28515625" style="146" customWidth="1"/>
    <col min="16131" max="16131" width="9.140625" style="146"/>
    <col min="16132" max="16133" width="18.5703125" style="146" customWidth="1"/>
    <col min="16134" max="16134" width="11.42578125" style="146" customWidth="1"/>
    <col min="16135" max="16384" width="9.140625" style="146"/>
  </cols>
  <sheetData>
    <row r="1" spans="1:6" ht="43.5" customHeight="1">
      <c r="A1" s="281"/>
      <c r="B1" s="281"/>
      <c r="C1" s="85"/>
      <c r="D1" s="282" t="s">
        <v>108</v>
      </c>
      <c r="E1" s="282"/>
      <c r="F1" s="282"/>
    </row>
    <row r="2" spans="1:6" ht="27.75" customHeight="1">
      <c r="A2" s="283" t="s">
        <v>109</v>
      </c>
      <c r="B2" s="283"/>
      <c r="C2" s="283"/>
      <c r="D2" s="283"/>
      <c r="E2" s="283"/>
      <c r="F2" s="283"/>
    </row>
    <row r="3" spans="1:6" ht="4.5" customHeight="1">
      <c r="A3" s="93"/>
      <c r="B3" s="93"/>
      <c r="C3" s="93"/>
      <c r="D3" s="228"/>
      <c r="E3" s="228"/>
      <c r="F3" s="93"/>
    </row>
    <row r="4" spans="1:6" ht="27" customHeight="1">
      <c r="A4" s="284" t="s">
        <v>475</v>
      </c>
      <c r="B4" s="284"/>
      <c r="C4" s="284"/>
      <c r="D4" s="284"/>
      <c r="E4" s="284"/>
      <c r="F4" s="284"/>
    </row>
    <row r="5" spans="1:6" ht="22.5" customHeight="1">
      <c r="A5" s="285" t="s">
        <v>265</v>
      </c>
      <c r="B5" s="285"/>
      <c r="C5" s="285"/>
      <c r="D5" s="285"/>
      <c r="E5" s="285"/>
      <c r="F5" s="285"/>
    </row>
    <row r="6" spans="1:6" ht="15.75" customHeight="1">
      <c r="A6" s="92" t="s">
        <v>112</v>
      </c>
      <c r="B6" s="114" t="s">
        <v>11</v>
      </c>
      <c r="C6" s="280" t="s">
        <v>114</v>
      </c>
      <c r="D6" s="280"/>
      <c r="E6" s="280"/>
      <c r="F6" s="280"/>
    </row>
    <row r="7" spans="1:6" ht="15.75" customHeight="1">
      <c r="A7" s="93"/>
      <c r="B7" s="93" t="s">
        <v>115</v>
      </c>
      <c r="C7" s="281" t="s">
        <v>116</v>
      </c>
      <c r="D7" s="281"/>
      <c r="E7" s="281"/>
      <c r="F7" s="281"/>
    </row>
    <row r="8" spans="1:6" ht="15.75" customHeight="1">
      <c r="A8" s="92" t="s">
        <v>117</v>
      </c>
      <c r="B8" s="114" t="s">
        <v>3</v>
      </c>
      <c r="C8" s="280" t="s">
        <v>118</v>
      </c>
      <c r="D8" s="280"/>
      <c r="E8" s="280"/>
      <c r="F8" s="280"/>
    </row>
    <row r="9" spans="1:6" ht="15.75" customHeight="1">
      <c r="A9" s="93"/>
      <c r="B9" s="93" t="s">
        <v>5</v>
      </c>
      <c r="C9" s="281" t="s">
        <v>6</v>
      </c>
      <c r="D9" s="281"/>
      <c r="E9" s="281"/>
      <c r="F9" s="281"/>
    </row>
    <row r="10" spans="1:6" ht="15.75" customHeight="1">
      <c r="A10" s="92" t="s">
        <v>93</v>
      </c>
      <c r="B10" s="114" t="s">
        <v>266</v>
      </c>
      <c r="C10" s="280" t="s">
        <v>119</v>
      </c>
      <c r="D10" s="280"/>
      <c r="E10" s="280"/>
      <c r="F10" s="280"/>
    </row>
    <row r="11" spans="1:6" ht="15.75" customHeight="1">
      <c r="A11" s="93"/>
      <c r="B11" s="93" t="s">
        <v>120</v>
      </c>
      <c r="C11" s="281" t="s">
        <v>121</v>
      </c>
      <c r="D11" s="281"/>
      <c r="E11" s="281"/>
      <c r="F11" s="281"/>
    </row>
    <row r="12" spans="1:6" ht="15.75" customHeight="1">
      <c r="A12" s="92" t="s">
        <v>99</v>
      </c>
      <c r="B12" s="114" t="s">
        <v>15</v>
      </c>
      <c r="C12" s="287">
        <v>44322</v>
      </c>
      <c r="D12" s="280"/>
      <c r="E12" s="280"/>
      <c r="F12" s="280"/>
    </row>
    <row r="13" spans="1:6" ht="15.75" customHeight="1">
      <c r="A13" s="93"/>
      <c r="B13" s="93" t="s">
        <v>16</v>
      </c>
      <c r="C13" s="288">
        <v>44322</v>
      </c>
      <c r="D13" s="281"/>
      <c r="E13" s="281"/>
      <c r="F13" s="281"/>
    </row>
    <row r="14" spans="1:6" ht="7.5" customHeight="1">
      <c r="A14" s="93"/>
      <c r="B14" s="93"/>
      <c r="C14" s="93"/>
      <c r="D14" s="228"/>
      <c r="E14" s="228"/>
      <c r="F14" s="93"/>
    </row>
    <row r="15" spans="1:6" ht="15" customHeight="1">
      <c r="A15" s="289" t="s">
        <v>267</v>
      </c>
      <c r="B15" s="289"/>
      <c r="C15" s="289"/>
      <c r="D15" s="289"/>
      <c r="E15" s="289"/>
      <c r="F15" s="289"/>
    </row>
    <row r="16" spans="1:6" ht="15" customHeight="1">
      <c r="A16" s="280" t="s">
        <v>476</v>
      </c>
      <c r="B16" s="280"/>
      <c r="C16" s="280"/>
      <c r="D16" s="280"/>
      <c r="E16" s="280"/>
      <c r="F16" s="280"/>
    </row>
    <row r="17" spans="1:6" ht="15" customHeight="1">
      <c r="A17" s="147"/>
      <c r="B17" s="148"/>
      <c r="C17" s="147"/>
      <c r="D17" s="229"/>
      <c r="E17" s="290" t="s">
        <v>126</v>
      </c>
      <c r="F17" s="290"/>
    </row>
    <row r="18" spans="1:6" ht="55.5" customHeight="1">
      <c r="A18" s="97" t="s">
        <v>269</v>
      </c>
      <c r="B18" s="98" t="s">
        <v>270</v>
      </c>
      <c r="C18" s="98" t="s">
        <v>70</v>
      </c>
      <c r="D18" s="231" t="s">
        <v>477</v>
      </c>
      <c r="E18" s="231" t="s">
        <v>478</v>
      </c>
      <c r="F18" s="99" t="s">
        <v>1004</v>
      </c>
    </row>
    <row r="19" spans="1:6" ht="21">
      <c r="A19" s="149" t="s">
        <v>83</v>
      </c>
      <c r="B19" s="150" t="s">
        <v>479</v>
      </c>
      <c r="C19" s="221" t="s">
        <v>480</v>
      </c>
      <c r="D19" s="242">
        <v>0</v>
      </c>
      <c r="E19" s="242">
        <v>0</v>
      </c>
      <c r="F19" s="152">
        <v>0</v>
      </c>
    </row>
    <row r="20" spans="1:6" ht="21">
      <c r="A20" s="149" t="s">
        <v>481</v>
      </c>
      <c r="B20" s="150" t="s">
        <v>482</v>
      </c>
      <c r="C20" s="221" t="s">
        <v>483</v>
      </c>
      <c r="D20" s="243">
        <v>514787694269</v>
      </c>
      <c r="E20" s="243">
        <v>102204383631</v>
      </c>
      <c r="F20" s="152">
        <v>2323.4223999999999</v>
      </c>
    </row>
    <row r="21" spans="1:6" ht="21" customHeight="1">
      <c r="A21" s="149"/>
      <c r="B21" s="150" t="s">
        <v>233</v>
      </c>
      <c r="C21" s="221" t="s">
        <v>484</v>
      </c>
      <c r="D21" s="243">
        <v>0</v>
      </c>
      <c r="E21" s="243"/>
      <c r="F21" s="152">
        <v>0</v>
      </c>
    </row>
    <row r="22" spans="1:6" ht="21" customHeight="1">
      <c r="A22" s="149"/>
      <c r="B22" s="150" t="s">
        <v>485</v>
      </c>
      <c r="C22" s="221" t="s">
        <v>486</v>
      </c>
      <c r="D22" s="243">
        <v>514787694269</v>
      </c>
      <c r="E22" s="243">
        <v>42204383631</v>
      </c>
      <c r="F22" s="152">
        <v>2323.4223999999999</v>
      </c>
    </row>
    <row r="23" spans="1:6" ht="21" customHeight="1">
      <c r="A23" s="149"/>
      <c r="B23" s="150" t="s">
        <v>487</v>
      </c>
      <c r="C23" s="221" t="s">
        <v>488</v>
      </c>
      <c r="D23" s="244">
        <v>0</v>
      </c>
      <c r="E23" s="244">
        <v>2019996</v>
      </c>
      <c r="F23" s="152">
        <v>0</v>
      </c>
    </row>
    <row r="24" spans="1:6" ht="21" customHeight="1">
      <c r="A24" s="149"/>
      <c r="B24" s="150" t="s">
        <v>489</v>
      </c>
      <c r="C24" s="221" t="s">
        <v>490</v>
      </c>
      <c r="D24" s="244">
        <v>0</v>
      </c>
      <c r="E24" s="244">
        <v>0</v>
      </c>
      <c r="F24" s="152">
        <v>0</v>
      </c>
    </row>
    <row r="25" spans="1:6" ht="21" customHeight="1">
      <c r="A25" s="149"/>
      <c r="B25" s="150" t="s">
        <v>491</v>
      </c>
      <c r="C25" s="221" t="s">
        <v>492</v>
      </c>
      <c r="D25" s="244">
        <v>514787694269</v>
      </c>
      <c r="E25" s="244">
        <v>42202363635</v>
      </c>
      <c r="F25" s="152">
        <v>2323.4223999999999</v>
      </c>
    </row>
    <row r="26" spans="1:6" ht="21" customHeight="1">
      <c r="A26" s="149"/>
      <c r="B26" s="150" t="s">
        <v>493</v>
      </c>
      <c r="C26" s="221" t="s">
        <v>494</v>
      </c>
      <c r="D26" s="244">
        <v>0</v>
      </c>
      <c r="E26" s="244">
        <v>0</v>
      </c>
      <c r="F26" s="152">
        <v>0</v>
      </c>
    </row>
    <row r="27" spans="1:6" ht="21" customHeight="1">
      <c r="A27" s="149"/>
      <c r="B27" s="150" t="s">
        <v>495</v>
      </c>
      <c r="C27" s="221" t="s">
        <v>496</v>
      </c>
      <c r="D27" s="244">
        <v>0</v>
      </c>
      <c r="E27" s="244">
        <v>0</v>
      </c>
      <c r="F27" s="152">
        <v>0</v>
      </c>
    </row>
    <row r="28" spans="1:6" ht="21" customHeight="1">
      <c r="A28" s="149"/>
      <c r="B28" s="150" t="s">
        <v>497</v>
      </c>
      <c r="C28" s="221">
        <v>2204</v>
      </c>
      <c r="D28" s="243">
        <v>0</v>
      </c>
      <c r="E28" s="243">
        <v>60000000000</v>
      </c>
      <c r="F28" s="152">
        <v>0</v>
      </c>
    </row>
    <row r="29" spans="1:6" ht="21">
      <c r="A29" s="149" t="s">
        <v>498</v>
      </c>
      <c r="B29" s="150" t="s">
        <v>499</v>
      </c>
      <c r="C29" s="221" t="s">
        <v>500</v>
      </c>
      <c r="D29" s="243">
        <v>9648802687450</v>
      </c>
      <c r="E29" s="243">
        <v>9662246796750</v>
      </c>
      <c r="F29" s="152">
        <v>92.419200000000004</v>
      </c>
    </row>
    <row r="30" spans="1:6" ht="21">
      <c r="A30" s="149"/>
      <c r="B30" s="150" t="s">
        <v>501</v>
      </c>
      <c r="C30" s="221" t="s">
        <v>502</v>
      </c>
      <c r="D30" s="243">
        <v>9648802687450</v>
      </c>
      <c r="E30" s="243">
        <v>9662246796750</v>
      </c>
      <c r="F30" s="152">
        <v>92.419200000000004</v>
      </c>
    </row>
    <row r="31" spans="1:6" ht="21">
      <c r="A31" s="149"/>
      <c r="B31" s="150" t="s">
        <v>503</v>
      </c>
      <c r="C31" s="221" t="s">
        <v>504</v>
      </c>
      <c r="D31" s="243">
        <v>0</v>
      </c>
      <c r="E31" s="243">
        <v>0</v>
      </c>
      <c r="F31" s="152">
        <v>0</v>
      </c>
    </row>
    <row r="32" spans="1:6" ht="21">
      <c r="A32" s="149"/>
      <c r="B32" s="150" t="s">
        <v>505</v>
      </c>
      <c r="C32" s="221" t="s">
        <v>506</v>
      </c>
      <c r="D32" s="243">
        <v>0</v>
      </c>
      <c r="E32" s="243">
        <v>0</v>
      </c>
      <c r="F32" s="152">
        <v>0</v>
      </c>
    </row>
    <row r="33" spans="1:6" ht="21">
      <c r="A33" s="149"/>
      <c r="B33" s="150" t="s">
        <v>507</v>
      </c>
      <c r="C33" s="221" t="s">
        <v>508</v>
      </c>
      <c r="D33" s="243">
        <v>0</v>
      </c>
      <c r="E33" s="243">
        <v>0</v>
      </c>
      <c r="F33" s="152">
        <v>0</v>
      </c>
    </row>
    <row r="34" spans="1:6" ht="21">
      <c r="A34" s="149"/>
      <c r="B34" s="150" t="s">
        <v>509</v>
      </c>
      <c r="C34" s="221" t="s">
        <v>510</v>
      </c>
      <c r="D34" s="243">
        <v>0</v>
      </c>
      <c r="E34" s="243">
        <v>0</v>
      </c>
      <c r="F34" s="152">
        <v>0</v>
      </c>
    </row>
    <row r="35" spans="1:6" ht="21">
      <c r="A35" s="149"/>
      <c r="B35" s="150" t="s">
        <v>511</v>
      </c>
      <c r="C35" s="221" t="s">
        <v>512</v>
      </c>
      <c r="D35" s="243">
        <v>0</v>
      </c>
      <c r="E35" s="243">
        <v>0</v>
      </c>
      <c r="F35" s="152">
        <v>0</v>
      </c>
    </row>
    <row r="36" spans="1:6" ht="21">
      <c r="A36" s="149"/>
      <c r="B36" s="150" t="s">
        <v>513</v>
      </c>
      <c r="C36" s="221" t="s">
        <v>514</v>
      </c>
      <c r="D36" s="243">
        <v>0</v>
      </c>
      <c r="E36" s="243">
        <v>0</v>
      </c>
      <c r="F36" s="152">
        <v>0</v>
      </c>
    </row>
    <row r="37" spans="1:6" ht="21">
      <c r="A37" s="149"/>
      <c r="B37" s="150" t="s">
        <v>515</v>
      </c>
      <c r="C37" s="221" t="s">
        <v>516</v>
      </c>
      <c r="D37" s="243">
        <v>0</v>
      </c>
      <c r="E37" s="243">
        <v>0</v>
      </c>
      <c r="F37" s="152">
        <v>0</v>
      </c>
    </row>
    <row r="38" spans="1:6" ht="21" customHeight="1">
      <c r="A38" s="149" t="s">
        <v>517</v>
      </c>
      <c r="B38" s="150" t="s">
        <v>518</v>
      </c>
      <c r="C38" s="221"/>
      <c r="D38" s="243">
        <v>0</v>
      </c>
      <c r="E38" s="243">
        <v>0</v>
      </c>
      <c r="F38" s="152">
        <v>0</v>
      </c>
    </row>
    <row r="39" spans="1:6" ht="21">
      <c r="A39" s="149" t="s">
        <v>519</v>
      </c>
      <c r="B39" s="150" t="s">
        <v>520</v>
      </c>
      <c r="C39" s="221" t="s">
        <v>521</v>
      </c>
      <c r="D39" s="243">
        <v>0</v>
      </c>
      <c r="E39" s="243">
        <v>7558908800</v>
      </c>
      <c r="F39" s="152">
        <v>0</v>
      </c>
    </row>
    <row r="40" spans="1:6" ht="21">
      <c r="A40" s="149"/>
      <c r="B40" s="150" t="s">
        <v>522</v>
      </c>
      <c r="C40" s="221" t="s">
        <v>523</v>
      </c>
      <c r="D40" s="243">
        <v>0</v>
      </c>
      <c r="E40" s="243">
        <v>7558908800</v>
      </c>
      <c r="F40" s="152">
        <v>0</v>
      </c>
    </row>
    <row r="41" spans="1:6" ht="21">
      <c r="A41" s="149"/>
      <c r="B41" s="150" t="s">
        <v>524</v>
      </c>
      <c r="C41" s="221" t="s">
        <v>525</v>
      </c>
      <c r="D41" s="243">
        <v>0</v>
      </c>
      <c r="E41" s="243">
        <v>0</v>
      </c>
      <c r="F41" s="152">
        <v>0</v>
      </c>
    </row>
    <row r="42" spans="1:6" ht="21">
      <c r="A42" s="149" t="s">
        <v>526</v>
      </c>
      <c r="B42" s="150" t="s">
        <v>527</v>
      </c>
      <c r="C42" s="221" t="s">
        <v>528</v>
      </c>
      <c r="D42" s="243">
        <v>0</v>
      </c>
      <c r="E42" s="243">
        <v>64109592</v>
      </c>
      <c r="F42" s="152">
        <v>0</v>
      </c>
    </row>
    <row r="43" spans="1:6" ht="31.5">
      <c r="A43" s="149"/>
      <c r="B43" s="150" t="s">
        <v>529</v>
      </c>
      <c r="C43" s="221" t="s">
        <v>530</v>
      </c>
      <c r="D43" s="243">
        <v>0</v>
      </c>
      <c r="E43" s="243">
        <v>64109592</v>
      </c>
      <c r="F43" s="152">
        <v>0</v>
      </c>
    </row>
    <row r="44" spans="1:6" ht="31.5">
      <c r="A44" s="149"/>
      <c r="B44" s="150" t="s">
        <v>531</v>
      </c>
      <c r="C44" s="221" t="s">
        <v>532</v>
      </c>
      <c r="D44" s="243">
        <v>0</v>
      </c>
      <c r="E44" s="243">
        <v>0</v>
      </c>
      <c r="F44" s="152">
        <v>0</v>
      </c>
    </row>
    <row r="45" spans="1:6" ht="21">
      <c r="A45" s="149"/>
      <c r="B45" s="150" t="s">
        <v>533</v>
      </c>
      <c r="C45" s="221" t="s">
        <v>534</v>
      </c>
      <c r="D45" s="243">
        <v>0</v>
      </c>
      <c r="E45" s="243">
        <v>0</v>
      </c>
      <c r="F45" s="152">
        <v>0</v>
      </c>
    </row>
    <row r="46" spans="1:6" ht="21">
      <c r="A46" s="149" t="s">
        <v>535</v>
      </c>
      <c r="B46" s="150" t="s">
        <v>536</v>
      </c>
      <c r="C46" s="221"/>
      <c r="D46" s="243">
        <v>0</v>
      </c>
      <c r="E46" s="243">
        <v>0</v>
      </c>
      <c r="F46" s="152">
        <v>0</v>
      </c>
    </row>
    <row r="47" spans="1:6" ht="21">
      <c r="A47" s="149" t="s">
        <v>537</v>
      </c>
      <c r="B47" s="150" t="s">
        <v>538</v>
      </c>
      <c r="C47" s="221" t="s">
        <v>539</v>
      </c>
      <c r="D47" s="243">
        <v>1299023770000</v>
      </c>
      <c r="E47" s="243">
        <v>36044540000</v>
      </c>
      <c r="F47" s="152">
        <v>197.39529999999999</v>
      </c>
    </row>
    <row r="48" spans="1:6" ht="21">
      <c r="A48" s="149" t="s">
        <v>540</v>
      </c>
      <c r="B48" s="150" t="s">
        <v>541</v>
      </c>
      <c r="C48" s="221" t="s">
        <v>542</v>
      </c>
      <c r="D48" s="243">
        <v>0</v>
      </c>
      <c r="E48" s="243">
        <v>0</v>
      </c>
      <c r="F48" s="152">
        <v>0</v>
      </c>
    </row>
    <row r="49" spans="1:6" ht="21">
      <c r="A49" s="149"/>
      <c r="B49" s="150" t="s">
        <v>543</v>
      </c>
      <c r="C49" s="221" t="s">
        <v>544</v>
      </c>
      <c r="D49" s="243">
        <v>0</v>
      </c>
      <c r="E49" s="243">
        <v>0</v>
      </c>
      <c r="F49" s="152">
        <v>0</v>
      </c>
    </row>
    <row r="50" spans="1:6" ht="21">
      <c r="A50" s="149"/>
      <c r="B50" s="150" t="s">
        <v>545</v>
      </c>
      <c r="C50" s="221" t="s">
        <v>546</v>
      </c>
      <c r="D50" s="243">
        <v>0</v>
      </c>
      <c r="E50" s="243">
        <v>0</v>
      </c>
      <c r="F50" s="152">
        <v>0</v>
      </c>
    </row>
    <row r="51" spans="1:6" ht="21">
      <c r="A51" s="149"/>
      <c r="B51" s="150" t="s">
        <v>547</v>
      </c>
      <c r="C51" s="221" t="s">
        <v>548</v>
      </c>
      <c r="D51" s="243">
        <v>0</v>
      </c>
      <c r="E51" s="243">
        <v>0</v>
      </c>
      <c r="F51" s="152">
        <v>0</v>
      </c>
    </row>
    <row r="52" spans="1:6" ht="21">
      <c r="A52" s="149" t="s">
        <v>549</v>
      </c>
      <c r="B52" s="150" t="s">
        <v>550</v>
      </c>
      <c r="C52" s="221" t="s">
        <v>551</v>
      </c>
      <c r="D52" s="243">
        <v>0</v>
      </c>
      <c r="E52" s="243">
        <v>0</v>
      </c>
      <c r="F52" s="152">
        <v>0</v>
      </c>
    </row>
    <row r="53" spans="1:6" ht="21">
      <c r="A53" s="149"/>
      <c r="B53" s="150" t="s">
        <v>552</v>
      </c>
      <c r="C53" s="221" t="s">
        <v>553</v>
      </c>
      <c r="D53" s="243">
        <v>0</v>
      </c>
      <c r="E53" s="243">
        <v>0</v>
      </c>
      <c r="F53" s="152">
        <v>0</v>
      </c>
    </row>
    <row r="54" spans="1:6" ht="21">
      <c r="A54" s="149"/>
      <c r="B54" s="150" t="s">
        <v>554</v>
      </c>
      <c r="C54" s="221" t="s">
        <v>555</v>
      </c>
      <c r="D54" s="243">
        <v>0</v>
      </c>
      <c r="E54" s="243">
        <v>0</v>
      </c>
      <c r="F54" s="152">
        <v>0</v>
      </c>
    </row>
    <row r="55" spans="1:6" ht="21">
      <c r="A55" s="149"/>
      <c r="B55" s="150" t="s">
        <v>556</v>
      </c>
      <c r="C55" s="221" t="s">
        <v>557</v>
      </c>
      <c r="D55" s="243">
        <v>0</v>
      </c>
      <c r="E55" s="243">
        <v>0</v>
      </c>
      <c r="F55" s="152">
        <v>0</v>
      </c>
    </row>
    <row r="56" spans="1:6" ht="21">
      <c r="A56" s="149"/>
      <c r="B56" s="150" t="s">
        <v>558</v>
      </c>
      <c r="C56" s="221" t="s">
        <v>559</v>
      </c>
      <c r="D56" s="243">
        <v>0</v>
      </c>
      <c r="E56" s="243">
        <v>0</v>
      </c>
      <c r="F56" s="152">
        <v>0</v>
      </c>
    </row>
    <row r="57" spans="1:6" ht="31.5">
      <c r="A57" s="149"/>
      <c r="B57" s="150" t="s">
        <v>560</v>
      </c>
      <c r="C57" s="221" t="s">
        <v>561</v>
      </c>
      <c r="D57" s="243">
        <v>0</v>
      </c>
      <c r="E57" s="243">
        <v>0</v>
      </c>
      <c r="F57" s="152">
        <v>0</v>
      </c>
    </row>
    <row r="58" spans="1:6" ht="21">
      <c r="A58" s="149" t="s">
        <v>562</v>
      </c>
      <c r="B58" s="150" t="s">
        <v>563</v>
      </c>
      <c r="C58" s="221" t="s">
        <v>564</v>
      </c>
      <c r="D58" s="242">
        <v>11462614151719</v>
      </c>
      <c r="E58" s="242">
        <v>9808118738773</v>
      </c>
      <c r="F58" s="186">
        <v>103.0765</v>
      </c>
    </row>
    <row r="59" spans="1:6" ht="21">
      <c r="A59" s="149" t="s">
        <v>88</v>
      </c>
      <c r="B59" s="150" t="s">
        <v>565</v>
      </c>
      <c r="C59" s="221" t="s">
        <v>566</v>
      </c>
      <c r="D59" s="242">
        <v>0</v>
      </c>
      <c r="E59" s="242">
        <v>0</v>
      </c>
      <c r="F59" s="152">
        <v>0</v>
      </c>
    </row>
    <row r="60" spans="1:6" ht="21">
      <c r="A60" s="149" t="s">
        <v>567</v>
      </c>
      <c r="B60" s="150" t="s">
        <v>568</v>
      </c>
      <c r="C60" s="221"/>
      <c r="D60" s="243">
        <v>0</v>
      </c>
      <c r="E60" s="243">
        <v>0</v>
      </c>
      <c r="F60" s="152">
        <v>0</v>
      </c>
    </row>
    <row r="61" spans="1:6" ht="21">
      <c r="A61" s="149" t="s">
        <v>569</v>
      </c>
      <c r="B61" s="150" t="s">
        <v>570</v>
      </c>
      <c r="C61" s="221" t="s">
        <v>571</v>
      </c>
      <c r="D61" s="243">
        <v>214612100000</v>
      </c>
      <c r="E61" s="243">
        <v>0</v>
      </c>
      <c r="F61" s="152">
        <v>0</v>
      </c>
    </row>
    <row r="62" spans="1:6" ht="21">
      <c r="A62" s="149" t="s">
        <v>572</v>
      </c>
      <c r="B62" s="150" t="s">
        <v>573</v>
      </c>
      <c r="C62" s="221" t="s">
        <v>574</v>
      </c>
      <c r="D62" s="243">
        <v>15861670965</v>
      </c>
      <c r="E62" s="243">
        <v>9041398140</v>
      </c>
      <c r="F62" s="152">
        <v>160.4982</v>
      </c>
    </row>
    <row r="63" spans="1:6" ht="21">
      <c r="A63" s="149"/>
      <c r="B63" s="150" t="s">
        <v>575</v>
      </c>
      <c r="C63" s="221" t="s">
        <v>576</v>
      </c>
      <c r="D63" s="243">
        <v>3427667451</v>
      </c>
      <c r="E63" s="243">
        <v>2019996</v>
      </c>
      <c r="F63" s="152">
        <v>0</v>
      </c>
    </row>
    <row r="64" spans="1:6" ht="21">
      <c r="A64" s="149"/>
      <c r="B64" s="150" t="s">
        <v>577</v>
      </c>
      <c r="C64" s="221" t="s">
        <v>578</v>
      </c>
      <c r="D64" s="244">
        <v>0</v>
      </c>
      <c r="E64" s="244">
        <v>0</v>
      </c>
      <c r="F64" s="152">
        <v>0</v>
      </c>
    </row>
    <row r="65" spans="1:6" ht="21">
      <c r="A65" s="149"/>
      <c r="B65" s="150" t="s">
        <v>579</v>
      </c>
      <c r="C65" s="221" t="s">
        <v>580</v>
      </c>
      <c r="D65" s="244">
        <v>0</v>
      </c>
      <c r="E65" s="244">
        <v>0</v>
      </c>
      <c r="F65" s="152">
        <v>0</v>
      </c>
    </row>
    <row r="66" spans="1:6" ht="21">
      <c r="A66" s="149"/>
      <c r="B66" s="150" t="s">
        <v>581</v>
      </c>
      <c r="C66" s="221" t="s">
        <v>582</v>
      </c>
      <c r="D66" s="244">
        <v>3427667451</v>
      </c>
      <c r="E66" s="244">
        <v>2019996</v>
      </c>
      <c r="F66" s="152">
        <v>0</v>
      </c>
    </row>
    <row r="67" spans="1:6" ht="21">
      <c r="A67" s="149"/>
      <c r="B67" s="150" t="s">
        <v>583</v>
      </c>
      <c r="C67" s="221" t="s">
        <v>584</v>
      </c>
      <c r="D67" s="243">
        <v>0</v>
      </c>
      <c r="E67" s="243">
        <v>0</v>
      </c>
      <c r="F67" s="152">
        <v>0</v>
      </c>
    </row>
    <row r="68" spans="1:6" ht="42">
      <c r="A68" s="149"/>
      <c r="B68" s="150" t="s">
        <v>585</v>
      </c>
      <c r="C68" s="221" t="s">
        <v>586</v>
      </c>
      <c r="D68" s="243">
        <v>0</v>
      </c>
      <c r="E68" s="243">
        <v>0</v>
      </c>
      <c r="F68" s="152">
        <v>0</v>
      </c>
    </row>
    <row r="69" spans="1:6" ht="21" customHeight="1">
      <c r="A69" s="149"/>
      <c r="B69" s="150" t="s">
        <v>587</v>
      </c>
      <c r="C69" s="221" t="s">
        <v>588</v>
      </c>
      <c r="D69" s="244">
        <v>0</v>
      </c>
      <c r="E69" s="244">
        <v>0</v>
      </c>
      <c r="F69" s="152">
        <v>0</v>
      </c>
    </row>
    <row r="70" spans="1:6" ht="33" customHeight="1">
      <c r="A70" s="149"/>
      <c r="B70" s="150" t="s">
        <v>589</v>
      </c>
      <c r="C70" s="221" t="s">
        <v>590</v>
      </c>
      <c r="D70" s="244">
        <v>0</v>
      </c>
      <c r="E70" s="244">
        <v>0</v>
      </c>
      <c r="F70" s="152">
        <v>0</v>
      </c>
    </row>
    <row r="71" spans="1:6" ht="21">
      <c r="A71" s="149"/>
      <c r="B71" s="150" t="s">
        <v>591</v>
      </c>
      <c r="C71" s="221" t="s">
        <v>592</v>
      </c>
      <c r="D71" s="243">
        <v>0</v>
      </c>
      <c r="E71" s="243">
        <v>0</v>
      </c>
      <c r="F71" s="152">
        <v>0</v>
      </c>
    </row>
    <row r="72" spans="1:6" ht="21">
      <c r="A72" s="149"/>
      <c r="B72" s="150" t="s">
        <v>593</v>
      </c>
      <c r="C72" s="221" t="s">
        <v>594</v>
      </c>
      <c r="D72" s="243">
        <v>11958861</v>
      </c>
      <c r="E72" s="243">
        <v>11219146</v>
      </c>
      <c r="F72" s="152">
        <v>0</v>
      </c>
    </row>
    <row r="73" spans="1:6" ht="21">
      <c r="A73" s="149"/>
      <c r="B73" s="150" t="s">
        <v>595</v>
      </c>
      <c r="C73" s="221" t="s">
        <v>596</v>
      </c>
      <c r="D73" s="243">
        <v>6921026816</v>
      </c>
      <c r="E73" s="243">
        <v>6394616902</v>
      </c>
      <c r="F73" s="152">
        <v>317.18419999999998</v>
      </c>
    </row>
    <row r="74" spans="1:6" ht="21">
      <c r="A74" s="149"/>
      <c r="B74" s="150" t="s">
        <v>597</v>
      </c>
      <c r="C74" s="221" t="s">
        <v>598</v>
      </c>
      <c r="D74" s="243">
        <v>190328235</v>
      </c>
      <c r="E74" s="243">
        <v>175851966</v>
      </c>
      <c r="F74" s="152">
        <v>38.450099999999999</v>
      </c>
    </row>
    <row r="75" spans="1:6" ht="21">
      <c r="A75" s="149"/>
      <c r="B75" s="150" t="s">
        <v>599</v>
      </c>
      <c r="C75" s="221" t="s">
        <v>600</v>
      </c>
      <c r="D75" s="243">
        <v>380656477</v>
      </c>
      <c r="E75" s="243">
        <v>351703930</v>
      </c>
      <c r="F75" s="152">
        <v>76.900300000000001</v>
      </c>
    </row>
    <row r="76" spans="1:6" ht="21">
      <c r="A76" s="149"/>
      <c r="B76" s="150" t="s">
        <v>601</v>
      </c>
      <c r="C76" s="221" t="s">
        <v>602</v>
      </c>
      <c r="D76" s="243">
        <v>1929958198</v>
      </c>
      <c r="E76" s="243">
        <v>54066810</v>
      </c>
      <c r="F76" s="152">
        <v>273.69369999999998</v>
      </c>
    </row>
    <row r="77" spans="1:6" ht="21">
      <c r="A77" s="149"/>
      <c r="B77" s="150" t="s">
        <v>603</v>
      </c>
      <c r="C77" s="221" t="s">
        <v>604</v>
      </c>
      <c r="D77" s="244">
        <v>1929958198</v>
      </c>
      <c r="E77" s="244">
        <v>54066810</v>
      </c>
      <c r="F77" s="152">
        <v>273.69369999999998</v>
      </c>
    </row>
    <row r="78" spans="1:6" ht="21">
      <c r="A78" s="149"/>
      <c r="B78" s="150" t="s">
        <v>605</v>
      </c>
      <c r="C78" s="221" t="s">
        <v>606</v>
      </c>
      <c r="D78" s="244">
        <v>0</v>
      </c>
      <c r="E78" s="244">
        <v>0</v>
      </c>
      <c r="F78" s="152">
        <v>0</v>
      </c>
    </row>
    <row r="79" spans="1:6" ht="21">
      <c r="A79" s="149"/>
      <c r="B79" s="150" t="s">
        <v>607</v>
      </c>
      <c r="C79" s="221" t="s">
        <v>608</v>
      </c>
      <c r="D79" s="243">
        <v>187425670</v>
      </c>
      <c r="E79" s="243">
        <v>162465424</v>
      </c>
      <c r="F79" s="152">
        <v>49.322499999999998</v>
      </c>
    </row>
    <row r="80" spans="1:6" ht="21">
      <c r="A80" s="149"/>
      <c r="B80" s="150" t="s">
        <v>609</v>
      </c>
      <c r="C80" s="221" t="s">
        <v>610</v>
      </c>
      <c r="D80" s="244">
        <v>173025670</v>
      </c>
      <c r="E80" s="244">
        <v>159865424</v>
      </c>
      <c r="F80" s="152">
        <v>57.675199999999997</v>
      </c>
    </row>
    <row r="81" spans="1:6" ht="21">
      <c r="A81" s="149"/>
      <c r="B81" s="150" t="s">
        <v>611</v>
      </c>
      <c r="C81" s="221" t="s">
        <v>612</v>
      </c>
      <c r="D81" s="244">
        <v>14400000</v>
      </c>
      <c r="E81" s="244">
        <v>2600000</v>
      </c>
      <c r="F81" s="152">
        <v>18</v>
      </c>
    </row>
    <row r="82" spans="1:6" ht="21">
      <c r="A82" s="149"/>
      <c r="B82" s="150" t="s">
        <v>307</v>
      </c>
      <c r="C82" s="221" t="s">
        <v>613</v>
      </c>
      <c r="D82" s="244">
        <v>0</v>
      </c>
      <c r="E82" s="244">
        <v>0</v>
      </c>
      <c r="F82" s="152">
        <v>0</v>
      </c>
    </row>
    <row r="83" spans="1:6" ht="42">
      <c r="A83" s="149"/>
      <c r="B83" s="150" t="s">
        <v>311</v>
      </c>
      <c r="C83" s="221" t="s">
        <v>614</v>
      </c>
      <c r="D83" s="244">
        <v>0</v>
      </c>
      <c r="E83" s="244">
        <v>0</v>
      </c>
      <c r="F83" s="152">
        <v>0</v>
      </c>
    </row>
    <row r="84" spans="1:6" ht="21">
      <c r="A84" s="149"/>
      <c r="B84" s="150" t="s">
        <v>615</v>
      </c>
      <c r="C84" s="221" t="s">
        <v>616</v>
      </c>
      <c r="D84" s="243">
        <v>36164396</v>
      </c>
      <c r="E84" s="243">
        <v>104123296</v>
      </c>
      <c r="F84" s="152">
        <v>0</v>
      </c>
    </row>
    <row r="85" spans="1:6" ht="21">
      <c r="A85" s="149"/>
      <c r="B85" s="150" t="s">
        <v>617</v>
      </c>
      <c r="C85" s="221" t="s">
        <v>618</v>
      </c>
      <c r="D85" s="243">
        <v>0</v>
      </c>
      <c r="E85" s="243">
        <v>0</v>
      </c>
      <c r="F85" s="152">
        <v>0</v>
      </c>
    </row>
    <row r="86" spans="1:6" ht="21">
      <c r="A86" s="149"/>
      <c r="B86" s="150" t="s">
        <v>619</v>
      </c>
      <c r="C86" s="221" t="s">
        <v>620</v>
      </c>
      <c r="D86" s="243">
        <v>0</v>
      </c>
      <c r="E86" s="243">
        <v>0</v>
      </c>
      <c r="F86" s="152">
        <v>0</v>
      </c>
    </row>
    <row r="87" spans="1:6" ht="21">
      <c r="A87" s="149"/>
      <c r="B87" s="150" t="s">
        <v>621</v>
      </c>
      <c r="C87" s="221" t="s">
        <v>622</v>
      </c>
      <c r="D87" s="243">
        <v>5500000</v>
      </c>
      <c r="E87" s="243">
        <v>16500000</v>
      </c>
      <c r="F87" s="152">
        <v>0</v>
      </c>
    </row>
    <row r="88" spans="1:6" ht="31.5">
      <c r="A88" s="149"/>
      <c r="B88" s="150" t="s">
        <v>623</v>
      </c>
      <c r="C88" s="221" t="s">
        <v>624</v>
      </c>
      <c r="D88" s="243">
        <v>1412262322</v>
      </c>
      <c r="E88" s="243">
        <v>979698146</v>
      </c>
      <c r="F88" s="152">
        <v>0</v>
      </c>
    </row>
    <row r="89" spans="1:6" ht="21">
      <c r="A89" s="149"/>
      <c r="B89" s="150" t="s">
        <v>625</v>
      </c>
      <c r="C89" s="221" t="s">
        <v>626</v>
      </c>
      <c r="D89" s="243">
        <v>1129809861</v>
      </c>
      <c r="E89" s="243">
        <v>783758519</v>
      </c>
      <c r="F89" s="152">
        <v>191.44</v>
      </c>
    </row>
    <row r="90" spans="1:6" ht="21">
      <c r="A90" s="149"/>
      <c r="B90" s="150" t="s">
        <v>1005</v>
      </c>
      <c r="C90" s="222" t="s">
        <v>627</v>
      </c>
      <c r="D90" s="243">
        <v>223538673</v>
      </c>
      <c r="E90" s="243">
        <v>0</v>
      </c>
      <c r="F90" s="152">
        <v>0</v>
      </c>
    </row>
    <row r="91" spans="1:6" ht="21">
      <c r="A91" s="149"/>
      <c r="B91" s="150" t="s">
        <v>628</v>
      </c>
      <c r="C91" s="221">
        <v>2215.17</v>
      </c>
      <c r="D91" s="243">
        <v>5374005</v>
      </c>
      <c r="E91" s="243">
        <v>5374005</v>
      </c>
      <c r="F91" s="152">
        <v>0.1067</v>
      </c>
    </row>
    <row r="92" spans="1:6" ht="21">
      <c r="A92" s="149"/>
      <c r="B92" s="150" t="s">
        <v>629</v>
      </c>
      <c r="C92" s="221" t="s">
        <v>630</v>
      </c>
      <c r="D92" s="244">
        <v>0</v>
      </c>
      <c r="E92" s="244">
        <v>0</v>
      </c>
      <c r="F92" s="152">
        <v>0</v>
      </c>
    </row>
    <row r="93" spans="1:6" ht="31.5">
      <c r="A93" s="149"/>
      <c r="B93" s="150" t="s">
        <v>631</v>
      </c>
      <c r="C93" s="221" t="s">
        <v>632</v>
      </c>
      <c r="D93" s="244">
        <v>0</v>
      </c>
      <c r="E93" s="244">
        <v>0</v>
      </c>
      <c r="F93" s="152">
        <v>0</v>
      </c>
    </row>
    <row r="94" spans="1:6" ht="21">
      <c r="A94" s="149"/>
      <c r="B94" s="150" t="s">
        <v>633</v>
      </c>
      <c r="C94" s="221" t="s">
        <v>634</v>
      </c>
      <c r="D94" s="244">
        <v>5374005</v>
      </c>
      <c r="E94" s="244">
        <v>5374005</v>
      </c>
      <c r="F94" s="152">
        <v>15.166700000000001</v>
      </c>
    </row>
    <row r="95" spans="1:6" ht="21">
      <c r="A95" s="149"/>
      <c r="B95" s="150" t="s">
        <v>635</v>
      </c>
      <c r="C95" s="221" t="s">
        <v>636</v>
      </c>
      <c r="D95" s="244">
        <v>0</v>
      </c>
      <c r="E95" s="244">
        <v>0</v>
      </c>
      <c r="F95" s="152">
        <v>0</v>
      </c>
    </row>
    <row r="96" spans="1:6" ht="21">
      <c r="A96" s="149"/>
      <c r="B96" s="150" t="s">
        <v>637</v>
      </c>
      <c r="C96" s="221" t="s">
        <v>638</v>
      </c>
      <c r="D96" s="244">
        <v>0</v>
      </c>
      <c r="E96" s="244">
        <v>0</v>
      </c>
      <c r="F96" s="152">
        <v>0</v>
      </c>
    </row>
    <row r="97" spans="1:6" ht="21">
      <c r="A97" s="149"/>
      <c r="B97" s="150" t="s">
        <v>639</v>
      </c>
      <c r="C97" s="221" t="s">
        <v>640</v>
      </c>
      <c r="D97" s="244">
        <v>0</v>
      </c>
      <c r="E97" s="244">
        <v>0</v>
      </c>
      <c r="F97" s="152">
        <v>0</v>
      </c>
    </row>
    <row r="98" spans="1:6" ht="21">
      <c r="A98" s="149"/>
      <c r="B98" s="150" t="s">
        <v>641</v>
      </c>
      <c r="C98" s="221" t="s">
        <v>642</v>
      </c>
      <c r="D98" s="244">
        <v>0</v>
      </c>
      <c r="E98" s="244">
        <v>0</v>
      </c>
      <c r="F98" s="152">
        <v>0</v>
      </c>
    </row>
    <row r="99" spans="1:6" ht="21">
      <c r="A99" s="149"/>
      <c r="B99" s="150" t="s">
        <v>643</v>
      </c>
      <c r="C99" s="221" t="s">
        <v>644</v>
      </c>
      <c r="D99" s="244">
        <v>0</v>
      </c>
      <c r="E99" s="244">
        <v>0</v>
      </c>
      <c r="F99" s="152">
        <v>0</v>
      </c>
    </row>
    <row r="100" spans="1:6" ht="21">
      <c r="A100" s="149"/>
      <c r="B100" s="150" t="s">
        <v>645</v>
      </c>
      <c r="C100" s="221">
        <v>2215.1799999999998</v>
      </c>
      <c r="D100" s="243">
        <v>0</v>
      </c>
      <c r="E100" s="243">
        <v>0</v>
      </c>
      <c r="F100" s="152">
        <v>0</v>
      </c>
    </row>
    <row r="101" spans="1:6" ht="21">
      <c r="A101" s="149"/>
      <c r="B101" s="150" t="s">
        <v>646</v>
      </c>
      <c r="C101" s="221" t="s">
        <v>647</v>
      </c>
      <c r="D101" s="244">
        <v>0</v>
      </c>
      <c r="E101" s="244">
        <v>0</v>
      </c>
      <c r="F101" s="152">
        <v>0</v>
      </c>
    </row>
    <row r="102" spans="1:6" ht="21">
      <c r="A102" s="149"/>
      <c r="B102" s="150" t="s">
        <v>648</v>
      </c>
      <c r="C102" s="221" t="s">
        <v>649</v>
      </c>
      <c r="D102" s="244">
        <v>0</v>
      </c>
      <c r="E102" s="244">
        <v>0</v>
      </c>
      <c r="F102" s="152">
        <v>0</v>
      </c>
    </row>
    <row r="103" spans="1:6" ht="21">
      <c r="A103" s="149" t="s">
        <v>650</v>
      </c>
      <c r="B103" s="150" t="s">
        <v>651</v>
      </c>
      <c r="C103" s="221" t="s">
        <v>652</v>
      </c>
      <c r="D103" s="242">
        <v>230473770965</v>
      </c>
      <c r="E103" s="242">
        <v>9041398140</v>
      </c>
      <c r="F103" s="186">
        <v>2332.0765000000001</v>
      </c>
    </row>
    <row r="104" spans="1:6" ht="21">
      <c r="A104" s="149"/>
      <c r="B104" s="150" t="s">
        <v>653</v>
      </c>
      <c r="C104" s="221" t="s">
        <v>654</v>
      </c>
      <c r="D104" s="242">
        <v>11232140380754</v>
      </c>
      <c r="E104" s="242">
        <v>9799077340633</v>
      </c>
      <c r="F104" s="186">
        <v>101.0938</v>
      </c>
    </row>
    <row r="105" spans="1:6" ht="21">
      <c r="A105" s="149"/>
      <c r="B105" s="150" t="s">
        <v>655</v>
      </c>
      <c r="C105" s="221" t="s">
        <v>656</v>
      </c>
      <c r="D105" s="242">
        <v>523300000</v>
      </c>
      <c r="E105" s="242">
        <v>493900000</v>
      </c>
      <c r="F105" s="186">
        <v>51.303899999999999</v>
      </c>
    </row>
    <row r="106" spans="1:6" ht="21">
      <c r="A106" s="153"/>
      <c r="B106" s="154" t="s">
        <v>657</v>
      </c>
      <c r="C106" s="223" t="s">
        <v>658</v>
      </c>
      <c r="D106" s="245">
        <v>21464.05</v>
      </c>
      <c r="E106" s="245">
        <v>19840.2</v>
      </c>
      <c r="F106" s="187">
        <v>1.9704999999999999</v>
      </c>
    </row>
    <row r="107" spans="1:6" ht="15" customHeight="1">
      <c r="A107" s="291"/>
      <c r="B107" s="291"/>
      <c r="C107" s="291"/>
      <c r="D107" s="291"/>
      <c r="E107" s="291"/>
      <c r="F107" s="291"/>
    </row>
    <row r="108" spans="1:6" ht="6" customHeight="1">
      <c r="A108" s="93"/>
      <c r="B108" s="93"/>
      <c r="C108" s="134"/>
      <c r="D108" s="228"/>
      <c r="E108" s="228"/>
      <c r="F108" s="93"/>
    </row>
    <row r="109" spans="1:6" ht="15.75" customHeight="1">
      <c r="A109" s="286" t="s">
        <v>18</v>
      </c>
      <c r="B109" s="286"/>
      <c r="C109" s="286"/>
      <c r="D109" s="286" t="s">
        <v>105</v>
      </c>
      <c r="E109" s="286"/>
      <c r="F109" s="286"/>
    </row>
    <row r="110" spans="1:6" ht="15.75" customHeight="1">
      <c r="A110" s="285" t="s">
        <v>20</v>
      </c>
      <c r="B110" s="285"/>
      <c r="C110" s="285"/>
      <c r="D110" s="293" t="s">
        <v>21</v>
      </c>
      <c r="E110" s="293"/>
      <c r="F110" s="293"/>
    </row>
    <row r="111" spans="1:6" ht="15.75" customHeight="1">
      <c r="A111" s="93"/>
      <c r="B111" s="93"/>
      <c r="C111" s="93"/>
      <c r="D111" s="228"/>
      <c r="E111" s="228"/>
      <c r="F111" s="93"/>
    </row>
    <row r="112" spans="1:6" ht="15.75" customHeight="1">
      <c r="A112" s="93"/>
      <c r="B112" s="93"/>
      <c r="C112" s="93"/>
      <c r="D112" s="228"/>
      <c r="E112" s="228"/>
      <c r="F112" s="93"/>
    </row>
    <row r="113" spans="1:6" ht="15" customHeight="1">
      <c r="A113" s="93"/>
      <c r="B113" s="93"/>
      <c r="C113" s="93"/>
      <c r="D113" s="228"/>
      <c r="E113" s="228"/>
      <c r="F113" s="93"/>
    </row>
    <row r="114" spans="1:6" ht="15.75" customHeight="1">
      <c r="A114" s="93"/>
      <c r="B114" s="93"/>
      <c r="C114" s="93"/>
      <c r="D114" s="228"/>
      <c r="E114" s="228"/>
      <c r="F114" s="93"/>
    </row>
    <row r="115" spans="1:6" ht="15.75" customHeight="1">
      <c r="A115" s="93"/>
      <c r="B115" s="93"/>
      <c r="C115" s="93"/>
      <c r="D115" s="228"/>
      <c r="E115" s="228"/>
      <c r="F115" s="93"/>
    </row>
    <row r="116" spans="1:6" ht="15.75" customHeight="1">
      <c r="A116" s="286" t="s">
        <v>261</v>
      </c>
      <c r="B116" s="286"/>
      <c r="C116" s="286"/>
      <c r="D116" s="286" t="s">
        <v>262</v>
      </c>
      <c r="E116" s="286"/>
      <c r="F116" s="286"/>
    </row>
    <row r="117" spans="1:6" ht="15.75" customHeight="1">
      <c r="A117" s="292" t="s">
        <v>410</v>
      </c>
      <c r="B117" s="292"/>
      <c r="C117" s="292"/>
      <c r="D117" s="292" t="s">
        <v>1002</v>
      </c>
      <c r="E117" s="292"/>
      <c r="F117" s="292"/>
    </row>
    <row r="118" spans="1:6" ht="15.75" customHeight="1">
      <c r="A118" s="292" t="s">
        <v>264</v>
      </c>
      <c r="B118" s="292"/>
      <c r="C118" s="292"/>
      <c r="D118" s="292" t="s">
        <v>107</v>
      </c>
      <c r="E118" s="292"/>
      <c r="F118" s="292"/>
    </row>
  </sheetData>
  <mergeCells count="27">
    <mergeCell ref="A118:C118"/>
    <mergeCell ref="D118:F118"/>
    <mergeCell ref="A110:C110"/>
    <mergeCell ref="D110:F110"/>
    <mergeCell ref="A116:C116"/>
    <mergeCell ref="D116:F116"/>
    <mergeCell ref="A117:C117"/>
    <mergeCell ref="D117:F117"/>
    <mergeCell ref="A109:C109"/>
    <mergeCell ref="D109:F109"/>
    <mergeCell ref="C7:F7"/>
    <mergeCell ref="C8:F8"/>
    <mergeCell ref="C9:F9"/>
    <mergeCell ref="C10:F10"/>
    <mergeCell ref="C11:F11"/>
    <mergeCell ref="C12:F12"/>
    <mergeCell ref="C13:F13"/>
    <mergeCell ref="A15:F15"/>
    <mergeCell ref="A16:F16"/>
    <mergeCell ref="E17:F17"/>
    <mergeCell ref="A107:F107"/>
    <mergeCell ref="C6:F6"/>
    <mergeCell ref="A1:B1"/>
    <mergeCell ref="D1:F1"/>
    <mergeCell ref="A2:F2"/>
    <mergeCell ref="A4:F4"/>
    <mergeCell ref="A5:F5"/>
  </mergeCells>
  <printOptions horizontalCentered="1"/>
  <pageMargins left="0" right="0" top="0.27" bottom="0.3" header="0.25" footer="0.23"/>
  <pageSetup paperSize="9" scale="96" fitToHeight="3"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99"/>
  <sheetViews>
    <sheetView showGridLines="0" showZeros="0" showOutlineSymbols="0" view="pageBreakPreview" topLeftCell="A41" zoomScaleNormal="100" zoomScaleSheetLayoutView="100" workbookViewId="0">
      <selection activeCell="B44" sqref="B44"/>
    </sheetView>
  </sheetViews>
  <sheetFormatPr defaultRowHeight="15"/>
  <cols>
    <col min="1" max="1" width="4.28515625" style="86" customWidth="1"/>
    <col min="2" max="2" width="43.5703125" style="86" customWidth="1"/>
    <col min="3" max="3" width="7.28515625" style="86" customWidth="1"/>
    <col min="4" max="6" width="17.140625" style="86" customWidth="1"/>
    <col min="7" max="256" width="9.140625" style="86"/>
    <col min="257" max="257" width="4.28515625" style="86" customWidth="1"/>
    <col min="258" max="258" width="38.7109375" style="86" customWidth="1"/>
    <col min="259" max="259" width="8.42578125" style="86" customWidth="1"/>
    <col min="260" max="262" width="17.140625" style="86" customWidth="1"/>
    <col min="263" max="512" width="9.140625" style="86"/>
    <col min="513" max="513" width="4.28515625" style="86" customWidth="1"/>
    <col min="514" max="514" width="38.7109375" style="86" customWidth="1"/>
    <col min="515" max="515" width="8.42578125" style="86" customWidth="1"/>
    <col min="516" max="518" width="17.140625" style="86" customWidth="1"/>
    <col min="519" max="768" width="9.140625" style="86"/>
    <col min="769" max="769" width="4.28515625" style="86" customWidth="1"/>
    <col min="770" max="770" width="38.7109375" style="86" customWidth="1"/>
    <col min="771" max="771" width="8.42578125" style="86" customWidth="1"/>
    <col min="772" max="774" width="17.140625" style="86" customWidth="1"/>
    <col min="775" max="1024" width="9.140625" style="86"/>
    <col min="1025" max="1025" width="4.28515625" style="86" customWidth="1"/>
    <col min="1026" max="1026" width="38.7109375" style="86" customWidth="1"/>
    <col min="1027" max="1027" width="8.42578125" style="86" customWidth="1"/>
    <col min="1028" max="1030" width="17.140625" style="86" customWidth="1"/>
    <col min="1031" max="1280" width="9.140625" style="86"/>
    <col min="1281" max="1281" width="4.28515625" style="86" customWidth="1"/>
    <col min="1282" max="1282" width="38.7109375" style="86" customWidth="1"/>
    <col min="1283" max="1283" width="8.42578125" style="86" customWidth="1"/>
    <col min="1284" max="1286" width="17.140625" style="86" customWidth="1"/>
    <col min="1287" max="1536" width="9.140625" style="86"/>
    <col min="1537" max="1537" width="4.28515625" style="86" customWidth="1"/>
    <col min="1538" max="1538" width="38.7109375" style="86" customWidth="1"/>
    <col min="1539" max="1539" width="8.42578125" style="86" customWidth="1"/>
    <col min="1540" max="1542" width="17.140625" style="86" customWidth="1"/>
    <col min="1543" max="1792" width="9.140625" style="86"/>
    <col min="1793" max="1793" width="4.28515625" style="86" customWidth="1"/>
    <col min="1794" max="1794" width="38.7109375" style="86" customWidth="1"/>
    <col min="1795" max="1795" width="8.42578125" style="86" customWidth="1"/>
    <col min="1796" max="1798" width="17.140625" style="86" customWidth="1"/>
    <col min="1799" max="2048" width="9.140625" style="86"/>
    <col min="2049" max="2049" width="4.28515625" style="86" customWidth="1"/>
    <col min="2050" max="2050" width="38.7109375" style="86" customWidth="1"/>
    <col min="2051" max="2051" width="8.42578125" style="86" customWidth="1"/>
    <col min="2052" max="2054" width="17.140625" style="86" customWidth="1"/>
    <col min="2055" max="2304" width="9.140625" style="86"/>
    <col min="2305" max="2305" width="4.28515625" style="86" customWidth="1"/>
    <col min="2306" max="2306" width="38.7109375" style="86" customWidth="1"/>
    <col min="2307" max="2307" width="8.42578125" style="86" customWidth="1"/>
    <col min="2308" max="2310" width="17.140625" style="86" customWidth="1"/>
    <col min="2311" max="2560" width="9.140625" style="86"/>
    <col min="2561" max="2561" width="4.28515625" style="86" customWidth="1"/>
    <col min="2562" max="2562" width="38.7109375" style="86" customWidth="1"/>
    <col min="2563" max="2563" width="8.42578125" style="86" customWidth="1"/>
    <col min="2564" max="2566" width="17.140625" style="86" customWidth="1"/>
    <col min="2567" max="2816" width="9.140625" style="86"/>
    <col min="2817" max="2817" width="4.28515625" style="86" customWidth="1"/>
    <col min="2818" max="2818" width="38.7109375" style="86" customWidth="1"/>
    <col min="2819" max="2819" width="8.42578125" style="86" customWidth="1"/>
    <col min="2820" max="2822" width="17.140625" style="86" customWidth="1"/>
    <col min="2823" max="3072" width="9.140625" style="86"/>
    <col min="3073" max="3073" width="4.28515625" style="86" customWidth="1"/>
    <col min="3074" max="3074" width="38.7109375" style="86" customWidth="1"/>
    <col min="3075" max="3075" width="8.42578125" style="86" customWidth="1"/>
    <col min="3076" max="3078" width="17.140625" style="86" customWidth="1"/>
    <col min="3079" max="3328" width="9.140625" style="86"/>
    <col min="3329" max="3329" width="4.28515625" style="86" customWidth="1"/>
    <col min="3330" max="3330" width="38.7109375" style="86" customWidth="1"/>
    <col min="3331" max="3331" width="8.42578125" style="86" customWidth="1"/>
    <col min="3332" max="3334" width="17.140625" style="86" customWidth="1"/>
    <col min="3335" max="3584" width="9.140625" style="86"/>
    <col min="3585" max="3585" width="4.28515625" style="86" customWidth="1"/>
    <col min="3586" max="3586" width="38.7109375" style="86" customWidth="1"/>
    <col min="3587" max="3587" width="8.42578125" style="86" customWidth="1"/>
    <col min="3588" max="3590" width="17.140625" style="86" customWidth="1"/>
    <col min="3591" max="3840" width="9.140625" style="86"/>
    <col min="3841" max="3841" width="4.28515625" style="86" customWidth="1"/>
    <col min="3842" max="3842" width="38.7109375" style="86" customWidth="1"/>
    <col min="3843" max="3843" width="8.42578125" style="86" customWidth="1"/>
    <col min="3844" max="3846" width="17.140625" style="86" customWidth="1"/>
    <col min="3847" max="4096" width="9.140625" style="86"/>
    <col min="4097" max="4097" width="4.28515625" style="86" customWidth="1"/>
    <col min="4098" max="4098" width="38.7109375" style="86" customWidth="1"/>
    <col min="4099" max="4099" width="8.42578125" style="86" customWidth="1"/>
    <col min="4100" max="4102" width="17.140625" style="86" customWidth="1"/>
    <col min="4103" max="4352" width="9.140625" style="86"/>
    <col min="4353" max="4353" width="4.28515625" style="86" customWidth="1"/>
    <col min="4354" max="4354" width="38.7109375" style="86" customWidth="1"/>
    <col min="4355" max="4355" width="8.42578125" style="86" customWidth="1"/>
    <col min="4356" max="4358" width="17.140625" style="86" customWidth="1"/>
    <col min="4359" max="4608" width="9.140625" style="86"/>
    <col min="4609" max="4609" width="4.28515625" style="86" customWidth="1"/>
    <col min="4610" max="4610" width="38.7109375" style="86" customWidth="1"/>
    <col min="4611" max="4611" width="8.42578125" style="86" customWidth="1"/>
    <col min="4612" max="4614" width="17.140625" style="86" customWidth="1"/>
    <col min="4615" max="4864" width="9.140625" style="86"/>
    <col min="4865" max="4865" width="4.28515625" style="86" customWidth="1"/>
    <col min="4866" max="4866" width="38.7109375" style="86" customWidth="1"/>
    <col min="4867" max="4867" width="8.42578125" style="86" customWidth="1"/>
    <col min="4868" max="4870" width="17.140625" style="86" customWidth="1"/>
    <col min="4871" max="5120" width="9.140625" style="86"/>
    <col min="5121" max="5121" width="4.28515625" style="86" customWidth="1"/>
    <col min="5122" max="5122" width="38.7109375" style="86" customWidth="1"/>
    <col min="5123" max="5123" width="8.42578125" style="86" customWidth="1"/>
    <col min="5124" max="5126" width="17.140625" style="86" customWidth="1"/>
    <col min="5127" max="5376" width="9.140625" style="86"/>
    <col min="5377" max="5377" width="4.28515625" style="86" customWidth="1"/>
    <col min="5378" max="5378" width="38.7109375" style="86" customWidth="1"/>
    <col min="5379" max="5379" width="8.42578125" style="86" customWidth="1"/>
    <col min="5380" max="5382" width="17.140625" style="86" customWidth="1"/>
    <col min="5383" max="5632" width="9.140625" style="86"/>
    <col min="5633" max="5633" width="4.28515625" style="86" customWidth="1"/>
    <col min="5634" max="5634" width="38.7109375" style="86" customWidth="1"/>
    <col min="5635" max="5635" width="8.42578125" style="86" customWidth="1"/>
    <col min="5636" max="5638" width="17.140625" style="86" customWidth="1"/>
    <col min="5639" max="5888" width="9.140625" style="86"/>
    <col min="5889" max="5889" width="4.28515625" style="86" customWidth="1"/>
    <col min="5890" max="5890" width="38.7109375" style="86" customWidth="1"/>
    <col min="5891" max="5891" width="8.42578125" style="86" customWidth="1"/>
    <col min="5892" max="5894" width="17.140625" style="86" customWidth="1"/>
    <col min="5895" max="6144" width="9.140625" style="86"/>
    <col min="6145" max="6145" width="4.28515625" style="86" customWidth="1"/>
    <col min="6146" max="6146" width="38.7109375" style="86" customWidth="1"/>
    <col min="6147" max="6147" width="8.42578125" style="86" customWidth="1"/>
    <col min="6148" max="6150" width="17.140625" style="86" customWidth="1"/>
    <col min="6151" max="6400" width="9.140625" style="86"/>
    <col min="6401" max="6401" width="4.28515625" style="86" customWidth="1"/>
    <col min="6402" max="6402" width="38.7109375" style="86" customWidth="1"/>
    <col min="6403" max="6403" width="8.42578125" style="86" customWidth="1"/>
    <col min="6404" max="6406" width="17.140625" style="86" customWidth="1"/>
    <col min="6407" max="6656" width="9.140625" style="86"/>
    <col min="6657" max="6657" width="4.28515625" style="86" customWidth="1"/>
    <col min="6658" max="6658" width="38.7109375" style="86" customWidth="1"/>
    <col min="6659" max="6659" width="8.42578125" style="86" customWidth="1"/>
    <col min="6660" max="6662" width="17.140625" style="86" customWidth="1"/>
    <col min="6663" max="6912" width="9.140625" style="86"/>
    <col min="6913" max="6913" width="4.28515625" style="86" customWidth="1"/>
    <col min="6914" max="6914" width="38.7109375" style="86" customWidth="1"/>
    <col min="6915" max="6915" width="8.42578125" style="86" customWidth="1"/>
    <col min="6916" max="6918" width="17.140625" style="86" customWidth="1"/>
    <col min="6919" max="7168" width="9.140625" style="86"/>
    <col min="7169" max="7169" width="4.28515625" style="86" customWidth="1"/>
    <col min="7170" max="7170" width="38.7109375" style="86" customWidth="1"/>
    <col min="7171" max="7171" width="8.42578125" style="86" customWidth="1"/>
    <col min="7172" max="7174" width="17.140625" style="86" customWidth="1"/>
    <col min="7175" max="7424" width="9.140625" style="86"/>
    <col min="7425" max="7425" width="4.28515625" style="86" customWidth="1"/>
    <col min="7426" max="7426" width="38.7109375" style="86" customWidth="1"/>
    <col min="7427" max="7427" width="8.42578125" style="86" customWidth="1"/>
    <col min="7428" max="7430" width="17.140625" style="86" customWidth="1"/>
    <col min="7431" max="7680" width="9.140625" style="86"/>
    <col min="7681" max="7681" width="4.28515625" style="86" customWidth="1"/>
    <col min="7682" max="7682" width="38.7109375" style="86" customWidth="1"/>
    <col min="7683" max="7683" width="8.42578125" style="86" customWidth="1"/>
    <col min="7684" max="7686" width="17.140625" style="86" customWidth="1"/>
    <col min="7687" max="7936" width="9.140625" style="86"/>
    <col min="7937" max="7937" width="4.28515625" style="86" customWidth="1"/>
    <col min="7938" max="7938" width="38.7109375" style="86" customWidth="1"/>
    <col min="7939" max="7939" width="8.42578125" style="86" customWidth="1"/>
    <col min="7940" max="7942" width="17.140625" style="86" customWidth="1"/>
    <col min="7943" max="8192" width="9.140625" style="86"/>
    <col min="8193" max="8193" width="4.28515625" style="86" customWidth="1"/>
    <col min="8194" max="8194" width="38.7109375" style="86" customWidth="1"/>
    <col min="8195" max="8195" width="8.42578125" style="86" customWidth="1"/>
    <col min="8196" max="8198" width="17.140625" style="86" customWidth="1"/>
    <col min="8199" max="8448" width="9.140625" style="86"/>
    <col min="8449" max="8449" width="4.28515625" style="86" customWidth="1"/>
    <col min="8450" max="8450" width="38.7109375" style="86" customWidth="1"/>
    <col min="8451" max="8451" width="8.42578125" style="86" customWidth="1"/>
    <col min="8452" max="8454" width="17.140625" style="86" customWidth="1"/>
    <col min="8455" max="8704" width="9.140625" style="86"/>
    <col min="8705" max="8705" width="4.28515625" style="86" customWidth="1"/>
    <col min="8706" max="8706" width="38.7109375" style="86" customWidth="1"/>
    <col min="8707" max="8707" width="8.42578125" style="86" customWidth="1"/>
    <col min="8708" max="8710" width="17.140625" style="86" customWidth="1"/>
    <col min="8711" max="8960" width="9.140625" style="86"/>
    <col min="8961" max="8961" width="4.28515625" style="86" customWidth="1"/>
    <col min="8962" max="8962" width="38.7109375" style="86" customWidth="1"/>
    <col min="8963" max="8963" width="8.42578125" style="86" customWidth="1"/>
    <col min="8964" max="8966" width="17.140625" style="86" customWidth="1"/>
    <col min="8967" max="9216" width="9.140625" style="86"/>
    <col min="9217" max="9217" width="4.28515625" style="86" customWidth="1"/>
    <col min="9218" max="9218" width="38.7109375" style="86" customWidth="1"/>
    <col min="9219" max="9219" width="8.42578125" style="86" customWidth="1"/>
    <col min="9220" max="9222" width="17.140625" style="86" customWidth="1"/>
    <col min="9223" max="9472" width="9.140625" style="86"/>
    <col min="9473" max="9473" width="4.28515625" style="86" customWidth="1"/>
    <col min="9474" max="9474" width="38.7109375" style="86" customWidth="1"/>
    <col min="9475" max="9475" width="8.42578125" style="86" customWidth="1"/>
    <col min="9476" max="9478" width="17.140625" style="86" customWidth="1"/>
    <col min="9479" max="9728" width="9.140625" style="86"/>
    <col min="9729" max="9729" width="4.28515625" style="86" customWidth="1"/>
    <col min="9730" max="9730" width="38.7109375" style="86" customWidth="1"/>
    <col min="9731" max="9731" width="8.42578125" style="86" customWidth="1"/>
    <col min="9732" max="9734" width="17.140625" style="86" customWidth="1"/>
    <col min="9735" max="9984" width="9.140625" style="86"/>
    <col min="9985" max="9985" width="4.28515625" style="86" customWidth="1"/>
    <col min="9986" max="9986" width="38.7109375" style="86" customWidth="1"/>
    <col min="9987" max="9987" width="8.42578125" style="86" customWidth="1"/>
    <col min="9988" max="9990" width="17.140625" style="86" customWidth="1"/>
    <col min="9991" max="10240" width="9.140625" style="86"/>
    <col min="10241" max="10241" width="4.28515625" style="86" customWidth="1"/>
    <col min="10242" max="10242" width="38.7109375" style="86" customWidth="1"/>
    <col min="10243" max="10243" width="8.42578125" style="86" customWidth="1"/>
    <col min="10244" max="10246" width="17.140625" style="86" customWidth="1"/>
    <col min="10247" max="10496" width="9.140625" style="86"/>
    <col min="10497" max="10497" width="4.28515625" style="86" customWidth="1"/>
    <col min="10498" max="10498" width="38.7109375" style="86" customWidth="1"/>
    <col min="10499" max="10499" width="8.42578125" style="86" customWidth="1"/>
    <col min="10500" max="10502" width="17.140625" style="86" customWidth="1"/>
    <col min="10503" max="10752" width="9.140625" style="86"/>
    <col min="10753" max="10753" width="4.28515625" style="86" customWidth="1"/>
    <col min="10754" max="10754" width="38.7109375" style="86" customWidth="1"/>
    <col min="10755" max="10755" width="8.42578125" style="86" customWidth="1"/>
    <col min="10756" max="10758" width="17.140625" style="86" customWidth="1"/>
    <col min="10759" max="11008" width="9.140625" style="86"/>
    <col min="11009" max="11009" width="4.28515625" style="86" customWidth="1"/>
    <col min="11010" max="11010" width="38.7109375" style="86" customWidth="1"/>
    <col min="11011" max="11011" width="8.42578125" style="86" customWidth="1"/>
    <col min="11012" max="11014" width="17.140625" style="86" customWidth="1"/>
    <col min="11015" max="11264" width="9.140625" style="86"/>
    <col min="11265" max="11265" width="4.28515625" style="86" customWidth="1"/>
    <col min="11266" max="11266" width="38.7109375" style="86" customWidth="1"/>
    <col min="11267" max="11267" width="8.42578125" style="86" customWidth="1"/>
    <col min="11268" max="11270" width="17.140625" style="86" customWidth="1"/>
    <col min="11271" max="11520" width="9.140625" style="86"/>
    <col min="11521" max="11521" width="4.28515625" style="86" customWidth="1"/>
    <col min="11522" max="11522" width="38.7109375" style="86" customWidth="1"/>
    <col min="11523" max="11523" width="8.42578125" style="86" customWidth="1"/>
    <col min="11524" max="11526" width="17.140625" style="86" customWidth="1"/>
    <col min="11527" max="11776" width="9.140625" style="86"/>
    <col min="11777" max="11777" width="4.28515625" style="86" customWidth="1"/>
    <col min="11778" max="11778" width="38.7109375" style="86" customWidth="1"/>
    <col min="11779" max="11779" width="8.42578125" style="86" customWidth="1"/>
    <col min="11780" max="11782" width="17.140625" style="86" customWidth="1"/>
    <col min="11783" max="12032" width="9.140625" style="86"/>
    <col min="12033" max="12033" width="4.28515625" style="86" customWidth="1"/>
    <col min="12034" max="12034" width="38.7109375" style="86" customWidth="1"/>
    <col min="12035" max="12035" width="8.42578125" style="86" customWidth="1"/>
    <col min="12036" max="12038" width="17.140625" style="86" customWidth="1"/>
    <col min="12039" max="12288" width="9.140625" style="86"/>
    <col min="12289" max="12289" width="4.28515625" style="86" customWidth="1"/>
    <col min="12290" max="12290" width="38.7109375" style="86" customWidth="1"/>
    <col min="12291" max="12291" width="8.42578125" style="86" customWidth="1"/>
    <col min="12292" max="12294" width="17.140625" style="86" customWidth="1"/>
    <col min="12295" max="12544" width="9.140625" style="86"/>
    <col min="12545" max="12545" width="4.28515625" style="86" customWidth="1"/>
    <col min="12546" max="12546" width="38.7109375" style="86" customWidth="1"/>
    <col min="12547" max="12547" width="8.42578125" style="86" customWidth="1"/>
    <col min="12548" max="12550" width="17.140625" style="86" customWidth="1"/>
    <col min="12551" max="12800" width="9.140625" style="86"/>
    <col min="12801" max="12801" width="4.28515625" style="86" customWidth="1"/>
    <col min="12802" max="12802" width="38.7109375" style="86" customWidth="1"/>
    <col min="12803" max="12803" width="8.42578125" style="86" customWidth="1"/>
    <col min="12804" max="12806" width="17.140625" style="86" customWidth="1"/>
    <col min="12807" max="13056" width="9.140625" style="86"/>
    <col min="13057" max="13057" width="4.28515625" style="86" customWidth="1"/>
    <col min="13058" max="13058" width="38.7109375" style="86" customWidth="1"/>
    <col min="13059" max="13059" width="8.42578125" style="86" customWidth="1"/>
    <col min="13060" max="13062" width="17.140625" style="86" customWidth="1"/>
    <col min="13063" max="13312" width="9.140625" style="86"/>
    <col min="13313" max="13313" width="4.28515625" style="86" customWidth="1"/>
    <col min="13314" max="13314" width="38.7109375" style="86" customWidth="1"/>
    <col min="13315" max="13315" width="8.42578125" style="86" customWidth="1"/>
    <col min="13316" max="13318" width="17.140625" style="86" customWidth="1"/>
    <col min="13319" max="13568" width="9.140625" style="86"/>
    <col min="13569" max="13569" width="4.28515625" style="86" customWidth="1"/>
    <col min="13570" max="13570" width="38.7109375" style="86" customWidth="1"/>
    <col min="13571" max="13571" width="8.42578125" style="86" customWidth="1"/>
    <col min="13572" max="13574" width="17.140625" style="86" customWidth="1"/>
    <col min="13575" max="13824" width="9.140625" style="86"/>
    <col min="13825" max="13825" width="4.28515625" style="86" customWidth="1"/>
    <col min="13826" max="13826" width="38.7109375" style="86" customWidth="1"/>
    <col min="13827" max="13827" width="8.42578125" style="86" customWidth="1"/>
    <col min="13828" max="13830" width="17.140625" style="86" customWidth="1"/>
    <col min="13831" max="14080" width="9.140625" style="86"/>
    <col min="14081" max="14081" width="4.28515625" style="86" customWidth="1"/>
    <col min="14082" max="14082" width="38.7109375" style="86" customWidth="1"/>
    <col min="14083" max="14083" width="8.42578125" style="86" customWidth="1"/>
    <col min="14084" max="14086" width="17.140625" style="86" customWidth="1"/>
    <col min="14087" max="14336" width="9.140625" style="86"/>
    <col min="14337" max="14337" width="4.28515625" style="86" customWidth="1"/>
    <col min="14338" max="14338" width="38.7109375" style="86" customWidth="1"/>
    <col min="14339" max="14339" width="8.42578125" style="86" customWidth="1"/>
    <col min="14340" max="14342" width="17.140625" style="86" customWidth="1"/>
    <col min="14343" max="14592" width="9.140625" style="86"/>
    <col min="14593" max="14593" width="4.28515625" style="86" customWidth="1"/>
    <col min="14594" max="14594" width="38.7109375" style="86" customWidth="1"/>
    <col min="14595" max="14595" width="8.42578125" style="86" customWidth="1"/>
    <col min="14596" max="14598" width="17.140625" style="86" customWidth="1"/>
    <col min="14599" max="14848" width="9.140625" style="86"/>
    <col min="14849" max="14849" width="4.28515625" style="86" customWidth="1"/>
    <col min="14850" max="14850" width="38.7109375" style="86" customWidth="1"/>
    <col min="14851" max="14851" width="8.42578125" style="86" customWidth="1"/>
    <col min="14852" max="14854" width="17.140625" style="86" customWidth="1"/>
    <col min="14855" max="15104" width="9.140625" style="86"/>
    <col min="15105" max="15105" width="4.28515625" style="86" customWidth="1"/>
    <col min="15106" max="15106" width="38.7109375" style="86" customWidth="1"/>
    <col min="15107" max="15107" width="8.42578125" style="86" customWidth="1"/>
    <col min="15108" max="15110" width="17.140625" style="86" customWidth="1"/>
    <col min="15111" max="15360" width="9.140625" style="86"/>
    <col min="15361" max="15361" width="4.28515625" style="86" customWidth="1"/>
    <col min="15362" max="15362" width="38.7109375" style="86" customWidth="1"/>
    <col min="15363" max="15363" width="8.42578125" style="86" customWidth="1"/>
    <col min="15364" max="15366" width="17.140625" style="86" customWidth="1"/>
    <col min="15367" max="15616" width="9.140625" style="86"/>
    <col min="15617" max="15617" width="4.28515625" style="86" customWidth="1"/>
    <col min="15618" max="15618" width="38.7109375" style="86" customWidth="1"/>
    <col min="15619" max="15619" width="8.42578125" style="86" customWidth="1"/>
    <col min="15620" max="15622" width="17.140625" style="86" customWidth="1"/>
    <col min="15623" max="15872" width="9.140625" style="86"/>
    <col min="15873" max="15873" width="4.28515625" style="86" customWidth="1"/>
    <col min="15874" max="15874" width="38.7109375" style="86" customWidth="1"/>
    <col min="15875" max="15875" width="8.42578125" style="86" customWidth="1"/>
    <col min="15876" max="15878" width="17.140625" style="86" customWidth="1"/>
    <col min="15879" max="16128" width="9.140625" style="86"/>
    <col min="16129" max="16129" width="4.28515625" style="86" customWidth="1"/>
    <col min="16130" max="16130" width="38.7109375" style="86" customWidth="1"/>
    <col min="16131" max="16131" width="8.42578125" style="86" customWidth="1"/>
    <col min="16132" max="16134" width="17.140625" style="86" customWidth="1"/>
    <col min="16135" max="16384" width="9.140625" style="86"/>
  </cols>
  <sheetData>
    <row r="1" spans="1:6" ht="41.25" customHeight="1">
      <c r="A1" s="294"/>
      <c r="B1" s="294"/>
      <c r="C1" s="112"/>
      <c r="D1" s="295" t="s">
        <v>108</v>
      </c>
      <c r="E1" s="295"/>
      <c r="F1" s="295"/>
    </row>
    <row r="2" spans="1:6" ht="27.75" customHeight="1">
      <c r="A2" s="283" t="s">
        <v>109</v>
      </c>
      <c r="B2" s="283"/>
      <c r="C2" s="283"/>
      <c r="D2" s="283"/>
      <c r="E2" s="283"/>
      <c r="F2" s="283"/>
    </row>
    <row r="3" spans="1:6" ht="11.25" customHeight="1">
      <c r="A3" s="84"/>
      <c r="B3" s="84"/>
      <c r="C3" s="84"/>
      <c r="D3" s="84"/>
      <c r="E3" s="84"/>
      <c r="F3" s="84"/>
    </row>
    <row r="4" spans="1:6" ht="22.5" customHeight="1">
      <c r="A4" s="282" t="s">
        <v>110</v>
      </c>
      <c r="B4" s="282"/>
      <c r="C4" s="282"/>
      <c r="D4" s="282"/>
      <c r="E4" s="282"/>
      <c r="F4" s="282"/>
    </row>
    <row r="5" spans="1:6" ht="15.75" customHeight="1">
      <c r="A5" s="293" t="s">
        <v>265</v>
      </c>
      <c r="B5" s="293"/>
      <c r="C5" s="293"/>
      <c r="D5" s="293"/>
      <c r="E5" s="293"/>
      <c r="F5" s="293"/>
    </row>
    <row r="6" spans="1:6" ht="15.75" customHeight="1">
      <c r="A6" s="113" t="s">
        <v>112</v>
      </c>
      <c r="B6" s="114" t="s">
        <v>113</v>
      </c>
      <c r="C6" s="280" t="s">
        <v>114</v>
      </c>
      <c r="D6" s="280"/>
      <c r="E6" s="280"/>
      <c r="F6" s="280"/>
    </row>
    <row r="7" spans="1:6" ht="15.75" customHeight="1">
      <c r="A7" s="84"/>
      <c r="B7" s="93" t="s">
        <v>115</v>
      </c>
      <c r="C7" s="281" t="s">
        <v>116</v>
      </c>
      <c r="D7" s="281"/>
      <c r="E7" s="281"/>
      <c r="F7" s="281"/>
    </row>
    <row r="8" spans="1:6" ht="15.75" customHeight="1">
      <c r="A8" s="116" t="s">
        <v>117</v>
      </c>
      <c r="B8" s="114" t="s">
        <v>3</v>
      </c>
      <c r="C8" s="280" t="s">
        <v>118</v>
      </c>
      <c r="D8" s="280"/>
      <c r="E8" s="280"/>
      <c r="F8" s="280"/>
    </row>
    <row r="9" spans="1:6" ht="15.75" customHeight="1">
      <c r="A9" s="84"/>
      <c r="B9" s="93" t="s">
        <v>5</v>
      </c>
      <c r="C9" s="281" t="s">
        <v>6</v>
      </c>
      <c r="D9" s="281"/>
      <c r="E9" s="281"/>
      <c r="F9" s="281"/>
    </row>
    <row r="10" spans="1:6" ht="15.75" customHeight="1">
      <c r="A10" s="116" t="s">
        <v>93</v>
      </c>
      <c r="B10" s="114" t="s">
        <v>266</v>
      </c>
      <c r="C10" s="280" t="s">
        <v>119</v>
      </c>
      <c r="D10" s="280"/>
      <c r="E10" s="280"/>
      <c r="F10" s="280"/>
    </row>
    <row r="11" spans="1:6" ht="15.75" customHeight="1">
      <c r="A11" s="84"/>
      <c r="B11" s="93" t="s">
        <v>120</v>
      </c>
      <c r="C11" s="281" t="s">
        <v>121</v>
      </c>
      <c r="D11" s="281"/>
      <c r="E11" s="281"/>
      <c r="F11" s="281"/>
    </row>
    <row r="12" spans="1:6" ht="15.75" customHeight="1">
      <c r="A12" s="116" t="s">
        <v>99</v>
      </c>
      <c r="B12" s="114" t="s">
        <v>15</v>
      </c>
      <c r="C12" s="287">
        <v>44322</v>
      </c>
      <c r="D12" s="280"/>
      <c r="E12" s="280"/>
      <c r="F12" s="280"/>
    </row>
    <row r="13" spans="1:6" ht="15.75" customHeight="1">
      <c r="A13" s="84"/>
      <c r="B13" s="93" t="s">
        <v>16</v>
      </c>
      <c r="C13" s="288">
        <v>44322</v>
      </c>
      <c r="D13" s="281"/>
      <c r="E13" s="281"/>
      <c r="F13" s="281"/>
    </row>
    <row r="14" spans="1:6" ht="15" customHeight="1">
      <c r="A14" s="84"/>
      <c r="B14" s="84"/>
      <c r="C14" s="84"/>
      <c r="D14" s="84"/>
      <c r="E14" s="84"/>
      <c r="F14" s="84"/>
    </row>
    <row r="15" spans="1:6" ht="15.75" customHeight="1">
      <c r="A15" s="289" t="s">
        <v>267</v>
      </c>
      <c r="B15" s="289"/>
      <c r="C15" s="289"/>
      <c r="D15" s="289"/>
      <c r="E15" s="289"/>
      <c r="F15" s="289"/>
    </row>
    <row r="16" spans="1:6" ht="15.75" customHeight="1">
      <c r="A16" s="280" t="s">
        <v>268</v>
      </c>
      <c r="B16" s="280"/>
      <c r="C16" s="280"/>
      <c r="D16" s="280"/>
      <c r="E16" s="280"/>
      <c r="F16" s="280"/>
    </row>
    <row r="17" spans="1:6" ht="15.75" customHeight="1">
      <c r="A17" s="95"/>
      <c r="B17" s="117"/>
      <c r="C17" s="95"/>
      <c r="D17" s="95"/>
      <c r="E17" s="290" t="s">
        <v>126</v>
      </c>
      <c r="F17" s="290"/>
    </row>
    <row r="18" spans="1:6" ht="48" customHeight="1">
      <c r="A18" s="97" t="s">
        <v>269</v>
      </c>
      <c r="B18" s="98" t="s">
        <v>270</v>
      </c>
      <c r="C18" s="98" t="s">
        <v>70</v>
      </c>
      <c r="D18" s="98" t="s">
        <v>271</v>
      </c>
      <c r="E18" s="98" t="s">
        <v>272</v>
      </c>
      <c r="F18" s="99" t="s">
        <v>273</v>
      </c>
    </row>
    <row r="19" spans="1:6" ht="22.5" customHeight="1">
      <c r="A19" s="118" t="s">
        <v>83</v>
      </c>
      <c r="B19" s="119" t="s">
        <v>274</v>
      </c>
      <c r="C19" s="217" t="s">
        <v>275</v>
      </c>
      <c r="D19" s="121">
        <v>125823429</v>
      </c>
      <c r="E19" s="121">
        <v>7631807528</v>
      </c>
      <c r="F19" s="122">
        <v>7817306825</v>
      </c>
    </row>
    <row r="20" spans="1:6" ht="22.5" customHeight="1">
      <c r="A20" s="123" t="s">
        <v>112</v>
      </c>
      <c r="B20" s="124" t="s">
        <v>276</v>
      </c>
      <c r="C20" s="218"/>
      <c r="D20" s="104">
        <v>0</v>
      </c>
      <c r="E20" s="104">
        <v>0</v>
      </c>
      <c r="F20" s="126">
        <v>0</v>
      </c>
    </row>
    <row r="21" spans="1:6" ht="22.5" customHeight="1">
      <c r="A21" s="123" t="s">
        <v>117</v>
      </c>
      <c r="B21" s="124" t="s">
        <v>277</v>
      </c>
      <c r="C21" s="218" t="s">
        <v>278</v>
      </c>
      <c r="D21" s="104">
        <v>0</v>
      </c>
      <c r="E21" s="104">
        <v>7558908800</v>
      </c>
      <c r="F21" s="126">
        <v>7558908800</v>
      </c>
    </row>
    <row r="22" spans="1:6" ht="22.5" customHeight="1">
      <c r="A22" s="127"/>
      <c r="B22" s="128" t="s">
        <v>279</v>
      </c>
      <c r="C22" s="219" t="s">
        <v>280</v>
      </c>
      <c r="D22" s="129">
        <v>0</v>
      </c>
      <c r="E22" s="129">
        <v>7558908800</v>
      </c>
      <c r="F22" s="130">
        <v>7558908800</v>
      </c>
    </row>
    <row r="23" spans="1:6" ht="22.5" customHeight="1">
      <c r="A23" s="127"/>
      <c r="B23" s="128" t="s">
        <v>281</v>
      </c>
      <c r="C23" s="219" t="s">
        <v>282</v>
      </c>
      <c r="D23" s="129">
        <v>0</v>
      </c>
      <c r="E23" s="129">
        <v>0</v>
      </c>
      <c r="F23" s="130">
        <v>0</v>
      </c>
    </row>
    <row r="24" spans="1:6" ht="22.5" customHeight="1">
      <c r="A24" s="123" t="s">
        <v>93</v>
      </c>
      <c r="B24" s="124" t="s">
        <v>283</v>
      </c>
      <c r="C24" s="218" t="s">
        <v>284</v>
      </c>
      <c r="D24" s="104">
        <v>125823429</v>
      </c>
      <c r="E24" s="104">
        <v>72898728</v>
      </c>
      <c r="F24" s="126">
        <v>258398025</v>
      </c>
    </row>
    <row r="25" spans="1:6" ht="22.5" customHeight="1">
      <c r="A25" s="127"/>
      <c r="B25" s="128" t="s">
        <v>285</v>
      </c>
      <c r="C25" s="219" t="s">
        <v>286</v>
      </c>
      <c r="D25" s="129">
        <v>125823429</v>
      </c>
      <c r="E25" s="129">
        <v>72898728</v>
      </c>
      <c r="F25" s="130">
        <v>258398025</v>
      </c>
    </row>
    <row r="26" spans="1:6" ht="22.5" customHeight="1">
      <c r="A26" s="127"/>
      <c r="B26" s="128" t="s">
        <v>287</v>
      </c>
      <c r="C26" s="219" t="s">
        <v>288</v>
      </c>
      <c r="D26" s="129">
        <v>0</v>
      </c>
      <c r="E26" s="129">
        <v>0</v>
      </c>
      <c r="F26" s="130">
        <v>0</v>
      </c>
    </row>
    <row r="27" spans="1:6" ht="22.5" customHeight="1">
      <c r="A27" s="123" t="s">
        <v>99</v>
      </c>
      <c r="B27" s="124" t="s">
        <v>289</v>
      </c>
      <c r="C27" s="218" t="s">
        <v>290</v>
      </c>
      <c r="D27" s="104">
        <v>0</v>
      </c>
      <c r="E27" s="104">
        <v>0</v>
      </c>
      <c r="F27" s="126">
        <v>0</v>
      </c>
    </row>
    <row r="28" spans="1:6" ht="22.5" customHeight="1">
      <c r="A28" s="127"/>
      <c r="B28" s="128" t="s">
        <v>291</v>
      </c>
      <c r="C28" s="219" t="s">
        <v>292</v>
      </c>
      <c r="D28" s="129">
        <v>0</v>
      </c>
      <c r="E28" s="129">
        <v>0</v>
      </c>
      <c r="F28" s="130">
        <v>0</v>
      </c>
    </row>
    <row r="29" spans="1:6" ht="22.5" customHeight="1">
      <c r="A29" s="127"/>
      <c r="B29" s="128" t="s">
        <v>293</v>
      </c>
      <c r="C29" s="219" t="s">
        <v>294</v>
      </c>
      <c r="D29" s="129">
        <v>0</v>
      </c>
      <c r="E29" s="129">
        <v>0</v>
      </c>
      <c r="F29" s="130">
        <v>0</v>
      </c>
    </row>
    <row r="30" spans="1:6" ht="45" customHeight="1">
      <c r="A30" s="127"/>
      <c r="B30" s="128" t="s">
        <v>295</v>
      </c>
      <c r="C30" s="219" t="s">
        <v>296</v>
      </c>
      <c r="D30" s="129">
        <v>0</v>
      </c>
      <c r="E30" s="129">
        <v>0</v>
      </c>
      <c r="F30" s="130">
        <v>0</v>
      </c>
    </row>
    <row r="31" spans="1:6" ht="22.5" customHeight="1">
      <c r="A31" s="118" t="s">
        <v>88</v>
      </c>
      <c r="B31" s="119" t="s">
        <v>297</v>
      </c>
      <c r="C31" s="217" t="s">
        <v>298</v>
      </c>
      <c r="D31" s="121">
        <v>12008861284</v>
      </c>
      <c r="E31" s="121">
        <v>8026623149</v>
      </c>
      <c r="F31" s="122">
        <v>32503262498</v>
      </c>
    </row>
    <row r="32" spans="1:6" ht="22.5" customHeight="1">
      <c r="A32" s="123" t="s">
        <v>112</v>
      </c>
      <c r="B32" s="124" t="s">
        <v>299</v>
      </c>
      <c r="C32" s="218" t="s">
        <v>300</v>
      </c>
      <c r="D32" s="104">
        <v>6921026816</v>
      </c>
      <c r="E32" s="104">
        <v>6394616902</v>
      </c>
      <c r="F32" s="126">
        <v>22596197158</v>
      </c>
    </row>
    <row r="33" spans="1:6" ht="22.5" customHeight="1">
      <c r="A33" s="123" t="s">
        <v>117</v>
      </c>
      <c r="B33" s="124" t="s">
        <v>301</v>
      </c>
      <c r="C33" s="218" t="s">
        <v>302</v>
      </c>
      <c r="D33" s="104">
        <v>620744447</v>
      </c>
      <c r="E33" s="104">
        <v>560477058</v>
      </c>
      <c r="F33" s="126">
        <v>2004590724</v>
      </c>
    </row>
    <row r="34" spans="1:6" ht="22.5" customHeight="1">
      <c r="A34" s="127"/>
      <c r="B34" s="128" t="s">
        <v>303</v>
      </c>
      <c r="C34" s="219" t="s">
        <v>304</v>
      </c>
      <c r="D34" s="129">
        <v>173025670</v>
      </c>
      <c r="E34" s="129">
        <v>159865424</v>
      </c>
      <c r="F34" s="130">
        <v>564904929</v>
      </c>
    </row>
    <row r="35" spans="1:6" ht="22.5" customHeight="1">
      <c r="A35" s="127"/>
      <c r="B35" s="128" t="s">
        <v>305</v>
      </c>
      <c r="C35" s="219" t="s">
        <v>306</v>
      </c>
      <c r="D35" s="129">
        <v>12400000</v>
      </c>
      <c r="E35" s="129">
        <v>2000000</v>
      </c>
      <c r="F35" s="130">
        <v>21800000</v>
      </c>
    </row>
    <row r="36" spans="1:6" ht="22.5" customHeight="1">
      <c r="A36" s="127"/>
      <c r="B36" s="128" t="s">
        <v>307</v>
      </c>
      <c r="C36" s="219" t="s">
        <v>308</v>
      </c>
      <c r="D36" s="129">
        <v>54662300</v>
      </c>
      <c r="E36" s="129">
        <v>46907704</v>
      </c>
      <c r="F36" s="130">
        <v>175094947</v>
      </c>
    </row>
    <row r="37" spans="1:6" ht="22.5" customHeight="1">
      <c r="A37" s="127"/>
      <c r="B37" s="128" t="s">
        <v>309</v>
      </c>
      <c r="C37" s="219" t="s">
        <v>310</v>
      </c>
      <c r="D37" s="129">
        <v>380656477</v>
      </c>
      <c r="E37" s="129">
        <v>351703930</v>
      </c>
      <c r="F37" s="130">
        <v>1242790848</v>
      </c>
    </row>
    <row r="38" spans="1:6" ht="42">
      <c r="A38" s="127"/>
      <c r="B38" s="128" t="s">
        <v>311</v>
      </c>
      <c r="C38" s="219" t="s">
        <v>312</v>
      </c>
      <c r="D38" s="129">
        <v>0</v>
      </c>
      <c r="E38" s="129">
        <v>0</v>
      </c>
      <c r="F38" s="130">
        <v>0</v>
      </c>
    </row>
    <row r="39" spans="1:6" ht="44.25" customHeight="1">
      <c r="A39" s="123" t="s">
        <v>93</v>
      </c>
      <c r="B39" s="124" t="s">
        <v>313</v>
      </c>
      <c r="C39" s="218" t="s">
        <v>314</v>
      </c>
      <c r="D39" s="104">
        <v>1197982426</v>
      </c>
      <c r="E39" s="104">
        <v>900746368</v>
      </c>
      <c r="F39" s="126">
        <v>3409006275</v>
      </c>
    </row>
    <row r="40" spans="1:6" ht="22.5" customHeight="1">
      <c r="A40" s="127"/>
      <c r="B40" s="128" t="s">
        <v>315</v>
      </c>
      <c r="C40" s="219" t="s">
        <v>316</v>
      </c>
      <c r="D40" s="129">
        <v>190328235</v>
      </c>
      <c r="E40" s="129">
        <v>175851966</v>
      </c>
      <c r="F40" s="130">
        <v>621395419</v>
      </c>
    </row>
    <row r="41" spans="1:6" ht="22.5" customHeight="1">
      <c r="A41" s="127"/>
      <c r="B41" s="128" t="s">
        <v>317</v>
      </c>
      <c r="C41" s="219" t="s">
        <v>318</v>
      </c>
      <c r="D41" s="129">
        <v>5500000</v>
      </c>
      <c r="E41" s="129">
        <v>5500000</v>
      </c>
      <c r="F41" s="130">
        <v>22000000</v>
      </c>
    </row>
    <row r="42" spans="1:6" ht="33" customHeight="1">
      <c r="A42" s="127"/>
      <c r="B42" s="128" t="s">
        <v>319</v>
      </c>
      <c r="C42" s="219" t="s">
        <v>320</v>
      </c>
      <c r="D42" s="129">
        <v>432564176</v>
      </c>
      <c r="E42" s="129">
        <v>399663557</v>
      </c>
      <c r="F42" s="130">
        <v>1412262322</v>
      </c>
    </row>
    <row r="43" spans="1:6" ht="22.5" customHeight="1">
      <c r="A43" s="127"/>
      <c r="B43" s="128" t="s">
        <v>321</v>
      </c>
      <c r="C43" s="219" t="s">
        <v>322</v>
      </c>
      <c r="D43" s="129">
        <v>346051342</v>
      </c>
      <c r="E43" s="129">
        <v>319730845</v>
      </c>
      <c r="F43" s="130">
        <v>1129809861</v>
      </c>
    </row>
    <row r="44" spans="1:6" ht="22.5" customHeight="1">
      <c r="A44" s="127"/>
      <c r="B44" s="128" t="s">
        <v>1005</v>
      </c>
      <c r="C44" s="219" t="s">
        <v>323</v>
      </c>
      <c r="D44" s="129">
        <v>223538673</v>
      </c>
      <c r="E44" s="129">
        <v>0</v>
      </c>
      <c r="F44" s="130">
        <v>223538673</v>
      </c>
    </row>
    <row r="45" spans="1:6" ht="22.5" customHeight="1">
      <c r="A45" s="123" t="s">
        <v>99</v>
      </c>
      <c r="B45" s="124" t="s">
        <v>324</v>
      </c>
      <c r="C45" s="218"/>
      <c r="D45" s="104">
        <v>0</v>
      </c>
      <c r="E45" s="104">
        <v>0</v>
      </c>
      <c r="F45" s="126">
        <v>0</v>
      </c>
    </row>
    <row r="46" spans="1:6" ht="22.5" customHeight="1">
      <c r="A46" s="123" t="s">
        <v>143</v>
      </c>
      <c r="B46" s="124" t="s">
        <v>325</v>
      </c>
      <c r="C46" s="218"/>
      <c r="D46" s="104">
        <v>0</v>
      </c>
      <c r="E46" s="104">
        <v>0</v>
      </c>
      <c r="F46" s="126">
        <v>0</v>
      </c>
    </row>
    <row r="47" spans="1:6" ht="22.5" customHeight="1">
      <c r="A47" s="123" t="s">
        <v>146</v>
      </c>
      <c r="B47" s="124" t="s">
        <v>326</v>
      </c>
      <c r="C47" s="218" t="s">
        <v>327</v>
      </c>
      <c r="D47" s="104">
        <v>9041100</v>
      </c>
      <c r="E47" s="104">
        <v>9342470</v>
      </c>
      <c r="F47" s="126">
        <v>36164399</v>
      </c>
    </row>
    <row r="48" spans="1:6" ht="45" customHeight="1">
      <c r="A48" s="123" t="s">
        <v>149</v>
      </c>
      <c r="B48" s="124" t="s">
        <v>328</v>
      </c>
      <c r="C48" s="218" t="s">
        <v>329</v>
      </c>
      <c r="D48" s="104">
        <v>9739715</v>
      </c>
      <c r="E48" s="104">
        <v>9764371</v>
      </c>
      <c r="F48" s="126">
        <v>38958861</v>
      </c>
    </row>
    <row r="49" spans="1:6" ht="22.5" customHeight="1">
      <c r="A49" s="127"/>
      <c r="B49" s="128" t="s">
        <v>330</v>
      </c>
      <c r="C49" s="219" t="s">
        <v>331</v>
      </c>
      <c r="D49" s="129">
        <v>9739715</v>
      </c>
      <c r="E49" s="129">
        <v>9764371</v>
      </c>
      <c r="F49" s="130">
        <v>38958861</v>
      </c>
    </row>
    <row r="50" spans="1:6" ht="22.5" customHeight="1">
      <c r="A50" s="127"/>
      <c r="B50" s="128" t="s">
        <v>332</v>
      </c>
      <c r="C50" s="219" t="s">
        <v>333</v>
      </c>
      <c r="D50" s="129">
        <v>0</v>
      </c>
      <c r="E50" s="129">
        <v>0</v>
      </c>
      <c r="F50" s="130">
        <v>0</v>
      </c>
    </row>
    <row r="51" spans="1:6" ht="22.5" customHeight="1">
      <c r="A51" s="127"/>
      <c r="B51" s="128" t="s">
        <v>334</v>
      </c>
      <c r="C51" s="219" t="s">
        <v>335</v>
      </c>
      <c r="D51" s="129">
        <v>0</v>
      </c>
      <c r="E51" s="129">
        <v>0</v>
      </c>
      <c r="F51" s="130">
        <v>0</v>
      </c>
    </row>
    <row r="52" spans="1:6" ht="99" customHeight="1">
      <c r="A52" s="123" t="s">
        <v>152</v>
      </c>
      <c r="B52" s="124" t="s">
        <v>336</v>
      </c>
      <c r="C52" s="218" t="s">
        <v>337</v>
      </c>
      <c r="D52" s="104">
        <v>45425688</v>
      </c>
      <c r="E52" s="104">
        <v>0</v>
      </c>
      <c r="F52" s="126">
        <v>45425688</v>
      </c>
    </row>
    <row r="53" spans="1:6" ht="22.5" customHeight="1">
      <c r="A53" s="127"/>
      <c r="B53" s="128" t="s">
        <v>338</v>
      </c>
      <c r="C53" s="219" t="s">
        <v>339</v>
      </c>
      <c r="D53" s="129">
        <v>27142500</v>
      </c>
      <c r="E53" s="129">
        <v>0</v>
      </c>
      <c r="F53" s="130">
        <v>27142500</v>
      </c>
    </row>
    <row r="54" spans="1:6" ht="22.5" customHeight="1">
      <c r="A54" s="127"/>
      <c r="B54" s="128" t="s">
        <v>340</v>
      </c>
      <c r="C54" s="219" t="s">
        <v>341</v>
      </c>
      <c r="D54" s="129">
        <v>0</v>
      </c>
      <c r="E54" s="129">
        <v>0</v>
      </c>
      <c r="F54" s="130">
        <v>0</v>
      </c>
    </row>
    <row r="55" spans="1:6" ht="22.5" customHeight="1">
      <c r="A55" s="127"/>
      <c r="B55" s="128" t="s">
        <v>342</v>
      </c>
      <c r="C55" s="219" t="s">
        <v>343</v>
      </c>
      <c r="D55" s="129">
        <v>0</v>
      </c>
      <c r="E55" s="129">
        <v>0</v>
      </c>
      <c r="F55" s="130">
        <v>0</v>
      </c>
    </row>
    <row r="56" spans="1:6" ht="22.5" customHeight="1">
      <c r="A56" s="127"/>
      <c r="B56" s="128" t="s">
        <v>344</v>
      </c>
      <c r="C56" s="219" t="s">
        <v>345</v>
      </c>
      <c r="D56" s="129">
        <v>0</v>
      </c>
      <c r="E56" s="129">
        <v>0</v>
      </c>
      <c r="F56" s="130">
        <v>0</v>
      </c>
    </row>
    <row r="57" spans="1:6" ht="22.5" customHeight="1">
      <c r="A57" s="127"/>
      <c r="B57" s="128" t="s">
        <v>346</v>
      </c>
      <c r="C57" s="219" t="s">
        <v>347</v>
      </c>
      <c r="D57" s="129">
        <v>18283188</v>
      </c>
      <c r="E57" s="129">
        <v>0</v>
      </c>
      <c r="F57" s="130">
        <v>18283188</v>
      </c>
    </row>
    <row r="58" spans="1:6" ht="22.5" customHeight="1">
      <c r="A58" s="123" t="s">
        <v>155</v>
      </c>
      <c r="B58" s="124" t="s">
        <v>348</v>
      </c>
      <c r="C58" s="218" t="s">
        <v>349</v>
      </c>
      <c r="D58" s="104">
        <v>3201185479</v>
      </c>
      <c r="E58" s="104">
        <v>137366680</v>
      </c>
      <c r="F58" s="126">
        <v>4318517931</v>
      </c>
    </row>
    <row r="59" spans="1:6" ht="22.5" customHeight="1">
      <c r="A59" s="127"/>
      <c r="B59" s="128" t="s">
        <v>350</v>
      </c>
      <c r="C59" s="219" t="s">
        <v>351</v>
      </c>
      <c r="D59" s="129">
        <v>3201185479</v>
      </c>
      <c r="E59" s="129">
        <v>137366680</v>
      </c>
      <c r="F59" s="130">
        <v>4318517931</v>
      </c>
    </row>
    <row r="60" spans="1:6" ht="22.5" customHeight="1">
      <c r="A60" s="127"/>
      <c r="B60" s="128" t="s">
        <v>352</v>
      </c>
      <c r="C60" s="219" t="s">
        <v>353</v>
      </c>
      <c r="D60" s="129">
        <v>0</v>
      </c>
      <c r="E60" s="129">
        <v>0</v>
      </c>
      <c r="F60" s="130">
        <v>0</v>
      </c>
    </row>
    <row r="61" spans="1:6" ht="22.5" customHeight="1">
      <c r="A61" s="123" t="s">
        <v>158</v>
      </c>
      <c r="B61" s="124" t="s">
        <v>354</v>
      </c>
      <c r="C61" s="218" t="s">
        <v>355</v>
      </c>
      <c r="D61" s="104">
        <v>3715613</v>
      </c>
      <c r="E61" s="104">
        <v>14309300</v>
      </c>
      <c r="F61" s="126">
        <v>54401462</v>
      </c>
    </row>
    <row r="62" spans="1:6" ht="22.5" customHeight="1">
      <c r="A62" s="127"/>
      <c r="B62" s="128" t="s">
        <v>356</v>
      </c>
      <c r="C62" s="219" t="s">
        <v>357</v>
      </c>
      <c r="D62" s="129">
        <v>0</v>
      </c>
      <c r="E62" s="129">
        <v>0</v>
      </c>
      <c r="F62" s="130">
        <v>0</v>
      </c>
    </row>
    <row r="63" spans="1:6" ht="22.5" customHeight="1">
      <c r="A63" s="127"/>
      <c r="B63" s="128" t="s">
        <v>358</v>
      </c>
      <c r="C63" s="219" t="s">
        <v>359</v>
      </c>
      <c r="D63" s="129">
        <v>0</v>
      </c>
      <c r="E63" s="129">
        <v>0</v>
      </c>
      <c r="F63" s="130">
        <v>30000000</v>
      </c>
    </row>
    <row r="64" spans="1:6" ht="22.5" customHeight="1">
      <c r="A64" s="127"/>
      <c r="B64" s="128" t="s">
        <v>360</v>
      </c>
      <c r="C64" s="219" t="s">
        <v>361</v>
      </c>
      <c r="D64" s="129">
        <v>0</v>
      </c>
      <c r="E64" s="129">
        <v>0</v>
      </c>
      <c r="F64" s="130">
        <v>0</v>
      </c>
    </row>
    <row r="65" spans="1:6" ht="22.5" customHeight="1">
      <c r="A65" s="127"/>
      <c r="B65" s="128" t="s">
        <v>362</v>
      </c>
      <c r="C65" s="219" t="s">
        <v>363</v>
      </c>
      <c r="D65" s="129">
        <v>3715613</v>
      </c>
      <c r="E65" s="129">
        <v>3809300</v>
      </c>
      <c r="F65" s="130">
        <v>13901462</v>
      </c>
    </row>
    <row r="66" spans="1:6" ht="22.5" customHeight="1">
      <c r="A66" s="127"/>
      <c r="B66" s="128" t="s">
        <v>364</v>
      </c>
      <c r="C66" s="219" t="s">
        <v>365</v>
      </c>
      <c r="D66" s="129">
        <v>0</v>
      </c>
      <c r="E66" s="129">
        <v>0</v>
      </c>
      <c r="F66" s="130">
        <v>0</v>
      </c>
    </row>
    <row r="67" spans="1:6" ht="22.5" customHeight="1">
      <c r="A67" s="127"/>
      <c r="B67" s="128" t="s">
        <v>366</v>
      </c>
      <c r="C67" s="219" t="s">
        <v>367</v>
      </c>
      <c r="D67" s="129">
        <v>0</v>
      </c>
      <c r="E67" s="129">
        <v>0</v>
      </c>
      <c r="F67" s="130">
        <v>0</v>
      </c>
    </row>
    <row r="68" spans="1:6" ht="22.5" customHeight="1">
      <c r="A68" s="127"/>
      <c r="B68" s="128" t="s">
        <v>368</v>
      </c>
      <c r="C68" s="219" t="s">
        <v>369</v>
      </c>
      <c r="D68" s="129">
        <v>0</v>
      </c>
      <c r="E68" s="129">
        <v>10500000</v>
      </c>
      <c r="F68" s="130">
        <v>10500000</v>
      </c>
    </row>
    <row r="69" spans="1:6" ht="22.5" customHeight="1">
      <c r="A69" s="127"/>
      <c r="B69" s="128" t="s">
        <v>370</v>
      </c>
      <c r="C69" s="219" t="s">
        <v>371</v>
      </c>
      <c r="D69" s="129">
        <v>0</v>
      </c>
      <c r="E69" s="129">
        <v>0</v>
      </c>
      <c r="F69" s="130">
        <v>0</v>
      </c>
    </row>
    <row r="70" spans="1:6" ht="22.5" customHeight="1">
      <c r="A70" s="118" t="s">
        <v>96</v>
      </c>
      <c r="B70" s="119" t="s">
        <v>372</v>
      </c>
      <c r="C70" s="217" t="s">
        <v>373</v>
      </c>
      <c r="D70" s="121">
        <v>-11883037855</v>
      </c>
      <c r="E70" s="121">
        <v>-394815621</v>
      </c>
      <c r="F70" s="122">
        <v>-24685955673</v>
      </c>
    </row>
    <row r="71" spans="1:6" ht="22.5" customHeight="1">
      <c r="A71" s="118" t="s">
        <v>66</v>
      </c>
      <c r="B71" s="119" t="s">
        <v>374</v>
      </c>
      <c r="C71" s="217" t="s">
        <v>375</v>
      </c>
      <c r="D71" s="121">
        <v>827928298828</v>
      </c>
      <c r="E71" s="121">
        <v>103961830250</v>
      </c>
      <c r="F71" s="122">
        <v>1952361824428</v>
      </c>
    </row>
    <row r="72" spans="1:6" ht="45" customHeight="1">
      <c r="A72" s="123" t="s">
        <v>112</v>
      </c>
      <c r="B72" s="124" t="s">
        <v>376</v>
      </c>
      <c r="C72" s="218" t="s">
        <v>377</v>
      </c>
      <c r="D72" s="104">
        <v>550306501318.95996</v>
      </c>
      <c r="E72" s="104">
        <v>15197968601.68</v>
      </c>
      <c r="F72" s="126">
        <v>629382897020.92004</v>
      </c>
    </row>
    <row r="73" spans="1:6" ht="22.5" customHeight="1">
      <c r="A73" s="127"/>
      <c r="B73" s="128" t="s">
        <v>378</v>
      </c>
      <c r="C73" s="219" t="s">
        <v>379</v>
      </c>
      <c r="D73" s="129">
        <v>535774641923</v>
      </c>
      <c r="E73" s="129">
        <v>13429225842</v>
      </c>
      <c r="F73" s="130">
        <v>611653167863</v>
      </c>
    </row>
    <row r="74" spans="1:6" ht="22.5" customHeight="1">
      <c r="A74" s="127"/>
      <c r="B74" s="128" t="s">
        <v>380</v>
      </c>
      <c r="C74" s="219" t="s">
        <v>381</v>
      </c>
      <c r="D74" s="129">
        <v>14531859395.959999</v>
      </c>
      <c r="E74" s="129">
        <v>1768742759.6800001</v>
      </c>
      <c r="F74" s="130">
        <v>17729729157.919998</v>
      </c>
    </row>
    <row r="75" spans="1:6" ht="33.75" customHeight="1">
      <c r="A75" s="127"/>
      <c r="B75" s="128" t="s">
        <v>382</v>
      </c>
      <c r="C75" s="219" t="s">
        <v>383</v>
      </c>
      <c r="D75" s="129">
        <v>0</v>
      </c>
      <c r="E75" s="129">
        <v>0</v>
      </c>
      <c r="F75" s="130">
        <v>0</v>
      </c>
    </row>
    <row r="76" spans="1:6" ht="22.5" customHeight="1">
      <c r="A76" s="123" t="s">
        <v>117</v>
      </c>
      <c r="B76" s="124" t="s">
        <v>384</v>
      </c>
      <c r="C76" s="218" t="s">
        <v>385</v>
      </c>
      <c r="D76" s="104">
        <v>277621797509.03998</v>
      </c>
      <c r="E76" s="104">
        <v>88763861648.320007</v>
      </c>
      <c r="F76" s="126">
        <v>1322978927407.0801</v>
      </c>
    </row>
    <row r="77" spans="1:6" ht="44.25" customHeight="1">
      <c r="A77" s="118" t="s">
        <v>198</v>
      </c>
      <c r="B77" s="119" t="s">
        <v>386</v>
      </c>
      <c r="C77" s="217" t="s">
        <v>387</v>
      </c>
      <c r="D77" s="121">
        <v>816045260973</v>
      </c>
      <c r="E77" s="121">
        <v>103567014629</v>
      </c>
      <c r="F77" s="122">
        <v>1927675868755</v>
      </c>
    </row>
    <row r="78" spans="1:6" ht="22.5" customHeight="1">
      <c r="A78" s="118" t="s">
        <v>208</v>
      </c>
      <c r="B78" s="119" t="s">
        <v>388</v>
      </c>
      <c r="C78" s="217" t="s">
        <v>389</v>
      </c>
      <c r="D78" s="121">
        <v>9799077340633</v>
      </c>
      <c r="E78" s="121">
        <v>8851451560778</v>
      </c>
      <c r="F78" s="122">
        <v>5280430128341</v>
      </c>
    </row>
    <row r="79" spans="1:6" ht="22.5" customHeight="1">
      <c r="A79" s="118" t="s">
        <v>232</v>
      </c>
      <c r="B79" s="119" t="s">
        <v>390</v>
      </c>
      <c r="C79" s="217" t="s">
        <v>391</v>
      </c>
      <c r="D79" s="121">
        <v>1433063040121</v>
      </c>
      <c r="E79" s="121">
        <v>947625779855</v>
      </c>
      <c r="F79" s="122">
        <v>5951710252413</v>
      </c>
    </row>
    <row r="80" spans="1:6" ht="22.5" customHeight="1">
      <c r="A80" s="123"/>
      <c r="B80" s="124" t="s">
        <v>392</v>
      </c>
      <c r="C80" s="218" t="s">
        <v>393</v>
      </c>
      <c r="D80" s="104">
        <v>0</v>
      </c>
      <c r="E80" s="104">
        <v>0</v>
      </c>
      <c r="F80" s="126">
        <v>0</v>
      </c>
    </row>
    <row r="81" spans="1:6" ht="45" customHeight="1">
      <c r="A81" s="123" t="s">
        <v>112</v>
      </c>
      <c r="B81" s="124" t="s">
        <v>394</v>
      </c>
      <c r="C81" s="218" t="s">
        <v>395</v>
      </c>
      <c r="D81" s="104">
        <v>816045260973</v>
      </c>
      <c r="E81" s="104">
        <v>103567014629</v>
      </c>
      <c r="F81" s="126">
        <v>1927675868755</v>
      </c>
    </row>
    <row r="82" spans="1:6" ht="45" customHeight="1">
      <c r="A82" s="123" t="s">
        <v>117</v>
      </c>
      <c r="B82" s="124" t="s">
        <v>396</v>
      </c>
      <c r="C82" s="218"/>
      <c r="D82" s="104">
        <v>0</v>
      </c>
      <c r="E82" s="104">
        <v>0</v>
      </c>
      <c r="F82" s="126">
        <v>0</v>
      </c>
    </row>
    <row r="83" spans="1:6" ht="33.75" customHeight="1">
      <c r="A83" s="123" t="s">
        <v>93</v>
      </c>
      <c r="B83" s="124" t="s">
        <v>397</v>
      </c>
      <c r="C83" s="218" t="s">
        <v>398</v>
      </c>
      <c r="D83" s="104">
        <v>617017779148</v>
      </c>
      <c r="E83" s="104">
        <v>844058765226</v>
      </c>
      <c r="F83" s="126">
        <v>4024034383658</v>
      </c>
    </row>
    <row r="84" spans="1:6" ht="22.5" customHeight="1">
      <c r="A84" s="127"/>
      <c r="B84" s="128" t="s">
        <v>399</v>
      </c>
      <c r="C84" s="219" t="s">
        <v>400</v>
      </c>
      <c r="D84" s="129">
        <v>677558726719</v>
      </c>
      <c r="E84" s="129">
        <v>852082732649</v>
      </c>
      <c r="F84" s="130">
        <v>4100095608764</v>
      </c>
    </row>
    <row r="85" spans="1:6" ht="22.5" customHeight="1">
      <c r="A85" s="127"/>
      <c r="B85" s="128" t="s">
        <v>401</v>
      </c>
      <c r="C85" s="219" t="s">
        <v>402</v>
      </c>
      <c r="D85" s="129">
        <v>-60540947571</v>
      </c>
      <c r="E85" s="129">
        <v>-8023967423</v>
      </c>
      <c r="F85" s="130">
        <v>-76061225106</v>
      </c>
    </row>
    <row r="86" spans="1:6" ht="21">
      <c r="A86" s="118" t="s">
        <v>250</v>
      </c>
      <c r="B86" s="119" t="s">
        <v>403</v>
      </c>
      <c r="C86" s="217" t="s">
        <v>404</v>
      </c>
      <c r="D86" s="121">
        <v>11232140380754</v>
      </c>
      <c r="E86" s="121">
        <v>9799077340633</v>
      </c>
      <c r="F86" s="122">
        <v>11232140380754</v>
      </c>
    </row>
    <row r="87" spans="1:6" ht="22.5" customHeight="1">
      <c r="A87" s="118" t="s">
        <v>405</v>
      </c>
      <c r="B87" s="119" t="s">
        <v>406</v>
      </c>
      <c r="C87" s="217" t="s">
        <v>407</v>
      </c>
      <c r="D87" s="121">
        <v>0</v>
      </c>
      <c r="E87" s="121">
        <v>0</v>
      </c>
      <c r="F87" s="122">
        <v>0</v>
      </c>
    </row>
    <row r="88" spans="1:6" ht="22.5" customHeight="1">
      <c r="A88" s="131"/>
      <c r="B88" s="132" t="s">
        <v>408</v>
      </c>
      <c r="C88" s="220" t="s">
        <v>409</v>
      </c>
      <c r="D88" s="107">
        <v>0</v>
      </c>
      <c r="E88" s="107">
        <v>0</v>
      </c>
      <c r="F88" s="133">
        <v>0</v>
      </c>
    </row>
    <row r="89" spans="1:6" ht="11.25" customHeight="1">
      <c r="A89" s="84"/>
      <c r="B89" s="84"/>
      <c r="C89" s="134"/>
      <c r="D89" s="84"/>
      <c r="E89" s="84"/>
      <c r="F89" s="84"/>
    </row>
    <row r="90" spans="1:6" ht="15.75" customHeight="1">
      <c r="A90" s="282" t="s">
        <v>18</v>
      </c>
      <c r="B90" s="282"/>
      <c r="C90" s="282"/>
      <c r="D90" s="282" t="s">
        <v>105</v>
      </c>
      <c r="E90" s="282"/>
      <c r="F90" s="282"/>
    </row>
    <row r="91" spans="1:6" ht="15.75" customHeight="1">
      <c r="A91" s="285" t="s">
        <v>20</v>
      </c>
      <c r="B91" s="285"/>
      <c r="C91" s="285"/>
      <c r="D91" s="293" t="s">
        <v>21</v>
      </c>
      <c r="E91" s="293"/>
      <c r="F91" s="293"/>
    </row>
    <row r="92" spans="1:6" ht="15.75" customHeight="1">
      <c r="A92" s="84"/>
      <c r="B92" s="84"/>
      <c r="C92" s="84"/>
      <c r="D92" s="84"/>
      <c r="E92" s="84"/>
      <c r="F92" s="84"/>
    </row>
    <row r="93" spans="1:6" ht="15.75" customHeight="1">
      <c r="A93" s="84"/>
      <c r="B93" s="84"/>
      <c r="C93" s="84"/>
      <c r="D93" s="84"/>
      <c r="E93" s="84"/>
      <c r="F93" s="84"/>
    </row>
    <row r="94" spans="1:6" ht="15" customHeight="1">
      <c r="A94" s="84"/>
      <c r="B94" s="84"/>
      <c r="C94" s="84"/>
      <c r="D94" s="84"/>
      <c r="E94" s="84"/>
      <c r="F94" s="84"/>
    </row>
    <row r="95" spans="1:6" ht="15" customHeight="1">
      <c r="A95" s="84"/>
      <c r="B95" s="84"/>
      <c r="C95" s="84"/>
      <c r="D95" s="84"/>
      <c r="E95" s="84"/>
      <c r="F95" s="84"/>
    </row>
    <row r="96" spans="1:6" ht="15.75" customHeight="1">
      <c r="A96" s="84"/>
      <c r="B96" s="84"/>
      <c r="C96" s="84"/>
      <c r="D96" s="84"/>
      <c r="E96" s="84"/>
      <c r="F96" s="84"/>
    </row>
    <row r="97" spans="1:6" ht="15.75" customHeight="1">
      <c r="A97" s="282" t="s">
        <v>261</v>
      </c>
      <c r="B97" s="282"/>
      <c r="C97" s="282"/>
      <c r="D97" s="282" t="s">
        <v>262</v>
      </c>
      <c r="E97" s="282"/>
      <c r="F97" s="282"/>
    </row>
    <row r="98" spans="1:6" ht="15.75" customHeight="1">
      <c r="A98" s="292" t="s">
        <v>410</v>
      </c>
      <c r="B98" s="292"/>
      <c r="C98" s="292"/>
      <c r="D98" s="292" t="s">
        <v>1002</v>
      </c>
      <c r="E98" s="292"/>
      <c r="F98" s="292"/>
    </row>
    <row r="99" spans="1:6" ht="15.75" customHeight="1">
      <c r="A99" s="292" t="s">
        <v>264</v>
      </c>
      <c r="B99" s="292"/>
      <c r="C99" s="292"/>
      <c r="D99" s="292" t="s">
        <v>107</v>
      </c>
      <c r="E99" s="292"/>
      <c r="F99" s="292"/>
    </row>
  </sheetData>
  <mergeCells count="26">
    <mergeCell ref="A99:C99"/>
    <mergeCell ref="D99:F99"/>
    <mergeCell ref="A91:C91"/>
    <mergeCell ref="D91:F91"/>
    <mergeCell ref="A97:C97"/>
    <mergeCell ref="D97:F97"/>
    <mergeCell ref="A98:C98"/>
    <mergeCell ref="D98:F98"/>
    <mergeCell ref="C13:F13"/>
    <mergeCell ref="A15:F15"/>
    <mergeCell ref="A16:F16"/>
    <mergeCell ref="E17:F17"/>
    <mergeCell ref="A90:C90"/>
    <mergeCell ref="D90:F90"/>
    <mergeCell ref="C12:F12"/>
    <mergeCell ref="A1:B1"/>
    <mergeCell ref="D1:F1"/>
    <mergeCell ref="A2:F2"/>
    <mergeCell ref="A4:F4"/>
    <mergeCell ref="A5:F5"/>
    <mergeCell ref="C6:F6"/>
    <mergeCell ref="C7:F7"/>
    <mergeCell ref="C8:F8"/>
    <mergeCell ref="C9:F9"/>
    <mergeCell ref="C10:F10"/>
    <mergeCell ref="C11:F11"/>
  </mergeCells>
  <printOptions horizontalCentered="1"/>
  <pageMargins left="0" right="0" top="0.31" bottom="0.27" header="0.27" footer="0.21"/>
  <pageSetup paperSize="9" scale="98"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88"/>
  <sheetViews>
    <sheetView showGridLines="0" showZeros="0" showOutlineSymbols="0" view="pageBreakPreview" topLeftCell="A70" zoomScaleNormal="100" zoomScaleSheetLayoutView="100" workbookViewId="0">
      <selection activeCell="A81" sqref="A81"/>
    </sheetView>
  </sheetViews>
  <sheetFormatPr defaultRowHeight="15"/>
  <cols>
    <col min="1" max="1" width="5.7109375" style="86" customWidth="1"/>
    <col min="2" max="2" width="36.85546875" style="86" customWidth="1"/>
    <col min="3" max="3" width="9.28515625" style="86" customWidth="1"/>
    <col min="4" max="4" width="13.42578125" style="86" bestFit="1" customWidth="1"/>
    <col min="5" max="5" width="12.140625" style="86" customWidth="1"/>
    <col min="6" max="6" width="16.85546875" style="86" customWidth="1"/>
    <col min="7" max="7" width="12.140625" style="86" customWidth="1"/>
    <col min="8" max="256" width="9.140625" style="86"/>
    <col min="257" max="257" width="5.7109375" style="86" customWidth="1"/>
    <col min="258" max="258" width="35.7109375" style="86" customWidth="1"/>
    <col min="259" max="259" width="10" style="86" customWidth="1"/>
    <col min="260" max="261" width="12.140625" style="86" customWidth="1"/>
    <col min="262" max="262" width="16.85546875" style="86" customWidth="1"/>
    <col min="263" max="263" width="12.140625" style="86" customWidth="1"/>
    <col min="264" max="512" width="9.140625" style="86"/>
    <col min="513" max="513" width="5.7109375" style="86" customWidth="1"/>
    <col min="514" max="514" width="35.7109375" style="86" customWidth="1"/>
    <col min="515" max="515" width="10" style="86" customWidth="1"/>
    <col min="516" max="517" width="12.140625" style="86" customWidth="1"/>
    <col min="518" max="518" width="16.85546875" style="86" customWidth="1"/>
    <col min="519" max="519" width="12.140625" style="86" customWidth="1"/>
    <col min="520" max="768" width="9.140625" style="86"/>
    <col min="769" max="769" width="5.7109375" style="86" customWidth="1"/>
    <col min="770" max="770" width="35.7109375" style="86" customWidth="1"/>
    <col min="771" max="771" width="10" style="86" customWidth="1"/>
    <col min="772" max="773" width="12.140625" style="86" customWidth="1"/>
    <col min="774" max="774" width="16.85546875" style="86" customWidth="1"/>
    <col min="775" max="775" width="12.140625" style="86" customWidth="1"/>
    <col min="776" max="1024" width="9.140625" style="86"/>
    <col min="1025" max="1025" width="5.7109375" style="86" customWidth="1"/>
    <col min="1026" max="1026" width="35.7109375" style="86" customWidth="1"/>
    <col min="1027" max="1027" width="10" style="86" customWidth="1"/>
    <col min="1028" max="1029" width="12.140625" style="86" customWidth="1"/>
    <col min="1030" max="1030" width="16.85546875" style="86" customWidth="1"/>
    <col min="1031" max="1031" width="12.140625" style="86" customWidth="1"/>
    <col min="1032" max="1280" width="9.140625" style="86"/>
    <col min="1281" max="1281" width="5.7109375" style="86" customWidth="1"/>
    <col min="1282" max="1282" width="35.7109375" style="86" customWidth="1"/>
    <col min="1283" max="1283" width="10" style="86" customWidth="1"/>
    <col min="1284" max="1285" width="12.140625" style="86" customWidth="1"/>
    <col min="1286" max="1286" width="16.85546875" style="86" customWidth="1"/>
    <col min="1287" max="1287" width="12.140625" style="86" customWidth="1"/>
    <col min="1288" max="1536" width="9.140625" style="86"/>
    <col min="1537" max="1537" width="5.7109375" style="86" customWidth="1"/>
    <col min="1538" max="1538" width="35.7109375" style="86" customWidth="1"/>
    <col min="1539" max="1539" width="10" style="86" customWidth="1"/>
    <col min="1540" max="1541" width="12.140625" style="86" customWidth="1"/>
    <col min="1542" max="1542" width="16.85546875" style="86" customWidth="1"/>
    <col min="1543" max="1543" width="12.140625" style="86" customWidth="1"/>
    <col min="1544" max="1792" width="9.140625" style="86"/>
    <col min="1793" max="1793" width="5.7109375" style="86" customWidth="1"/>
    <col min="1794" max="1794" width="35.7109375" style="86" customWidth="1"/>
    <col min="1795" max="1795" width="10" style="86" customWidth="1"/>
    <col min="1796" max="1797" width="12.140625" style="86" customWidth="1"/>
    <col min="1798" max="1798" width="16.85546875" style="86" customWidth="1"/>
    <col min="1799" max="1799" width="12.140625" style="86" customWidth="1"/>
    <col min="1800" max="2048" width="9.140625" style="86"/>
    <col min="2049" max="2049" width="5.7109375" style="86" customWidth="1"/>
    <col min="2050" max="2050" width="35.7109375" style="86" customWidth="1"/>
    <col min="2051" max="2051" width="10" style="86" customWidth="1"/>
    <col min="2052" max="2053" width="12.140625" style="86" customWidth="1"/>
    <col min="2054" max="2054" width="16.85546875" style="86" customWidth="1"/>
    <col min="2055" max="2055" width="12.140625" style="86" customWidth="1"/>
    <col min="2056" max="2304" width="9.140625" style="86"/>
    <col min="2305" max="2305" width="5.7109375" style="86" customWidth="1"/>
    <col min="2306" max="2306" width="35.7109375" style="86" customWidth="1"/>
    <col min="2307" max="2307" width="10" style="86" customWidth="1"/>
    <col min="2308" max="2309" width="12.140625" style="86" customWidth="1"/>
    <col min="2310" max="2310" width="16.85546875" style="86" customWidth="1"/>
    <col min="2311" max="2311" width="12.140625" style="86" customWidth="1"/>
    <col min="2312" max="2560" width="9.140625" style="86"/>
    <col min="2561" max="2561" width="5.7109375" style="86" customWidth="1"/>
    <col min="2562" max="2562" width="35.7109375" style="86" customWidth="1"/>
    <col min="2563" max="2563" width="10" style="86" customWidth="1"/>
    <col min="2564" max="2565" width="12.140625" style="86" customWidth="1"/>
    <col min="2566" max="2566" width="16.85546875" style="86" customWidth="1"/>
    <col min="2567" max="2567" width="12.140625" style="86" customWidth="1"/>
    <col min="2568" max="2816" width="9.140625" style="86"/>
    <col min="2817" max="2817" width="5.7109375" style="86" customWidth="1"/>
    <col min="2818" max="2818" width="35.7109375" style="86" customWidth="1"/>
    <col min="2819" max="2819" width="10" style="86" customWidth="1"/>
    <col min="2820" max="2821" width="12.140625" style="86" customWidth="1"/>
    <col min="2822" max="2822" width="16.85546875" style="86" customWidth="1"/>
    <col min="2823" max="2823" width="12.140625" style="86" customWidth="1"/>
    <col min="2824" max="3072" width="9.140625" style="86"/>
    <col min="3073" max="3073" width="5.7109375" style="86" customWidth="1"/>
    <col min="3074" max="3074" width="35.7109375" style="86" customWidth="1"/>
    <col min="3075" max="3075" width="10" style="86" customWidth="1"/>
    <col min="3076" max="3077" width="12.140625" style="86" customWidth="1"/>
    <col min="3078" max="3078" width="16.85546875" style="86" customWidth="1"/>
    <col min="3079" max="3079" width="12.140625" style="86" customWidth="1"/>
    <col min="3080" max="3328" width="9.140625" style="86"/>
    <col min="3329" max="3329" width="5.7109375" style="86" customWidth="1"/>
    <col min="3330" max="3330" width="35.7109375" style="86" customWidth="1"/>
    <col min="3331" max="3331" width="10" style="86" customWidth="1"/>
    <col min="3332" max="3333" width="12.140625" style="86" customWidth="1"/>
    <col min="3334" max="3334" width="16.85546875" style="86" customWidth="1"/>
    <col min="3335" max="3335" width="12.140625" style="86" customWidth="1"/>
    <col min="3336" max="3584" width="9.140625" style="86"/>
    <col min="3585" max="3585" width="5.7109375" style="86" customWidth="1"/>
    <col min="3586" max="3586" width="35.7109375" style="86" customWidth="1"/>
    <col min="3587" max="3587" width="10" style="86" customWidth="1"/>
    <col min="3588" max="3589" width="12.140625" style="86" customWidth="1"/>
    <col min="3590" max="3590" width="16.85546875" style="86" customWidth="1"/>
    <col min="3591" max="3591" width="12.140625" style="86" customWidth="1"/>
    <col min="3592" max="3840" width="9.140625" style="86"/>
    <col min="3841" max="3841" width="5.7109375" style="86" customWidth="1"/>
    <col min="3842" max="3842" width="35.7109375" style="86" customWidth="1"/>
    <col min="3843" max="3843" width="10" style="86" customWidth="1"/>
    <col min="3844" max="3845" width="12.140625" style="86" customWidth="1"/>
    <col min="3846" max="3846" width="16.85546875" style="86" customWidth="1"/>
    <col min="3847" max="3847" width="12.140625" style="86" customWidth="1"/>
    <col min="3848" max="4096" width="9.140625" style="86"/>
    <col min="4097" max="4097" width="5.7109375" style="86" customWidth="1"/>
    <col min="4098" max="4098" width="35.7109375" style="86" customWidth="1"/>
    <col min="4099" max="4099" width="10" style="86" customWidth="1"/>
    <col min="4100" max="4101" width="12.140625" style="86" customWidth="1"/>
    <col min="4102" max="4102" width="16.85546875" style="86" customWidth="1"/>
    <col min="4103" max="4103" width="12.140625" style="86" customWidth="1"/>
    <col min="4104" max="4352" width="9.140625" style="86"/>
    <col min="4353" max="4353" width="5.7109375" style="86" customWidth="1"/>
    <col min="4354" max="4354" width="35.7109375" style="86" customWidth="1"/>
    <col min="4355" max="4355" width="10" style="86" customWidth="1"/>
    <col min="4356" max="4357" width="12.140625" style="86" customWidth="1"/>
    <col min="4358" max="4358" width="16.85546875" style="86" customWidth="1"/>
    <col min="4359" max="4359" width="12.140625" style="86" customWidth="1"/>
    <col min="4360" max="4608" width="9.140625" style="86"/>
    <col min="4609" max="4609" width="5.7109375" style="86" customWidth="1"/>
    <col min="4610" max="4610" width="35.7109375" style="86" customWidth="1"/>
    <col min="4611" max="4611" width="10" style="86" customWidth="1"/>
    <col min="4612" max="4613" width="12.140625" style="86" customWidth="1"/>
    <col min="4614" max="4614" width="16.85546875" style="86" customWidth="1"/>
    <col min="4615" max="4615" width="12.140625" style="86" customWidth="1"/>
    <col min="4616" max="4864" width="9.140625" style="86"/>
    <col min="4865" max="4865" width="5.7109375" style="86" customWidth="1"/>
    <col min="4866" max="4866" width="35.7109375" style="86" customWidth="1"/>
    <col min="4867" max="4867" width="10" style="86" customWidth="1"/>
    <col min="4868" max="4869" width="12.140625" style="86" customWidth="1"/>
    <col min="4870" max="4870" width="16.85546875" style="86" customWidth="1"/>
    <col min="4871" max="4871" width="12.140625" style="86" customWidth="1"/>
    <col min="4872" max="5120" width="9.140625" style="86"/>
    <col min="5121" max="5121" width="5.7109375" style="86" customWidth="1"/>
    <col min="5122" max="5122" width="35.7109375" style="86" customWidth="1"/>
    <col min="5123" max="5123" width="10" style="86" customWidth="1"/>
    <col min="5124" max="5125" width="12.140625" style="86" customWidth="1"/>
    <col min="5126" max="5126" width="16.85546875" style="86" customWidth="1"/>
    <col min="5127" max="5127" width="12.140625" style="86" customWidth="1"/>
    <col min="5128" max="5376" width="9.140625" style="86"/>
    <col min="5377" max="5377" width="5.7109375" style="86" customWidth="1"/>
    <col min="5378" max="5378" width="35.7109375" style="86" customWidth="1"/>
    <col min="5379" max="5379" width="10" style="86" customWidth="1"/>
    <col min="5380" max="5381" width="12.140625" style="86" customWidth="1"/>
    <col min="5382" max="5382" width="16.85546875" style="86" customWidth="1"/>
    <col min="5383" max="5383" width="12.140625" style="86" customWidth="1"/>
    <col min="5384" max="5632" width="9.140625" style="86"/>
    <col min="5633" max="5633" width="5.7109375" style="86" customWidth="1"/>
    <col min="5634" max="5634" width="35.7109375" style="86" customWidth="1"/>
    <col min="5635" max="5635" width="10" style="86" customWidth="1"/>
    <col min="5636" max="5637" width="12.140625" style="86" customWidth="1"/>
    <col min="5638" max="5638" width="16.85546875" style="86" customWidth="1"/>
    <col min="5639" max="5639" width="12.140625" style="86" customWidth="1"/>
    <col min="5640" max="5888" width="9.140625" style="86"/>
    <col min="5889" max="5889" width="5.7109375" style="86" customWidth="1"/>
    <col min="5890" max="5890" width="35.7109375" style="86" customWidth="1"/>
    <col min="5891" max="5891" width="10" style="86" customWidth="1"/>
    <col min="5892" max="5893" width="12.140625" style="86" customWidth="1"/>
    <col min="5894" max="5894" width="16.85546875" style="86" customWidth="1"/>
    <col min="5895" max="5895" width="12.140625" style="86" customWidth="1"/>
    <col min="5896" max="6144" width="9.140625" style="86"/>
    <col min="6145" max="6145" width="5.7109375" style="86" customWidth="1"/>
    <col min="6146" max="6146" width="35.7109375" style="86" customWidth="1"/>
    <col min="6147" max="6147" width="10" style="86" customWidth="1"/>
    <col min="6148" max="6149" width="12.140625" style="86" customWidth="1"/>
    <col min="6150" max="6150" width="16.85546875" style="86" customWidth="1"/>
    <col min="6151" max="6151" width="12.140625" style="86" customWidth="1"/>
    <col min="6152" max="6400" width="9.140625" style="86"/>
    <col min="6401" max="6401" width="5.7109375" style="86" customWidth="1"/>
    <col min="6402" max="6402" width="35.7109375" style="86" customWidth="1"/>
    <col min="6403" max="6403" width="10" style="86" customWidth="1"/>
    <col min="6404" max="6405" width="12.140625" style="86" customWidth="1"/>
    <col min="6406" max="6406" width="16.85546875" style="86" customWidth="1"/>
    <col min="6407" max="6407" width="12.140625" style="86" customWidth="1"/>
    <col min="6408" max="6656" width="9.140625" style="86"/>
    <col min="6657" max="6657" width="5.7109375" style="86" customWidth="1"/>
    <col min="6658" max="6658" width="35.7109375" style="86" customWidth="1"/>
    <col min="6659" max="6659" width="10" style="86" customWidth="1"/>
    <col min="6660" max="6661" width="12.140625" style="86" customWidth="1"/>
    <col min="6662" max="6662" width="16.85546875" style="86" customWidth="1"/>
    <col min="6663" max="6663" width="12.140625" style="86" customWidth="1"/>
    <col min="6664" max="6912" width="9.140625" style="86"/>
    <col min="6913" max="6913" width="5.7109375" style="86" customWidth="1"/>
    <col min="6914" max="6914" width="35.7109375" style="86" customWidth="1"/>
    <col min="6915" max="6915" width="10" style="86" customWidth="1"/>
    <col min="6916" max="6917" width="12.140625" style="86" customWidth="1"/>
    <col min="6918" max="6918" width="16.85546875" style="86" customWidth="1"/>
    <col min="6919" max="6919" width="12.140625" style="86" customWidth="1"/>
    <col min="6920" max="7168" width="9.140625" style="86"/>
    <col min="7169" max="7169" width="5.7109375" style="86" customWidth="1"/>
    <col min="7170" max="7170" width="35.7109375" style="86" customWidth="1"/>
    <col min="7171" max="7171" width="10" style="86" customWidth="1"/>
    <col min="7172" max="7173" width="12.140625" style="86" customWidth="1"/>
    <col min="7174" max="7174" width="16.85546875" style="86" customWidth="1"/>
    <col min="7175" max="7175" width="12.140625" style="86" customWidth="1"/>
    <col min="7176" max="7424" width="9.140625" style="86"/>
    <col min="7425" max="7425" width="5.7109375" style="86" customWidth="1"/>
    <col min="7426" max="7426" width="35.7109375" style="86" customWidth="1"/>
    <col min="7427" max="7427" width="10" style="86" customWidth="1"/>
    <col min="7428" max="7429" width="12.140625" style="86" customWidth="1"/>
    <col min="7430" max="7430" width="16.85546875" style="86" customWidth="1"/>
    <col min="7431" max="7431" width="12.140625" style="86" customWidth="1"/>
    <col min="7432" max="7680" width="9.140625" style="86"/>
    <col min="7681" max="7681" width="5.7109375" style="86" customWidth="1"/>
    <col min="7682" max="7682" width="35.7109375" style="86" customWidth="1"/>
    <col min="7683" max="7683" width="10" style="86" customWidth="1"/>
    <col min="7684" max="7685" width="12.140625" style="86" customWidth="1"/>
    <col min="7686" max="7686" width="16.85546875" style="86" customWidth="1"/>
    <col min="7687" max="7687" width="12.140625" style="86" customWidth="1"/>
    <col min="7688" max="7936" width="9.140625" style="86"/>
    <col min="7937" max="7937" width="5.7109375" style="86" customWidth="1"/>
    <col min="7938" max="7938" width="35.7109375" style="86" customWidth="1"/>
    <col min="7939" max="7939" width="10" style="86" customWidth="1"/>
    <col min="7940" max="7941" width="12.140625" style="86" customWidth="1"/>
    <col min="7942" max="7942" width="16.85546875" style="86" customWidth="1"/>
    <col min="7943" max="7943" width="12.140625" style="86" customWidth="1"/>
    <col min="7944" max="8192" width="9.140625" style="86"/>
    <col min="8193" max="8193" width="5.7109375" style="86" customWidth="1"/>
    <col min="8194" max="8194" width="35.7109375" style="86" customWidth="1"/>
    <col min="8195" max="8195" width="10" style="86" customWidth="1"/>
    <col min="8196" max="8197" width="12.140625" style="86" customWidth="1"/>
    <col min="8198" max="8198" width="16.85546875" style="86" customWidth="1"/>
    <col min="8199" max="8199" width="12.140625" style="86" customWidth="1"/>
    <col min="8200" max="8448" width="9.140625" style="86"/>
    <col min="8449" max="8449" width="5.7109375" style="86" customWidth="1"/>
    <col min="8450" max="8450" width="35.7109375" style="86" customWidth="1"/>
    <col min="8451" max="8451" width="10" style="86" customWidth="1"/>
    <col min="8452" max="8453" width="12.140625" style="86" customWidth="1"/>
    <col min="8454" max="8454" width="16.85546875" style="86" customWidth="1"/>
    <col min="8455" max="8455" width="12.140625" style="86" customWidth="1"/>
    <col min="8456" max="8704" width="9.140625" style="86"/>
    <col min="8705" max="8705" width="5.7109375" style="86" customWidth="1"/>
    <col min="8706" max="8706" width="35.7109375" style="86" customWidth="1"/>
    <col min="8707" max="8707" width="10" style="86" customWidth="1"/>
    <col min="8708" max="8709" width="12.140625" style="86" customWidth="1"/>
    <col min="8710" max="8710" width="16.85546875" style="86" customWidth="1"/>
    <col min="8711" max="8711" width="12.140625" style="86" customWidth="1"/>
    <col min="8712" max="8960" width="9.140625" style="86"/>
    <col min="8961" max="8961" width="5.7109375" style="86" customWidth="1"/>
    <col min="8962" max="8962" width="35.7109375" style="86" customWidth="1"/>
    <col min="8963" max="8963" width="10" style="86" customWidth="1"/>
    <col min="8964" max="8965" width="12.140625" style="86" customWidth="1"/>
    <col min="8966" max="8966" width="16.85546875" style="86" customWidth="1"/>
    <col min="8967" max="8967" width="12.140625" style="86" customWidth="1"/>
    <col min="8968" max="9216" width="9.140625" style="86"/>
    <col min="9217" max="9217" width="5.7109375" style="86" customWidth="1"/>
    <col min="9218" max="9218" width="35.7109375" style="86" customWidth="1"/>
    <col min="9219" max="9219" width="10" style="86" customWidth="1"/>
    <col min="9220" max="9221" width="12.140625" style="86" customWidth="1"/>
    <col min="9222" max="9222" width="16.85546875" style="86" customWidth="1"/>
    <col min="9223" max="9223" width="12.140625" style="86" customWidth="1"/>
    <col min="9224" max="9472" width="9.140625" style="86"/>
    <col min="9473" max="9473" width="5.7109375" style="86" customWidth="1"/>
    <col min="9474" max="9474" width="35.7109375" style="86" customWidth="1"/>
    <col min="9475" max="9475" width="10" style="86" customWidth="1"/>
    <col min="9476" max="9477" width="12.140625" style="86" customWidth="1"/>
    <col min="9478" max="9478" width="16.85546875" style="86" customWidth="1"/>
    <col min="9479" max="9479" width="12.140625" style="86" customWidth="1"/>
    <col min="9480" max="9728" width="9.140625" style="86"/>
    <col min="9729" max="9729" width="5.7109375" style="86" customWidth="1"/>
    <col min="9730" max="9730" width="35.7109375" style="86" customWidth="1"/>
    <col min="9731" max="9731" width="10" style="86" customWidth="1"/>
    <col min="9732" max="9733" width="12.140625" style="86" customWidth="1"/>
    <col min="9734" max="9734" width="16.85546875" style="86" customWidth="1"/>
    <col min="9735" max="9735" width="12.140625" style="86" customWidth="1"/>
    <col min="9736" max="9984" width="9.140625" style="86"/>
    <col min="9985" max="9985" width="5.7109375" style="86" customWidth="1"/>
    <col min="9986" max="9986" width="35.7109375" style="86" customWidth="1"/>
    <col min="9987" max="9987" width="10" style="86" customWidth="1"/>
    <col min="9988" max="9989" width="12.140625" style="86" customWidth="1"/>
    <col min="9990" max="9990" width="16.85546875" style="86" customWidth="1"/>
    <col min="9991" max="9991" width="12.140625" style="86" customWidth="1"/>
    <col min="9992" max="10240" width="9.140625" style="86"/>
    <col min="10241" max="10241" width="5.7109375" style="86" customWidth="1"/>
    <col min="10242" max="10242" width="35.7109375" style="86" customWidth="1"/>
    <col min="10243" max="10243" width="10" style="86" customWidth="1"/>
    <col min="10244" max="10245" width="12.140625" style="86" customWidth="1"/>
    <col min="10246" max="10246" width="16.85546875" style="86" customWidth="1"/>
    <col min="10247" max="10247" width="12.140625" style="86" customWidth="1"/>
    <col min="10248" max="10496" width="9.140625" style="86"/>
    <col min="10497" max="10497" width="5.7109375" style="86" customWidth="1"/>
    <col min="10498" max="10498" width="35.7109375" style="86" customWidth="1"/>
    <col min="10499" max="10499" width="10" style="86" customWidth="1"/>
    <col min="10500" max="10501" width="12.140625" style="86" customWidth="1"/>
    <col min="10502" max="10502" width="16.85546875" style="86" customWidth="1"/>
    <col min="10503" max="10503" width="12.140625" style="86" customWidth="1"/>
    <col min="10504" max="10752" width="9.140625" style="86"/>
    <col min="10753" max="10753" width="5.7109375" style="86" customWidth="1"/>
    <col min="10754" max="10754" width="35.7109375" style="86" customWidth="1"/>
    <col min="10755" max="10755" width="10" style="86" customWidth="1"/>
    <col min="10756" max="10757" width="12.140625" style="86" customWidth="1"/>
    <col min="10758" max="10758" width="16.85546875" style="86" customWidth="1"/>
    <col min="10759" max="10759" width="12.140625" style="86" customWidth="1"/>
    <col min="10760" max="11008" width="9.140625" style="86"/>
    <col min="11009" max="11009" width="5.7109375" style="86" customWidth="1"/>
    <col min="11010" max="11010" width="35.7109375" style="86" customWidth="1"/>
    <col min="11011" max="11011" width="10" style="86" customWidth="1"/>
    <col min="11012" max="11013" width="12.140625" style="86" customWidth="1"/>
    <col min="11014" max="11014" width="16.85546875" style="86" customWidth="1"/>
    <col min="11015" max="11015" width="12.140625" style="86" customWidth="1"/>
    <col min="11016" max="11264" width="9.140625" style="86"/>
    <col min="11265" max="11265" width="5.7109375" style="86" customWidth="1"/>
    <col min="11266" max="11266" width="35.7109375" style="86" customWidth="1"/>
    <col min="11267" max="11267" width="10" style="86" customWidth="1"/>
    <col min="11268" max="11269" width="12.140625" style="86" customWidth="1"/>
    <col min="11270" max="11270" width="16.85546875" style="86" customWidth="1"/>
    <col min="11271" max="11271" width="12.140625" style="86" customWidth="1"/>
    <col min="11272" max="11520" width="9.140625" style="86"/>
    <col min="11521" max="11521" width="5.7109375" style="86" customWidth="1"/>
    <col min="11522" max="11522" width="35.7109375" style="86" customWidth="1"/>
    <col min="11523" max="11523" width="10" style="86" customWidth="1"/>
    <col min="11524" max="11525" width="12.140625" style="86" customWidth="1"/>
    <col min="11526" max="11526" width="16.85546875" style="86" customWidth="1"/>
    <col min="11527" max="11527" width="12.140625" style="86" customWidth="1"/>
    <col min="11528" max="11776" width="9.140625" style="86"/>
    <col min="11777" max="11777" width="5.7109375" style="86" customWidth="1"/>
    <col min="11778" max="11778" width="35.7109375" style="86" customWidth="1"/>
    <col min="11779" max="11779" width="10" style="86" customWidth="1"/>
    <col min="11780" max="11781" width="12.140625" style="86" customWidth="1"/>
    <col min="11782" max="11782" width="16.85546875" style="86" customWidth="1"/>
    <col min="11783" max="11783" width="12.140625" style="86" customWidth="1"/>
    <col min="11784" max="12032" width="9.140625" style="86"/>
    <col min="12033" max="12033" width="5.7109375" style="86" customWidth="1"/>
    <col min="12034" max="12034" width="35.7109375" style="86" customWidth="1"/>
    <col min="12035" max="12035" width="10" style="86" customWidth="1"/>
    <col min="12036" max="12037" width="12.140625" style="86" customWidth="1"/>
    <col min="12038" max="12038" width="16.85546875" style="86" customWidth="1"/>
    <col min="12039" max="12039" width="12.140625" style="86" customWidth="1"/>
    <col min="12040" max="12288" width="9.140625" style="86"/>
    <col min="12289" max="12289" width="5.7109375" style="86" customWidth="1"/>
    <col min="12290" max="12290" width="35.7109375" style="86" customWidth="1"/>
    <col min="12291" max="12291" width="10" style="86" customWidth="1"/>
    <col min="12292" max="12293" width="12.140625" style="86" customWidth="1"/>
    <col min="12294" max="12294" width="16.85546875" style="86" customWidth="1"/>
    <col min="12295" max="12295" width="12.140625" style="86" customWidth="1"/>
    <col min="12296" max="12544" width="9.140625" style="86"/>
    <col min="12545" max="12545" width="5.7109375" style="86" customWidth="1"/>
    <col min="12546" max="12546" width="35.7109375" style="86" customWidth="1"/>
    <col min="12547" max="12547" width="10" style="86" customWidth="1"/>
    <col min="12548" max="12549" width="12.140625" style="86" customWidth="1"/>
    <col min="12550" max="12550" width="16.85546875" style="86" customWidth="1"/>
    <col min="12551" max="12551" width="12.140625" style="86" customWidth="1"/>
    <col min="12552" max="12800" width="9.140625" style="86"/>
    <col min="12801" max="12801" width="5.7109375" style="86" customWidth="1"/>
    <col min="12802" max="12802" width="35.7109375" style="86" customWidth="1"/>
    <col min="12803" max="12803" width="10" style="86" customWidth="1"/>
    <col min="12804" max="12805" width="12.140625" style="86" customWidth="1"/>
    <col min="12806" max="12806" width="16.85546875" style="86" customWidth="1"/>
    <col min="12807" max="12807" width="12.140625" style="86" customWidth="1"/>
    <col min="12808" max="13056" width="9.140625" style="86"/>
    <col min="13057" max="13057" width="5.7109375" style="86" customWidth="1"/>
    <col min="13058" max="13058" width="35.7109375" style="86" customWidth="1"/>
    <col min="13059" max="13059" width="10" style="86" customWidth="1"/>
    <col min="13060" max="13061" width="12.140625" style="86" customWidth="1"/>
    <col min="13062" max="13062" width="16.85546875" style="86" customWidth="1"/>
    <col min="13063" max="13063" width="12.140625" style="86" customWidth="1"/>
    <col min="13064" max="13312" width="9.140625" style="86"/>
    <col min="13313" max="13313" width="5.7109375" style="86" customWidth="1"/>
    <col min="13314" max="13314" width="35.7109375" style="86" customWidth="1"/>
    <col min="13315" max="13315" width="10" style="86" customWidth="1"/>
    <col min="13316" max="13317" width="12.140625" style="86" customWidth="1"/>
    <col min="13318" max="13318" width="16.85546875" style="86" customWidth="1"/>
    <col min="13319" max="13319" width="12.140625" style="86" customWidth="1"/>
    <col min="13320" max="13568" width="9.140625" style="86"/>
    <col min="13569" max="13569" width="5.7109375" style="86" customWidth="1"/>
    <col min="13570" max="13570" width="35.7109375" style="86" customWidth="1"/>
    <col min="13571" max="13571" width="10" style="86" customWidth="1"/>
    <col min="13572" max="13573" width="12.140625" style="86" customWidth="1"/>
    <col min="13574" max="13574" width="16.85546875" style="86" customWidth="1"/>
    <col min="13575" max="13575" width="12.140625" style="86" customWidth="1"/>
    <col min="13576" max="13824" width="9.140625" style="86"/>
    <col min="13825" max="13825" width="5.7109375" style="86" customWidth="1"/>
    <col min="13826" max="13826" width="35.7109375" style="86" customWidth="1"/>
    <col min="13827" max="13827" width="10" style="86" customWidth="1"/>
    <col min="13828" max="13829" width="12.140625" style="86" customWidth="1"/>
    <col min="13830" max="13830" width="16.85546875" style="86" customWidth="1"/>
    <col min="13831" max="13831" width="12.140625" style="86" customWidth="1"/>
    <col min="13832" max="14080" width="9.140625" style="86"/>
    <col min="14081" max="14081" width="5.7109375" style="86" customWidth="1"/>
    <col min="14082" max="14082" width="35.7109375" style="86" customWidth="1"/>
    <col min="14083" max="14083" width="10" style="86" customWidth="1"/>
    <col min="14084" max="14085" width="12.140625" style="86" customWidth="1"/>
    <col min="14086" max="14086" width="16.85546875" style="86" customWidth="1"/>
    <col min="14087" max="14087" width="12.140625" style="86" customWidth="1"/>
    <col min="14088" max="14336" width="9.140625" style="86"/>
    <col min="14337" max="14337" width="5.7109375" style="86" customWidth="1"/>
    <col min="14338" max="14338" width="35.7109375" style="86" customWidth="1"/>
    <col min="14339" max="14339" width="10" style="86" customWidth="1"/>
    <col min="14340" max="14341" width="12.140625" style="86" customWidth="1"/>
    <col min="14342" max="14342" width="16.85546875" style="86" customWidth="1"/>
    <col min="14343" max="14343" width="12.140625" style="86" customWidth="1"/>
    <col min="14344" max="14592" width="9.140625" style="86"/>
    <col min="14593" max="14593" width="5.7109375" style="86" customWidth="1"/>
    <col min="14594" max="14594" width="35.7109375" style="86" customWidth="1"/>
    <col min="14595" max="14595" width="10" style="86" customWidth="1"/>
    <col min="14596" max="14597" width="12.140625" style="86" customWidth="1"/>
    <col min="14598" max="14598" width="16.85546875" style="86" customWidth="1"/>
    <col min="14599" max="14599" width="12.140625" style="86" customWidth="1"/>
    <col min="14600" max="14848" width="9.140625" style="86"/>
    <col min="14849" max="14849" width="5.7109375" style="86" customWidth="1"/>
    <col min="14850" max="14850" width="35.7109375" style="86" customWidth="1"/>
    <col min="14851" max="14851" width="10" style="86" customWidth="1"/>
    <col min="14852" max="14853" width="12.140625" style="86" customWidth="1"/>
    <col min="14854" max="14854" width="16.85546875" style="86" customWidth="1"/>
    <col min="14855" max="14855" width="12.140625" style="86" customWidth="1"/>
    <col min="14856" max="15104" width="9.140625" style="86"/>
    <col min="15105" max="15105" width="5.7109375" style="86" customWidth="1"/>
    <col min="15106" max="15106" width="35.7109375" style="86" customWidth="1"/>
    <col min="15107" max="15107" width="10" style="86" customWidth="1"/>
    <col min="15108" max="15109" width="12.140625" style="86" customWidth="1"/>
    <col min="15110" max="15110" width="16.85546875" style="86" customWidth="1"/>
    <col min="15111" max="15111" width="12.140625" style="86" customWidth="1"/>
    <col min="15112" max="15360" width="9.140625" style="86"/>
    <col min="15361" max="15361" width="5.7109375" style="86" customWidth="1"/>
    <col min="15362" max="15362" width="35.7109375" style="86" customWidth="1"/>
    <col min="15363" max="15363" width="10" style="86" customWidth="1"/>
    <col min="15364" max="15365" width="12.140625" style="86" customWidth="1"/>
    <col min="15366" max="15366" width="16.85546875" style="86" customWidth="1"/>
    <col min="15367" max="15367" width="12.140625" style="86" customWidth="1"/>
    <col min="15368" max="15616" width="9.140625" style="86"/>
    <col min="15617" max="15617" width="5.7109375" style="86" customWidth="1"/>
    <col min="15618" max="15618" width="35.7109375" style="86" customWidth="1"/>
    <col min="15619" max="15619" width="10" style="86" customWidth="1"/>
    <col min="15620" max="15621" width="12.140625" style="86" customWidth="1"/>
    <col min="15622" max="15622" width="16.85546875" style="86" customWidth="1"/>
    <col min="15623" max="15623" width="12.140625" style="86" customWidth="1"/>
    <col min="15624" max="15872" width="9.140625" style="86"/>
    <col min="15873" max="15873" width="5.7109375" style="86" customWidth="1"/>
    <col min="15874" max="15874" width="35.7109375" style="86" customWidth="1"/>
    <col min="15875" max="15875" width="10" style="86" customWidth="1"/>
    <col min="15876" max="15877" width="12.140625" style="86" customWidth="1"/>
    <col min="15878" max="15878" width="16.85546875" style="86" customWidth="1"/>
    <col min="15879" max="15879" width="12.140625" style="86" customWidth="1"/>
    <col min="15880" max="16128" width="9.140625" style="86"/>
    <col min="16129" max="16129" width="5.7109375" style="86" customWidth="1"/>
    <col min="16130" max="16130" width="35.7109375" style="86" customWidth="1"/>
    <col min="16131" max="16131" width="10" style="86" customWidth="1"/>
    <col min="16132" max="16133" width="12.140625" style="86" customWidth="1"/>
    <col min="16134" max="16134" width="16.85546875" style="86" customWidth="1"/>
    <col min="16135" max="16135" width="12.140625" style="86" customWidth="1"/>
    <col min="16136" max="16384" width="9.140625" style="86"/>
  </cols>
  <sheetData>
    <row r="1" spans="1:7" ht="36.75" customHeight="1">
      <c r="A1" s="84"/>
      <c r="B1" s="84"/>
      <c r="C1" s="85"/>
      <c r="D1" s="282" t="s">
        <v>108</v>
      </c>
      <c r="E1" s="282"/>
      <c r="F1" s="282"/>
      <c r="G1" s="282"/>
    </row>
    <row r="2" spans="1:7" ht="27.75" customHeight="1">
      <c r="A2" s="283" t="s">
        <v>109</v>
      </c>
      <c r="B2" s="283"/>
      <c r="C2" s="283"/>
      <c r="D2" s="283"/>
      <c r="E2" s="283"/>
      <c r="F2" s="283"/>
      <c r="G2" s="283"/>
    </row>
    <row r="3" spans="1:7" ht="11.25" customHeight="1">
      <c r="A3" s="84"/>
      <c r="B3" s="84"/>
      <c r="C3" s="84"/>
      <c r="D3" s="84"/>
      <c r="E3" s="84"/>
      <c r="F3" s="84"/>
      <c r="G3" s="84"/>
    </row>
    <row r="4" spans="1:7" ht="24.75" customHeight="1">
      <c r="A4" s="284" t="s">
        <v>110</v>
      </c>
      <c r="B4" s="284"/>
      <c r="C4" s="284"/>
      <c r="D4" s="284"/>
      <c r="E4" s="284"/>
      <c r="F4" s="284"/>
      <c r="G4" s="284"/>
    </row>
    <row r="5" spans="1:7" ht="18.75" customHeight="1">
      <c r="A5" s="293" t="s">
        <v>111</v>
      </c>
      <c r="B5" s="293"/>
      <c r="C5" s="293"/>
      <c r="D5" s="293"/>
      <c r="E5" s="293"/>
      <c r="F5" s="293"/>
      <c r="G5" s="293"/>
    </row>
    <row r="6" spans="1:7" ht="15.75" customHeight="1">
      <c r="A6" s="87" t="s">
        <v>112</v>
      </c>
      <c r="B6" s="88" t="s">
        <v>113</v>
      </c>
      <c r="C6" s="297" t="s">
        <v>114</v>
      </c>
      <c r="D6" s="297"/>
      <c r="E6" s="297"/>
      <c r="F6" s="297"/>
      <c r="G6" s="297"/>
    </row>
    <row r="7" spans="1:7" ht="15.75" customHeight="1">
      <c r="A7" s="84"/>
      <c r="B7" s="90" t="s">
        <v>115</v>
      </c>
      <c r="C7" s="296" t="s">
        <v>116</v>
      </c>
      <c r="D7" s="296"/>
      <c r="E7" s="296"/>
      <c r="F7" s="296"/>
      <c r="G7" s="296"/>
    </row>
    <row r="8" spans="1:7" ht="15.75" customHeight="1">
      <c r="A8" s="92" t="s">
        <v>117</v>
      </c>
      <c r="B8" s="88" t="s">
        <v>3</v>
      </c>
      <c r="C8" s="297" t="s">
        <v>118</v>
      </c>
      <c r="D8" s="297"/>
      <c r="E8" s="297"/>
      <c r="F8" s="297"/>
      <c r="G8" s="297"/>
    </row>
    <row r="9" spans="1:7" ht="15.75" customHeight="1">
      <c r="A9" s="84"/>
      <c r="B9" s="90" t="s">
        <v>5</v>
      </c>
      <c r="C9" s="296" t="s">
        <v>6</v>
      </c>
      <c r="D9" s="296"/>
      <c r="E9" s="296"/>
      <c r="F9" s="296"/>
      <c r="G9" s="296"/>
    </row>
    <row r="10" spans="1:7" ht="15.75" customHeight="1">
      <c r="A10" s="92" t="s">
        <v>93</v>
      </c>
      <c r="B10" s="88" t="s">
        <v>7</v>
      </c>
      <c r="C10" s="297" t="s">
        <v>119</v>
      </c>
      <c r="D10" s="297"/>
      <c r="E10" s="297"/>
      <c r="F10" s="297"/>
      <c r="G10" s="297"/>
    </row>
    <row r="11" spans="1:7" ht="15.75" customHeight="1">
      <c r="A11" s="93"/>
      <c r="B11" s="90" t="s">
        <v>120</v>
      </c>
      <c r="C11" s="296" t="s">
        <v>121</v>
      </c>
      <c r="D11" s="296"/>
      <c r="E11" s="296"/>
      <c r="F11" s="296"/>
      <c r="G11" s="296"/>
    </row>
    <row r="12" spans="1:7" ht="15.75" customHeight="1">
      <c r="A12" s="92" t="s">
        <v>99</v>
      </c>
      <c r="B12" s="88" t="s">
        <v>15</v>
      </c>
      <c r="C12" s="298">
        <v>44322</v>
      </c>
      <c r="D12" s="297"/>
      <c r="E12" s="297"/>
      <c r="F12" s="297"/>
      <c r="G12" s="297"/>
    </row>
    <row r="13" spans="1:7" ht="15.75" customHeight="1">
      <c r="A13" s="84"/>
      <c r="B13" s="90" t="s">
        <v>16</v>
      </c>
      <c r="C13" s="299">
        <v>44322</v>
      </c>
      <c r="D13" s="296"/>
      <c r="E13" s="296"/>
      <c r="F13" s="296"/>
      <c r="G13" s="296"/>
    </row>
    <row r="14" spans="1:7" ht="7.5" customHeight="1">
      <c r="A14" s="84"/>
      <c r="B14" s="84"/>
      <c r="C14" s="94"/>
      <c r="D14" s="84"/>
      <c r="E14" s="84"/>
      <c r="F14" s="84"/>
      <c r="G14" s="84"/>
    </row>
    <row r="15" spans="1:7" ht="15" customHeight="1">
      <c r="A15" s="300" t="s">
        <v>124</v>
      </c>
      <c r="B15" s="300"/>
      <c r="C15" s="300"/>
      <c r="D15" s="300"/>
      <c r="E15" s="300"/>
      <c r="F15" s="300"/>
      <c r="G15" s="300"/>
    </row>
    <row r="16" spans="1:7" ht="15.75" customHeight="1">
      <c r="A16" s="297" t="s">
        <v>125</v>
      </c>
      <c r="B16" s="297"/>
      <c r="C16" s="297"/>
      <c r="D16" s="297"/>
      <c r="E16" s="297"/>
      <c r="F16" s="297"/>
      <c r="G16" s="297"/>
    </row>
    <row r="17" spans="1:7" ht="15.75" customHeight="1">
      <c r="A17" s="95"/>
      <c r="B17" s="95"/>
      <c r="C17" s="96"/>
      <c r="D17" s="95"/>
      <c r="E17" s="95"/>
      <c r="F17" s="290" t="s">
        <v>126</v>
      </c>
      <c r="G17" s="290"/>
    </row>
    <row r="18" spans="1:7" ht="70.5" customHeight="1">
      <c r="A18" s="97" t="s">
        <v>68</v>
      </c>
      <c r="B18" s="98" t="s">
        <v>127</v>
      </c>
      <c r="C18" s="98" t="s">
        <v>70</v>
      </c>
      <c r="D18" s="98" t="s">
        <v>128</v>
      </c>
      <c r="E18" s="98" t="s">
        <v>129</v>
      </c>
      <c r="F18" s="98" t="s">
        <v>130</v>
      </c>
      <c r="G18" s="99" t="s">
        <v>131</v>
      </c>
    </row>
    <row r="19" spans="1:7" ht="22.5" customHeight="1">
      <c r="A19" s="100" t="s">
        <v>83</v>
      </c>
      <c r="B19" s="101" t="s">
        <v>132</v>
      </c>
      <c r="C19" s="224"/>
      <c r="D19" s="103">
        <v>0</v>
      </c>
      <c r="E19" s="104">
        <v>0</v>
      </c>
      <c r="F19" s="104">
        <v>0</v>
      </c>
      <c r="G19" s="105">
        <v>0</v>
      </c>
    </row>
    <row r="20" spans="1:7" ht="42">
      <c r="A20" s="100" t="s">
        <v>88</v>
      </c>
      <c r="B20" s="101" t="s">
        <v>133</v>
      </c>
      <c r="C20" s="224" t="s">
        <v>134</v>
      </c>
      <c r="D20" s="103">
        <v>0</v>
      </c>
      <c r="E20" s="104">
        <v>0</v>
      </c>
      <c r="F20" s="104">
        <v>0</v>
      </c>
      <c r="G20" s="105">
        <v>0</v>
      </c>
    </row>
    <row r="21" spans="1:7" ht="13.5" customHeight="1">
      <c r="A21" s="100" t="s">
        <v>112</v>
      </c>
      <c r="B21" s="101" t="s">
        <v>135</v>
      </c>
      <c r="C21" s="224" t="s">
        <v>136</v>
      </c>
      <c r="D21" s="103">
        <v>1700000</v>
      </c>
      <c r="E21" s="104">
        <v>34650</v>
      </c>
      <c r="F21" s="104">
        <v>58905000000</v>
      </c>
      <c r="G21" s="105">
        <v>5.1000000000000004E-3</v>
      </c>
    </row>
    <row r="22" spans="1:7" ht="13.5" customHeight="1">
      <c r="A22" s="100" t="s">
        <v>117</v>
      </c>
      <c r="B22" s="101" t="s">
        <v>137</v>
      </c>
      <c r="C22" s="224" t="s">
        <v>138</v>
      </c>
      <c r="D22" s="103">
        <v>2229260</v>
      </c>
      <c r="E22" s="104">
        <v>64200</v>
      </c>
      <c r="F22" s="104">
        <v>143118492000</v>
      </c>
      <c r="G22" s="105">
        <v>1.2500000000000001E-2</v>
      </c>
    </row>
    <row r="23" spans="1:7" ht="13.5" customHeight="1">
      <c r="A23" s="100" t="s">
        <v>93</v>
      </c>
      <c r="B23" s="101" t="s">
        <v>139</v>
      </c>
      <c r="C23" s="224" t="s">
        <v>140</v>
      </c>
      <c r="D23" s="103">
        <v>9116350</v>
      </c>
      <c r="E23" s="104">
        <v>40800</v>
      </c>
      <c r="F23" s="104">
        <v>371947080000</v>
      </c>
      <c r="G23" s="105">
        <v>3.2399999999999998E-2</v>
      </c>
    </row>
    <row r="24" spans="1:7" ht="13.5" customHeight="1">
      <c r="A24" s="100" t="s">
        <v>99</v>
      </c>
      <c r="B24" s="101" t="s">
        <v>141</v>
      </c>
      <c r="C24" s="224" t="s">
        <v>142</v>
      </c>
      <c r="D24" s="103">
        <v>1260000</v>
      </c>
      <c r="E24" s="104">
        <v>27450</v>
      </c>
      <c r="F24" s="104">
        <v>34587000000</v>
      </c>
      <c r="G24" s="105">
        <v>3.0000000000000001E-3</v>
      </c>
    </row>
    <row r="25" spans="1:7" ht="13.5" customHeight="1">
      <c r="A25" s="100" t="s">
        <v>143</v>
      </c>
      <c r="B25" s="101" t="s">
        <v>144</v>
      </c>
      <c r="C25" s="224" t="s">
        <v>145</v>
      </c>
      <c r="D25" s="103">
        <v>21212328</v>
      </c>
      <c r="E25" s="104">
        <v>80900</v>
      </c>
      <c r="F25" s="104">
        <v>1716077335200</v>
      </c>
      <c r="G25" s="105">
        <v>0.1497</v>
      </c>
    </row>
    <row r="26" spans="1:7" ht="13.5" customHeight="1">
      <c r="A26" s="100" t="s">
        <v>146</v>
      </c>
      <c r="B26" s="101" t="s">
        <v>147</v>
      </c>
      <c r="C26" s="224" t="s">
        <v>148</v>
      </c>
      <c r="D26" s="103">
        <v>14534450</v>
      </c>
      <c r="E26" s="104">
        <v>34200</v>
      </c>
      <c r="F26" s="104">
        <v>497078190000</v>
      </c>
      <c r="G26" s="105">
        <v>4.3400000000000001E-2</v>
      </c>
    </row>
    <row r="27" spans="1:7" ht="13.5" customHeight="1">
      <c r="A27" s="100" t="s">
        <v>149</v>
      </c>
      <c r="B27" s="101" t="s">
        <v>150</v>
      </c>
      <c r="C27" s="224" t="s">
        <v>151</v>
      </c>
      <c r="D27" s="103">
        <v>23</v>
      </c>
      <c r="E27" s="104">
        <v>35150</v>
      </c>
      <c r="F27" s="104">
        <v>808450</v>
      </c>
      <c r="G27" s="188">
        <v>0</v>
      </c>
    </row>
    <row r="28" spans="1:7" ht="13.5" customHeight="1">
      <c r="A28" s="100" t="s">
        <v>152</v>
      </c>
      <c r="B28" s="101" t="s">
        <v>153</v>
      </c>
      <c r="C28" s="224" t="s">
        <v>154</v>
      </c>
      <c r="D28" s="103">
        <v>1900000</v>
      </c>
      <c r="E28" s="104">
        <v>21500</v>
      </c>
      <c r="F28" s="104">
        <v>40850000000</v>
      </c>
      <c r="G28" s="105">
        <v>3.5999999999999999E-3</v>
      </c>
    </row>
    <row r="29" spans="1:7" ht="13.5" customHeight="1">
      <c r="A29" s="100" t="s">
        <v>155</v>
      </c>
      <c r="B29" s="101" t="s">
        <v>156</v>
      </c>
      <c r="C29" s="224" t="s">
        <v>157</v>
      </c>
      <c r="D29" s="103">
        <v>20556096</v>
      </c>
      <c r="E29" s="104">
        <v>30350</v>
      </c>
      <c r="F29" s="104">
        <v>623877513600</v>
      </c>
      <c r="G29" s="105">
        <v>5.4399999999999997E-2</v>
      </c>
    </row>
    <row r="30" spans="1:7" ht="13.5" customHeight="1">
      <c r="A30" s="100" t="s">
        <v>158</v>
      </c>
      <c r="B30" s="101" t="s">
        <v>159</v>
      </c>
      <c r="C30" s="224" t="s">
        <v>160</v>
      </c>
      <c r="D30" s="103">
        <v>1160000</v>
      </c>
      <c r="E30" s="104">
        <v>21700</v>
      </c>
      <c r="F30" s="104">
        <v>25172000000</v>
      </c>
      <c r="G30" s="105">
        <v>2.2000000000000001E-3</v>
      </c>
    </row>
    <row r="31" spans="1:7" ht="13.5" customHeight="1">
      <c r="A31" s="100" t="s">
        <v>161</v>
      </c>
      <c r="B31" s="101" t="s">
        <v>162</v>
      </c>
      <c r="C31" s="224" t="s">
        <v>163</v>
      </c>
      <c r="D31" s="103">
        <v>11693024</v>
      </c>
      <c r="E31" s="104">
        <v>140900</v>
      </c>
      <c r="F31" s="104">
        <v>1647547081600</v>
      </c>
      <c r="G31" s="105">
        <v>0.14369999999999999</v>
      </c>
    </row>
    <row r="32" spans="1:7" ht="13.5" customHeight="1">
      <c r="A32" s="100" t="s">
        <v>164</v>
      </c>
      <c r="B32" s="101" t="s">
        <v>165</v>
      </c>
      <c r="C32" s="224" t="s">
        <v>166</v>
      </c>
      <c r="D32" s="103">
        <v>11740262</v>
      </c>
      <c r="E32" s="104">
        <v>36300</v>
      </c>
      <c r="F32" s="104">
        <v>426171510600</v>
      </c>
      <c r="G32" s="105">
        <v>3.7199999999999997E-2</v>
      </c>
    </row>
    <row r="33" spans="1:7" ht="13.5" customHeight="1">
      <c r="A33" s="100" t="s">
        <v>167</v>
      </c>
      <c r="B33" s="101" t="s">
        <v>168</v>
      </c>
      <c r="C33" s="224" t="s">
        <v>169</v>
      </c>
      <c r="D33" s="103">
        <v>11048561</v>
      </c>
      <c r="E33" s="104">
        <v>98000</v>
      </c>
      <c r="F33" s="104">
        <v>1082758978000</v>
      </c>
      <c r="G33" s="105">
        <v>9.4500000000000001E-2</v>
      </c>
    </row>
    <row r="34" spans="1:7" ht="13.5" customHeight="1">
      <c r="A34" s="100" t="s">
        <v>170</v>
      </c>
      <c r="B34" s="101" t="s">
        <v>171</v>
      </c>
      <c r="C34" s="224" t="s">
        <v>172</v>
      </c>
      <c r="D34" s="103">
        <v>8779411</v>
      </c>
      <c r="E34" s="104">
        <v>53600</v>
      </c>
      <c r="F34" s="104">
        <v>470576429600</v>
      </c>
      <c r="G34" s="105">
        <v>4.1099999999999998E-2</v>
      </c>
    </row>
    <row r="35" spans="1:7" ht="13.5" customHeight="1">
      <c r="A35" s="100" t="s">
        <v>173</v>
      </c>
      <c r="B35" s="101" t="s">
        <v>174</v>
      </c>
      <c r="C35" s="224" t="s">
        <v>175</v>
      </c>
      <c r="D35" s="103">
        <v>24950750</v>
      </c>
      <c r="E35" s="104">
        <v>41000</v>
      </c>
      <c r="F35" s="104">
        <v>1022980750000</v>
      </c>
      <c r="G35" s="105">
        <v>8.9200000000000002E-2</v>
      </c>
    </row>
    <row r="36" spans="1:7" ht="13.5" customHeight="1">
      <c r="A36" s="100" t="s">
        <v>176</v>
      </c>
      <c r="B36" s="101" t="s">
        <v>177</v>
      </c>
      <c r="C36" s="224" t="s">
        <v>178</v>
      </c>
      <c r="D36" s="103">
        <v>203200</v>
      </c>
      <c r="E36" s="104">
        <v>110000</v>
      </c>
      <c r="F36" s="104">
        <v>22352000000</v>
      </c>
      <c r="G36" s="105">
        <v>1.9E-3</v>
      </c>
    </row>
    <row r="37" spans="1:7" ht="13.5" customHeight="1">
      <c r="A37" s="100" t="s">
        <v>179</v>
      </c>
      <c r="B37" s="101" t="s">
        <v>180</v>
      </c>
      <c r="C37" s="224" t="s">
        <v>181</v>
      </c>
      <c r="D37" s="103">
        <v>7577541</v>
      </c>
      <c r="E37" s="104">
        <v>27400</v>
      </c>
      <c r="F37" s="104">
        <v>207624623400</v>
      </c>
      <c r="G37" s="105">
        <v>1.8100000000000002E-2</v>
      </c>
    </row>
    <row r="38" spans="1:7" ht="13.5" customHeight="1">
      <c r="A38" s="100" t="s">
        <v>182</v>
      </c>
      <c r="B38" s="101" t="s">
        <v>183</v>
      </c>
      <c r="C38" s="224" t="s">
        <v>184</v>
      </c>
      <c r="D38" s="103">
        <v>2060200</v>
      </c>
      <c r="E38" s="104">
        <v>55600</v>
      </c>
      <c r="F38" s="104">
        <v>114547120000</v>
      </c>
      <c r="G38" s="105">
        <v>0.01</v>
      </c>
    </row>
    <row r="39" spans="1:7" ht="13.5" customHeight="1">
      <c r="A39" s="100" t="s">
        <v>185</v>
      </c>
      <c r="B39" s="101" t="s">
        <v>186</v>
      </c>
      <c r="C39" s="224" t="s">
        <v>187</v>
      </c>
      <c r="D39" s="103">
        <v>19532150</v>
      </c>
      <c r="E39" s="104">
        <v>58500</v>
      </c>
      <c r="F39" s="104">
        <v>1142630775000</v>
      </c>
      <c r="G39" s="105">
        <v>9.9699999999999997E-2</v>
      </c>
    </row>
    <row r="40" spans="1:7" ht="22.5" customHeight="1">
      <c r="A40" s="100"/>
      <c r="B40" s="216" t="s">
        <v>191</v>
      </c>
      <c r="C40" s="224" t="s">
        <v>188</v>
      </c>
      <c r="D40" s="103"/>
      <c r="E40" s="104">
        <v>0</v>
      </c>
      <c r="F40" s="104">
        <v>9648802687450</v>
      </c>
      <c r="G40" s="105">
        <v>0.84179999999999999</v>
      </c>
    </row>
    <row r="41" spans="1:7" ht="42">
      <c r="A41" s="100" t="s">
        <v>96</v>
      </c>
      <c r="B41" s="101" t="s">
        <v>189</v>
      </c>
      <c r="C41" s="224" t="s">
        <v>190</v>
      </c>
      <c r="D41" s="103">
        <v>0</v>
      </c>
      <c r="E41" s="104">
        <v>0</v>
      </c>
      <c r="F41" s="104">
        <v>0</v>
      </c>
      <c r="G41" s="105">
        <v>0</v>
      </c>
    </row>
    <row r="42" spans="1:7" ht="22.5" customHeight="1">
      <c r="A42" s="100"/>
      <c r="B42" s="101" t="s">
        <v>191</v>
      </c>
      <c r="C42" s="224" t="s">
        <v>192</v>
      </c>
      <c r="D42" s="103">
        <v>0</v>
      </c>
      <c r="E42" s="104">
        <v>0</v>
      </c>
      <c r="F42" s="104">
        <v>0</v>
      </c>
      <c r="G42" s="105">
        <v>0</v>
      </c>
    </row>
    <row r="43" spans="1:7" ht="22.5" customHeight="1">
      <c r="A43" s="100"/>
      <c r="B43" s="101" t="s">
        <v>193</v>
      </c>
      <c r="C43" s="224" t="s">
        <v>194</v>
      </c>
      <c r="D43" s="103"/>
      <c r="E43" s="104">
        <v>0</v>
      </c>
      <c r="F43" s="104">
        <v>9648802687450</v>
      </c>
      <c r="G43" s="105">
        <v>0.84179999999999999</v>
      </c>
    </row>
    <row r="44" spans="1:7" ht="22.5" customHeight="1">
      <c r="A44" s="100" t="s">
        <v>66</v>
      </c>
      <c r="B44" s="101" t="s">
        <v>195</v>
      </c>
      <c r="C44" s="224" t="s">
        <v>196</v>
      </c>
      <c r="D44" s="103">
        <v>0</v>
      </c>
      <c r="E44" s="104">
        <v>0</v>
      </c>
      <c r="F44" s="104">
        <v>0</v>
      </c>
      <c r="G44" s="105">
        <v>0</v>
      </c>
    </row>
    <row r="45" spans="1:7" ht="22.5" customHeight="1">
      <c r="A45" s="100"/>
      <c r="B45" s="216" t="s">
        <v>191</v>
      </c>
      <c r="C45" s="224" t="s">
        <v>197</v>
      </c>
      <c r="D45" s="103">
        <v>0</v>
      </c>
      <c r="E45" s="104">
        <v>0</v>
      </c>
      <c r="F45" s="104">
        <v>0</v>
      </c>
      <c r="G45" s="105">
        <v>0</v>
      </c>
    </row>
    <row r="46" spans="1:7" ht="22.5" customHeight="1">
      <c r="A46" s="100" t="s">
        <v>198</v>
      </c>
      <c r="B46" s="101" t="s">
        <v>199</v>
      </c>
      <c r="C46" s="224" t="s">
        <v>200</v>
      </c>
      <c r="D46" s="103">
        <v>0</v>
      </c>
      <c r="E46" s="104">
        <v>0</v>
      </c>
      <c r="F46" s="104">
        <v>0</v>
      </c>
      <c r="G46" s="105">
        <v>0</v>
      </c>
    </row>
    <row r="47" spans="1:7" ht="22.5" customHeight="1">
      <c r="A47" s="100" t="s">
        <v>112</v>
      </c>
      <c r="B47" s="101" t="s">
        <v>201</v>
      </c>
      <c r="C47" s="224" t="s">
        <v>202</v>
      </c>
      <c r="D47" s="103">
        <v>0</v>
      </c>
      <c r="E47" s="104">
        <v>0</v>
      </c>
      <c r="F47" s="104">
        <v>0</v>
      </c>
      <c r="G47" s="105">
        <v>0</v>
      </c>
    </row>
    <row r="48" spans="1:7" ht="22.5" customHeight="1">
      <c r="A48" s="100" t="s">
        <v>117</v>
      </c>
      <c r="B48" s="101" t="s">
        <v>203</v>
      </c>
      <c r="C48" s="224" t="s">
        <v>204</v>
      </c>
      <c r="D48" s="103">
        <v>0</v>
      </c>
      <c r="E48" s="104">
        <v>0</v>
      </c>
      <c r="F48" s="104">
        <v>0</v>
      </c>
      <c r="G48" s="105">
        <v>0</v>
      </c>
    </row>
    <row r="49" spans="1:7" ht="22.5" customHeight="1">
      <c r="A49" s="100"/>
      <c r="B49" s="101" t="s">
        <v>191</v>
      </c>
      <c r="C49" s="224" t="s">
        <v>205</v>
      </c>
      <c r="D49" s="103">
        <v>0</v>
      </c>
      <c r="E49" s="104">
        <v>0</v>
      </c>
      <c r="F49" s="104">
        <v>0</v>
      </c>
      <c r="G49" s="105">
        <v>0</v>
      </c>
    </row>
    <row r="50" spans="1:7" ht="22.5" customHeight="1">
      <c r="A50" s="100"/>
      <c r="B50" s="101" t="s">
        <v>206</v>
      </c>
      <c r="C50" s="224" t="s">
        <v>207</v>
      </c>
      <c r="D50" s="103"/>
      <c r="E50" s="104">
        <v>0</v>
      </c>
      <c r="F50" s="104">
        <v>9648802687450</v>
      </c>
      <c r="G50" s="105">
        <v>0.84179999999999999</v>
      </c>
    </row>
    <row r="51" spans="1:7" ht="22.5" customHeight="1">
      <c r="A51" s="100" t="s">
        <v>208</v>
      </c>
      <c r="B51" s="101" t="s">
        <v>209</v>
      </c>
      <c r="C51" s="224" t="s">
        <v>210</v>
      </c>
      <c r="D51" s="103">
        <v>0</v>
      </c>
      <c r="E51" s="104">
        <v>0</v>
      </c>
      <c r="F51" s="104">
        <v>0</v>
      </c>
      <c r="G51" s="105">
        <v>0</v>
      </c>
    </row>
    <row r="52" spans="1:7" ht="22.5" customHeight="1">
      <c r="A52" s="100" t="s">
        <v>112</v>
      </c>
      <c r="B52" s="101" t="s">
        <v>211</v>
      </c>
      <c r="C52" s="224" t="s">
        <v>212</v>
      </c>
      <c r="D52" s="103">
        <v>0</v>
      </c>
      <c r="E52" s="104">
        <v>0</v>
      </c>
      <c r="F52" s="104">
        <v>0</v>
      </c>
      <c r="G52" s="105">
        <v>0</v>
      </c>
    </row>
    <row r="53" spans="1:7" ht="22.5" customHeight="1">
      <c r="A53" s="100" t="s">
        <v>117</v>
      </c>
      <c r="B53" s="101" t="s">
        <v>213</v>
      </c>
      <c r="C53" s="224" t="s">
        <v>214</v>
      </c>
      <c r="D53" s="103">
        <v>0</v>
      </c>
      <c r="E53" s="104">
        <v>0</v>
      </c>
      <c r="F53" s="104">
        <v>0</v>
      </c>
      <c r="G53" s="105">
        <v>0</v>
      </c>
    </row>
    <row r="54" spans="1:7" ht="22.5" customHeight="1">
      <c r="A54" s="100" t="s">
        <v>93</v>
      </c>
      <c r="B54" s="101" t="s">
        <v>215</v>
      </c>
      <c r="C54" s="224" t="s">
        <v>216</v>
      </c>
      <c r="D54" s="103">
        <v>0</v>
      </c>
      <c r="E54" s="104">
        <v>0</v>
      </c>
      <c r="F54" s="104">
        <v>0</v>
      </c>
      <c r="G54" s="105">
        <v>0</v>
      </c>
    </row>
    <row r="55" spans="1:7" ht="33" customHeight="1">
      <c r="A55" s="100" t="s">
        <v>99</v>
      </c>
      <c r="B55" s="101" t="s">
        <v>217</v>
      </c>
      <c r="C55" s="224" t="s">
        <v>218</v>
      </c>
      <c r="D55" s="103">
        <v>0</v>
      </c>
      <c r="E55" s="104">
        <v>0</v>
      </c>
      <c r="F55" s="104">
        <v>1299023770000</v>
      </c>
      <c r="G55" s="105">
        <v>0.1133</v>
      </c>
    </row>
    <row r="56" spans="1:7" ht="22.5" customHeight="1">
      <c r="A56" s="100" t="s">
        <v>143</v>
      </c>
      <c r="B56" s="101" t="s">
        <v>219</v>
      </c>
      <c r="C56" s="224" t="s">
        <v>220</v>
      </c>
      <c r="D56" s="103">
        <v>0</v>
      </c>
      <c r="E56" s="104">
        <v>0</v>
      </c>
      <c r="F56" s="104">
        <v>0</v>
      </c>
      <c r="G56" s="105">
        <v>0</v>
      </c>
    </row>
    <row r="57" spans="1:7" ht="22.5" customHeight="1">
      <c r="A57" s="100" t="s">
        <v>146</v>
      </c>
      <c r="B57" s="101" t="s">
        <v>221</v>
      </c>
      <c r="C57" s="224" t="s">
        <v>222</v>
      </c>
      <c r="D57" s="103">
        <v>0</v>
      </c>
      <c r="E57" s="104">
        <v>0</v>
      </c>
      <c r="F57" s="104">
        <v>0</v>
      </c>
      <c r="G57" s="105">
        <v>0</v>
      </c>
    </row>
    <row r="58" spans="1:7" ht="22.5" customHeight="1">
      <c r="A58" s="100" t="s">
        <v>149</v>
      </c>
      <c r="B58" s="101" t="s">
        <v>223</v>
      </c>
      <c r="C58" s="224" t="s">
        <v>224</v>
      </c>
      <c r="D58" s="103">
        <v>0</v>
      </c>
      <c r="E58" s="104">
        <v>0</v>
      </c>
      <c r="F58" s="104">
        <v>0</v>
      </c>
      <c r="G58" s="105">
        <v>0</v>
      </c>
    </row>
    <row r="59" spans="1:7" ht="22.5" customHeight="1">
      <c r="A59" s="100" t="s">
        <v>152</v>
      </c>
      <c r="B59" s="101" t="s">
        <v>225</v>
      </c>
      <c r="C59" s="224" t="s">
        <v>226</v>
      </c>
      <c r="D59" s="103">
        <v>0</v>
      </c>
      <c r="E59" s="104">
        <v>0</v>
      </c>
      <c r="F59" s="104">
        <v>0</v>
      </c>
      <c r="G59" s="105">
        <v>0</v>
      </c>
    </row>
    <row r="60" spans="1:7" ht="22.5" customHeight="1">
      <c r="A60" s="100" t="s">
        <v>155</v>
      </c>
      <c r="B60" s="101" t="s">
        <v>227</v>
      </c>
      <c r="C60" s="224" t="s">
        <v>228</v>
      </c>
      <c r="D60" s="103">
        <v>0</v>
      </c>
      <c r="E60" s="104">
        <v>0</v>
      </c>
      <c r="F60" s="104">
        <v>0</v>
      </c>
      <c r="G60" s="105">
        <v>0</v>
      </c>
    </row>
    <row r="61" spans="1:7" ht="33.75" customHeight="1">
      <c r="A61" s="100" t="s">
        <v>158</v>
      </c>
      <c r="B61" s="101" t="s">
        <v>229</v>
      </c>
      <c r="C61" s="224" t="s">
        <v>230</v>
      </c>
      <c r="D61" s="103">
        <v>0</v>
      </c>
      <c r="E61" s="104">
        <v>0</v>
      </c>
      <c r="F61" s="104">
        <v>0</v>
      </c>
      <c r="G61" s="105">
        <v>0</v>
      </c>
    </row>
    <row r="62" spans="1:7" ht="22.5" customHeight="1">
      <c r="A62" s="100"/>
      <c r="B62" s="101" t="s">
        <v>191</v>
      </c>
      <c r="C62" s="224" t="s">
        <v>231</v>
      </c>
      <c r="D62" s="103">
        <v>0</v>
      </c>
      <c r="E62" s="104">
        <v>0</v>
      </c>
      <c r="F62" s="104">
        <v>1299023770000</v>
      </c>
      <c r="G62" s="105">
        <v>0.1133</v>
      </c>
    </row>
    <row r="63" spans="1:7" ht="22.5" customHeight="1">
      <c r="A63" s="100" t="s">
        <v>232</v>
      </c>
      <c r="B63" s="101" t="s">
        <v>233</v>
      </c>
      <c r="C63" s="224" t="s">
        <v>234</v>
      </c>
      <c r="D63" s="103">
        <v>0</v>
      </c>
      <c r="E63" s="104">
        <v>0</v>
      </c>
      <c r="F63" s="104">
        <v>0</v>
      </c>
      <c r="G63" s="105">
        <v>0</v>
      </c>
    </row>
    <row r="64" spans="1:7" ht="22.5" customHeight="1">
      <c r="A64" s="100" t="s">
        <v>112</v>
      </c>
      <c r="B64" s="101" t="s">
        <v>235</v>
      </c>
      <c r="C64" s="224" t="s">
        <v>236</v>
      </c>
      <c r="D64" s="103">
        <v>0</v>
      </c>
      <c r="E64" s="104">
        <v>0</v>
      </c>
      <c r="F64" s="104">
        <v>514787694269</v>
      </c>
      <c r="G64" s="105">
        <v>4.4900000000000002E-2</v>
      </c>
    </row>
    <row r="65" spans="1:7" ht="22.5" customHeight="1">
      <c r="A65" s="100"/>
      <c r="B65" s="101" t="s">
        <v>237</v>
      </c>
      <c r="C65" s="224" t="s">
        <v>238</v>
      </c>
      <c r="D65" s="103">
        <v>0</v>
      </c>
      <c r="E65" s="104">
        <v>0</v>
      </c>
      <c r="F65" s="104">
        <v>0</v>
      </c>
      <c r="G65" s="105">
        <v>0</v>
      </c>
    </row>
    <row r="66" spans="1:7" ht="22.5" customHeight="1">
      <c r="A66" s="100"/>
      <c r="B66" s="101" t="s">
        <v>239</v>
      </c>
      <c r="C66" s="224" t="s">
        <v>240</v>
      </c>
      <c r="D66" s="103">
        <v>0</v>
      </c>
      <c r="E66" s="104">
        <v>0</v>
      </c>
      <c r="F66" s="104">
        <v>514787694269</v>
      </c>
      <c r="G66" s="105">
        <v>4.4900000000000002E-2</v>
      </c>
    </row>
    <row r="67" spans="1:7" ht="22.5" customHeight="1">
      <c r="A67" s="100"/>
      <c r="B67" s="101" t="s">
        <v>241</v>
      </c>
      <c r="C67" s="224" t="s">
        <v>242</v>
      </c>
      <c r="D67" s="103">
        <v>0</v>
      </c>
      <c r="E67" s="104">
        <v>0</v>
      </c>
      <c r="F67" s="104">
        <v>0</v>
      </c>
      <c r="G67" s="105">
        <v>0</v>
      </c>
    </row>
    <row r="68" spans="1:7" ht="22.5" customHeight="1">
      <c r="A68" s="100" t="s">
        <v>117</v>
      </c>
      <c r="B68" s="101" t="s">
        <v>243</v>
      </c>
      <c r="C68" s="224" t="s">
        <v>244</v>
      </c>
      <c r="D68" s="103">
        <v>0</v>
      </c>
      <c r="E68" s="104">
        <v>0</v>
      </c>
      <c r="F68" s="104">
        <v>0</v>
      </c>
      <c r="G68" s="105">
        <v>0</v>
      </c>
    </row>
    <row r="69" spans="1:7" ht="22.5" customHeight="1">
      <c r="A69" s="100" t="s">
        <v>93</v>
      </c>
      <c r="B69" s="101" t="s">
        <v>245</v>
      </c>
      <c r="C69" s="224" t="s">
        <v>246</v>
      </c>
      <c r="D69" s="103">
        <v>0</v>
      </c>
      <c r="E69" s="104">
        <v>0</v>
      </c>
      <c r="F69" s="104">
        <v>0</v>
      </c>
      <c r="G69" s="105">
        <v>0</v>
      </c>
    </row>
    <row r="70" spans="1:7" ht="22.5" customHeight="1">
      <c r="A70" s="100" t="s">
        <v>99</v>
      </c>
      <c r="B70" s="101" t="s">
        <v>247</v>
      </c>
      <c r="C70" s="224" t="s">
        <v>248</v>
      </c>
      <c r="D70" s="103">
        <v>0</v>
      </c>
      <c r="E70" s="104">
        <v>0</v>
      </c>
      <c r="F70" s="104">
        <v>0</v>
      </c>
      <c r="G70" s="105">
        <v>0</v>
      </c>
    </row>
    <row r="71" spans="1:7" ht="22.5" customHeight="1">
      <c r="A71" s="100"/>
      <c r="B71" s="101" t="s">
        <v>191</v>
      </c>
      <c r="C71" s="224" t="s">
        <v>249</v>
      </c>
      <c r="D71" s="103">
        <v>0</v>
      </c>
      <c r="E71" s="104">
        <v>0</v>
      </c>
      <c r="F71" s="104">
        <v>514787694269</v>
      </c>
      <c r="G71" s="105">
        <v>4.4900000000000002E-2</v>
      </c>
    </row>
    <row r="72" spans="1:7" s="211" customFormat="1" ht="22.5" customHeight="1">
      <c r="A72" s="208" t="s">
        <v>250</v>
      </c>
      <c r="B72" s="209" t="s">
        <v>251</v>
      </c>
      <c r="C72" s="225" t="s">
        <v>252</v>
      </c>
      <c r="D72" s="160"/>
      <c r="E72" s="173">
        <v>0</v>
      </c>
      <c r="F72" s="173">
        <v>11462614151719</v>
      </c>
      <c r="G72" s="210">
        <v>1</v>
      </c>
    </row>
    <row r="73" spans="1:7" ht="11.25" customHeight="1">
      <c r="A73" s="84"/>
      <c r="B73" s="84"/>
      <c r="C73" s="84"/>
      <c r="D73" s="84"/>
      <c r="E73" s="84"/>
      <c r="F73" s="84"/>
      <c r="G73" s="84"/>
    </row>
    <row r="74" spans="1:7" ht="15.75" customHeight="1">
      <c r="A74" s="301" t="s">
        <v>253</v>
      </c>
      <c r="B74" s="301"/>
      <c r="C74" s="84"/>
      <c r="D74" s="84"/>
      <c r="E74" s="84"/>
      <c r="F74" s="84"/>
      <c r="G74" s="84"/>
    </row>
    <row r="75" spans="1:7" ht="24" customHeight="1">
      <c r="A75" s="302" t="s">
        <v>254</v>
      </c>
      <c r="B75" s="302"/>
      <c r="C75" s="302"/>
      <c r="D75" s="302"/>
      <c r="E75" s="302"/>
      <c r="F75" s="302"/>
      <c r="G75" s="302"/>
    </row>
    <row r="76" spans="1:7" ht="9.75" customHeight="1">
      <c r="A76" s="95"/>
      <c r="B76" s="95"/>
      <c r="C76" s="95"/>
      <c r="D76" s="95"/>
      <c r="E76" s="95"/>
      <c r="F76" s="95"/>
      <c r="G76" s="95"/>
    </row>
    <row r="77" spans="1:7" ht="55.5" customHeight="1">
      <c r="A77" s="108" t="s">
        <v>25</v>
      </c>
      <c r="B77" s="109" t="s">
        <v>255</v>
      </c>
      <c r="C77" s="109" t="s">
        <v>256</v>
      </c>
      <c r="D77" s="109" t="s">
        <v>257</v>
      </c>
      <c r="E77" s="109" t="s">
        <v>258</v>
      </c>
      <c r="F77" s="109" t="s">
        <v>259</v>
      </c>
      <c r="G77" s="110" t="s">
        <v>260</v>
      </c>
    </row>
    <row r="78" spans="1:7" ht="8.25" customHeight="1">
      <c r="A78" s="84"/>
      <c r="B78" s="84"/>
      <c r="C78" s="84"/>
      <c r="D78" s="84"/>
      <c r="E78" s="84"/>
      <c r="F78" s="84"/>
      <c r="G78" s="84"/>
    </row>
    <row r="79" spans="1:7" ht="12.75" customHeight="1">
      <c r="A79" s="286" t="s">
        <v>18</v>
      </c>
      <c r="B79" s="286"/>
      <c r="C79" s="286"/>
      <c r="D79" s="286" t="s">
        <v>105</v>
      </c>
      <c r="E79" s="286"/>
      <c r="F79" s="286"/>
      <c r="G79" s="286"/>
    </row>
    <row r="80" spans="1:7" ht="12.75" customHeight="1">
      <c r="A80" s="293" t="s">
        <v>20</v>
      </c>
      <c r="B80" s="293"/>
      <c r="C80" s="293"/>
      <c r="D80" s="293" t="s">
        <v>21</v>
      </c>
      <c r="E80" s="293"/>
      <c r="F80" s="293"/>
      <c r="G80" s="293"/>
    </row>
    <row r="81" spans="1:7" ht="15" customHeight="1">
      <c r="A81" s="84"/>
      <c r="B81" s="84"/>
      <c r="C81" s="84"/>
      <c r="D81" s="84"/>
      <c r="E81" s="84"/>
      <c r="F81" s="84"/>
      <c r="G81" s="84"/>
    </row>
    <row r="82" spans="1:7" ht="15" customHeight="1">
      <c r="A82" s="84"/>
      <c r="B82" s="84"/>
      <c r="C82" s="84"/>
      <c r="D82" s="84"/>
      <c r="E82" s="84"/>
      <c r="F82" s="84"/>
      <c r="G82" s="84"/>
    </row>
    <row r="83" spans="1:7" ht="15.75" customHeight="1">
      <c r="A83" s="84"/>
      <c r="B83" s="84"/>
      <c r="C83" s="84"/>
      <c r="D83" s="84"/>
      <c r="E83" s="84"/>
      <c r="F83" s="84"/>
      <c r="G83" s="84"/>
    </row>
    <row r="84" spans="1:7" ht="15.75" customHeight="1">
      <c r="A84" s="84"/>
      <c r="B84" s="84"/>
      <c r="C84" s="84"/>
      <c r="D84" s="84"/>
      <c r="E84" s="84"/>
      <c r="F84" s="84"/>
      <c r="G84" s="84"/>
    </row>
    <row r="85" spans="1:7" ht="15.75" customHeight="1">
      <c r="A85" s="84"/>
      <c r="B85" s="84"/>
      <c r="C85" s="84"/>
      <c r="D85" s="84"/>
      <c r="E85" s="84"/>
      <c r="F85" s="84"/>
      <c r="G85" s="84"/>
    </row>
    <row r="86" spans="1:7" ht="15.75" customHeight="1">
      <c r="A86" s="286" t="s">
        <v>261</v>
      </c>
      <c r="B86" s="286"/>
      <c r="C86" s="286"/>
      <c r="D86" s="286" t="s">
        <v>262</v>
      </c>
      <c r="E86" s="286"/>
      <c r="F86" s="286"/>
      <c r="G86" s="286"/>
    </row>
    <row r="87" spans="1:7" ht="15.75" customHeight="1">
      <c r="A87" s="292" t="s">
        <v>263</v>
      </c>
      <c r="B87" s="292"/>
      <c r="C87" s="292"/>
      <c r="D87" s="292" t="s">
        <v>1002</v>
      </c>
      <c r="E87" s="292"/>
      <c r="F87" s="292"/>
      <c r="G87" s="292"/>
    </row>
    <row r="88" spans="1:7" ht="15.75" customHeight="1">
      <c r="A88" s="292" t="s">
        <v>264</v>
      </c>
      <c r="B88" s="292"/>
      <c r="C88" s="292"/>
      <c r="D88" s="292" t="s">
        <v>107</v>
      </c>
      <c r="E88" s="292"/>
      <c r="F88" s="292"/>
      <c r="G88" s="292"/>
    </row>
  </sheetData>
  <mergeCells count="27">
    <mergeCell ref="A88:C88"/>
    <mergeCell ref="D88:G88"/>
    <mergeCell ref="A80:C80"/>
    <mergeCell ref="D80:G80"/>
    <mergeCell ref="A86:C86"/>
    <mergeCell ref="D86:G86"/>
    <mergeCell ref="A87:C87"/>
    <mergeCell ref="D87:G87"/>
    <mergeCell ref="A79:C79"/>
    <mergeCell ref="D79:G79"/>
    <mergeCell ref="C8:G8"/>
    <mergeCell ref="C9:G9"/>
    <mergeCell ref="C10:G10"/>
    <mergeCell ref="C11:G11"/>
    <mergeCell ref="C12:G12"/>
    <mergeCell ref="C13:G13"/>
    <mergeCell ref="A15:G15"/>
    <mergeCell ref="A16:G16"/>
    <mergeCell ref="F17:G17"/>
    <mergeCell ref="A74:B74"/>
    <mergeCell ref="A75:G75"/>
    <mergeCell ref="C7:G7"/>
    <mergeCell ref="D1:G1"/>
    <mergeCell ref="A2:G2"/>
    <mergeCell ref="A4:G4"/>
    <mergeCell ref="A5:G5"/>
    <mergeCell ref="C6:G6"/>
  </mergeCells>
  <printOptions horizontalCentered="1"/>
  <pageMargins left="0" right="0" top="0.26" bottom="0.18" header="0.21" footer="0.17"/>
  <pageSetup paperSize="9" scale="95"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topLeftCell="A16" zoomScaleNormal="90" zoomScaleSheetLayoutView="100" workbookViewId="0">
      <selection activeCell="E28" sqref="E28"/>
    </sheetView>
  </sheetViews>
  <sheetFormatPr defaultColWidth="9.28515625" defaultRowHeight="10.5"/>
  <cols>
    <col min="1" max="1" width="5.42578125" style="29" customWidth="1"/>
    <col min="2" max="2" width="42.85546875" style="29" customWidth="1"/>
    <col min="3" max="3" width="7.28515625" style="29" customWidth="1"/>
    <col min="4" max="4" width="20.28515625" style="29" customWidth="1"/>
    <col min="5" max="5" width="14.5703125" style="29" customWidth="1"/>
    <col min="6" max="6" width="11.7109375" style="29" customWidth="1"/>
    <col min="7" max="7" width="17.5703125" style="29" customWidth="1"/>
    <col min="8" max="8" width="8.28515625" style="29" customWidth="1"/>
    <col min="9" max="9" width="16.28515625" style="29" customWidth="1"/>
    <col min="10" max="10" width="8.5703125" style="29" customWidth="1"/>
    <col min="11" max="11" width="18.5703125" style="29" customWidth="1"/>
    <col min="12" max="16384" width="9.28515625" style="29"/>
  </cols>
  <sheetData>
    <row r="1" spans="1:11" ht="24" customHeight="1">
      <c r="B1" s="30"/>
      <c r="C1" s="30"/>
      <c r="D1" s="30"/>
      <c r="E1" s="30"/>
      <c r="F1" s="30"/>
      <c r="G1" s="30"/>
      <c r="H1" s="305" t="s">
        <v>61</v>
      </c>
      <c r="I1" s="305"/>
      <c r="J1" s="305"/>
      <c r="K1" s="305"/>
    </row>
    <row r="2" spans="1:11" ht="26.25" customHeight="1">
      <c r="A2" s="306" t="s">
        <v>62</v>
      </c>
      <c r="B2" s="306"/>
      <c r="C2" s="306"/>
      <c r="D2" s="306"/>
      <c r="E2" s="306"/>
      <c r="F2" s="306"/>
      <c r="G2" s="306"/>
      <c r="H2" s="306"/>
      <c r="I2" s="306"/>
      <c r="J2" s="306"/>
      <c r="K2" s="306"/>
    </row>
    <row r="3" spans="1:11" ht="28.5" customHeight="1">
      <c r="A3" s="307" t="s">
        <v>63</v>
      </c>
      <c r="B3" s="307"/>
      <c r="C3" s="307"/>
      <c r="D3" s="307"/>
      <c r="E3" s="307"/>
      <c r="F3" s="307"/>
      <c r="G3" s="307"/>
      <c r="H3" s="307"/>
      <c r="I3" s="307"/>
      <c r="J3" s="307"/>
      <c r="K3" s="307"/>
    </row>
    <row r="4" spans="1:11" ht="18" customHeight="1">
      <c r="A4" s="308" t="str">
        <f>+TONGQUAN!C3</f>
        <v>Tháng 04 năm 2021/ Apr 2021</v>
      </c>
      <c r="B4" s="309"/>
      <c r="C4" s="309"/>
      <c r="D4" s="309"/>
      <c r="E4" s="309"/>
      <c r="F4" s="309"/>
      <c r="G4" s="309"/>
      <c r="H4" s="309"/>
      <c r="I4" s="309"/>
      <c r="J4" s="309"/>
      <c r="K4" s="309"/>
    </row>
    <row r="5" spans="1:11">
      <c r="A5" s="31"/>
      <c r="B5" s="32"/>
      <c r="C5" s="32"/>
      <c r="D5" s="33"/>
      <c r="E5" s="33"/>
      <c r="F5" s="32"/>
      <c r="G5" s="32"/>
      <c r="H5" s="32"/>
      <c r="I5" s="32"/>
      <c r="J5" s="32"/>
      <c r="K5" s="32"/>
    </row>
    <row r="6" spans="1:11">
      <c r="A6" s="34">
        <v>1</v>
      </c>
      <c r="B6" s="35" t="s">
        <v>3</v>
      </c>
      <c r="C6" s="35" t="s">
        <v>64</v>
      </c>
      <c r="D6" s="33"/>
      <c r="E6" s="33"/>
      <c r="F6" s="32"/>
      <c r="G6" s="32"/>
      <c r="H6" s="32"/>
      <c r="I6" s="32"/>
      <c r="J6" s="32"/>
      <c r="K6" s="32"/>
    </row>
    <row r="7" spans="1:11">
      <c r="A7" s="34"/>
      <c r="B7" s="36" t="s">
        <v>5</v>
      </c>
      <c r="C7" s="36" t="s">
        <v>6</v>
      </c>
      <c r="D7" s="37"/>
      <c r="E7" s="37"/>
      <c r="F7" s="38"/>
      <c r="G7" s="38"/>
      <c r="H7" s="38"/>
      <c r="I7" s="38"/>
      <c r="J7" s="38"/>
      <c r="K7" s="38"/>
    </row>
    <row r="8" spans="1:11" ht="12.75" customHeight="1">
      <c r="A8" s="39">
        <v>2</v>
      </c>
      <c r="B8" s="40" t="s">
        <v>7</v>
      </c>
      <c r="C8" s="41" t="s">
        <v>8</v>
      </c>
      <c r="D8" s="41"/>
      <c r="E8" s="41"/>
      <c r="F8" s="41"/>
      <c r="G8" s="41"/>
      <c r="H8" s="41"/>
      <c r="I8" s="42"/>
      <c r="J8" s="42"/>
      <c r="K8" s="42"/>
    </row>
    <row r="9" spans="1:11" ht="12.75" customHeight="1">
      <c r="A9" s="39"/>
      <c r="B9" s="43" t="s">
        <v>9</v>
      </c>
      <c r="C9" s="44" t="s">
        <v>10</v>
      </c>
      <c r="D9" s="45"/>
      <c r="E9" s="45"/>
      <c r="F9" s="45"/>
      <c r="G9" s="45"/>
      <c r="H9" s="45"/>
      <c r="I9" s="46"/>
      <c r="J9" s="46"/>
      <c r="K9" s="46"/>
    </row>
    <row r="10" spans="1:11" ht="12.75" customHeight="1">
      <c r="A10" s="39">
        <v>3</v>
      </c>
      <c r="B10" s="40" t="s">
        <v>11</v>
      </c>
      <c r="C10" s="41" t="s">
        <v>12</v>
      </c>
      <c r="D10" s="41"/>
      <c r="E10" s="41"/>
      <c r="F10" s="41"/>
      <c r="G10" s="41"/>
      <c r="H10" s="41"/>
      <c r="I10" s="42"/>
      <c r="J10" s="42"/>
      <c r="K10" s="42"/>
    </row>
    <row r="11" spans="1:11" ht="12.75" customHeight="1">
      <c r="A11" s="39"/>
      <c r="B11" s="43" t="s">
        <v>13</v>
      </c>
      <c r="C11" s="45" t="s">
        <v>14</v>
      </c>
      <c r="D11" s="45"/>
      <c r="E11" s="45"/>
      <c r="F11" s="45"/>
      <c r="G11" s="45"/>
      <c r="H11" s="45"/>
      <c r="I11" s="42"/>
      <c r="J11" s="42"/>
      <c r="K11" s="42"/>
    </row>
    <row r="12" spans="1:11" ht="13.5" customHeight="1">
      <c r="A12" s="39">
        <v>4</v>
      </c>
      <c r="B12" s="40" t="s">
        <v>15</v>
      </c>
      <c r="C12" s="310">
        <f>+TONGQUAN!E12</f>
        <v>44322</v>
      </c>
      <c r="D12" s="310"/>
      <c r="E12" s="41"/>
      <c r="F12" s="41"/>
      <c r="G12" s="41"/>
      <c r="H12" s="41"/>
      <c r="I12" s="47"/>
      <c r="J12" s="47"/>
      <c r="K12" s="47"/>
    </row>
    <row r="13" spans="1:11" ht="13.5" customHeight="1">
      <c r="A13" s="45"/>
      <c r="B13" s="43" t="s">
        <v>16</v>
      </c>
      <c r="C13" s="303">
        <f>+C12</f>
        <v>44322</v>
      </c>
      <c r="D13" s="303"/>
      <c r="E13" s="303"/>
      <c r="F13" s="303"/>
      <c r="G13" s="304"/>
      <c r="H13" s="304"/>
      <c r="I13" s="48"/>
      <c r="J13" s="48"/>
      <c r="K13" s="48"/>
    </row>
    <row r="14" spans="1:11">
      <c r="A14" s="49" t="s">
        <v>28</v>
      </c>
      <c r="B14" s="49" t="s">
        <v>65</v>
      </c>
      <c r="C14" s="50"/>
      <c r="D14" s="51"/>
      <c r="E14" s="51"/>
      <c r="F14" s="51"/>
      <c r="G14" s="52"/>
      <c r="H14" s="52"/>
      <c r="I14" s="48"/>
      <c r="J14" s="48"/>
      <c r="K14" s="48"/>
    </row>
    <row r="15" spans="1:11">
      <c r="A15" s="35" t="s">
        <v>66</v>
      </c>
      <c r="B15" s="35" t="s">
        <v>67</v>
      </c>
      <c r="C15" s="53"/>
      <c r="D15" s="54"/>
      <c r="E15" s="54"/>
      <c r="F15" s="55"/>
      <c r="G15" s="55"/>
      <c r="H15" s="55"/>
      <c r="I15" s="55"/>
      <c r="J15" s="55"/>
      <c r="K15" s="55"/>
    </row>
    <row r="16" spans="1:11" ht="24.75" customHeight="1">
      <c r="A16" s="326" t="s">
        <v>68</v>
      </c>
      <c r="B16" s="311" t="s">
        <v>69</v>
      </c>
      <c r="C16" s="327" t="s">
        <v>70</v>
      </c>
      <c r="D16" s="311" t="s">
        <v>71</v>
      </c>
      <c r="E16" s="311" t="s">
        <v>72</v>
      </c>
      <c r="F16" s="311" t="s">
        <v>73</v>
      </c>
      <c r="G16" s="311" t="s">
        <v>74</v>
      </c>
      <c r="H16" s="313" t="s">
        <v>75</v>
      </c>
      <c r="I16" s="314"/>
      <c r="J16" s="313" t="s">
        <v>76</v>
      </c>
      <c r="K16" s="314"/>
    </row>
    <row r="17" spans="1:11" ht="58.5" customHeight="1">
      <c r="A17" s="326"/>
      <c r="B17" s="312"/>
      <c r="C17" s="328"/>
      <c r="D17" s="312"/>
      <c r="E17" s="312"/>
      <c r="F17" s="312"/>
      <c r="G17" s="312"/>
      <c r="H17" s="56" t="s">
        <v>77</v>
      </c>
      <c r="I17" s="56" t="s">
        <v>78</v>
      </c>
      <c r="J17" s="56" t="s">
        <v>79</v>
      </c>
      <c r="K17" s="56" t="s">
        <v>80</v>
      </c>
    </row>
    <row r="18" spans="1:11" ht="21">
      <c r="A18" s="57">
        <v>1</v>
      </c>
      <c r="B18" s="58" t="s">
        <v>81</v>
      </c>
      <c r="C18" s="226" t="s">
        <v>82</v>
      </c>
      <c r="D18" s="315"/>
      <c r="E18" s="316"/>
      <c r="F18" s="316"/>
      <c r="G18" s="316"/>
      <c r="H18" s="316"/>
      <c r="I18" s="316"/>
      <c r="J18" s="316"/>
      <c r="K18" s="317"/>
    </row>
    <row r="19" spans="1:11" ht="21">
      <c r="A19" s="57" t="s">
        <v>83</v>
      </c>
      <c r="B19" s="58" t="s">
        <v>84</v>
      </c>
      <c r="C19" s="226" t="s">
        <v>85</v>
      </c>
      <c r="D19" s="318"/>
      <c r="E19" s="319"/>
      <c r="F19" s="319"/>
      <c r="G19" s="319"/>
      <c r="H19" s="319"/>
      <c r="I19" s="319"/>
      <c r="J19" s="319"/>
      <c r="K19" s="320"/>
    </row>
    <row r="20" spans="1:11" ht="21">
      <c r="A20" s="57">
        <v>2</v>
      </c>
      <c r="B20" s="58" t="s">
        <v>86</v>
      </c>
      <c r="C20" s="226" t="s">
        <v>87</v>
      </c>
      <c r="D20" s="318"/>
      <c r="E20" s="319"/>
      <c r="F20" s="319"/>
      <c r="G20" s="319"/>
      <c r="H20" s="319"/>
      <c r="I20" s="319"/>
      <c r="J20" s="319"/>
      <c r="K20" s="320"/>
    </row>
    <row r="21" spans="1:11" ht="21">
      <c r="A21" s="57" t="s">
        <v>88</v>
      </c>
      <c r="B21" s="58" t="s">
        <v>89</v>
      </c>
      <c r="C21" s="226" t="s">
        <v>90</v>
      </c>
      <c r="D21" s="318"/>
      <c r="E21" s="319"/>
      <c r="F21" s="319"/>
      <c r="G21" s="319"/>
      <c r="H21" s="319"/>
      <c r="I21" s="319"/>
      <c r="J21" s="319"/>
      <c r="K21" s="320"/>
    </row>
    <row r="22" spans="1:11" ht="21">
      <c r="A22" s="57" t="s">
        <v>28</v>
      </c>
      <c r="B22" s="59" t="s">
        <v>91</v>
      </c>
      <c r="C22" s="226" t="s">
        <v>92</v>
      </c>
      <c r="D22" s="318"/>
      <c r="E22" s="319"/>
      <c r="F22" s="319"/>
      <c r="G22" s="319"/>
      <c r="H22" s="319"/>
      <c r="I22" s="319"/>
      <c r="J22" s="319"/>
      <c r="K22" s="320"/>
    </row>
    <row r="23" spans="1:11" ht="21">
      <c r="A23" s="60" t="s">
        <v>93</v>
      </c>
      <c r="B23" s="59" t="s">
        <v>94</v>
      </c>
      <c r="C23" s="226" t="s">
        <v>95</v>
      </c>
      <c r="D23" s="318"/>
      <c r="E23" s="319"/>
      <c r="F23" s="319"/>
      <c r="G23" s="319"/>
      <c r="H23" s="319"/>
      <c r="I23" s="319"/>
      <c r="J23" s="319"/>
      <c r="K23" s="320"/>
    </row>
    <row r="24" spans="1:11" ht="21">
      <c r="A24" s="60" t="s">
        <v>96</v>
      </c>
      <c r="B24" s="58" t="s">
        <v>97</v>
      </c>
      <c r="C24" s="226" t="s">
        <v>98</v>
      </c>
      <c r="D24" s="318"/>
      <c r="E24" s="319"/>
      <c r="F24" s="319"/>
      <c r="G24" s="319"/>
      <c r="H24" s="319"/>
      <c r="I24" s="319"/>
      <c r="J24" s="319"/>
      <c r="K24" s="320"/>
    </row>
    <row r="25" spans="1:11" ht="21">
      <c r="A25" s="60" t="s">
        <v>99</v>
      </c>
      <c r="B25" s="58" t="s">
        <v>100</v>
      </c>
      <c r="C25" s="226" t="s">
        <v>101</v>
      </c>
      <c r="D25" s="318"/>
      <c r="E25" s="319"/>
      <c r="F25" s="319"/>
      <c r="G25" s="319"/>
      <c r="H25" s="319"/>
      <c r="I25" s="319"/>
      <c r="J25" s="319"/>
      <c r="K25" s="320"/>
    </row>
    <row r="26" spans="1:11" ht="21">
      <c r="A26" s="60" t="s">
        <v>66</v>
      </c>
      <c r="B26" s="58" t="s">
        <v>97</v>
      </c>
      <c r="C26" s="226" t="s">
        <v>102</v>
      </c>
      <c r="D26" s="318"/>
      <c r="E26" s="319"/>
      <c r="F26" s="319"/>
      <c r="G26" s="319"/>
      <c r="H26" s="319"/>
      <c r="I26" s="319"/>
      <c r="J26" s="319"/>
      <c r="K26" s="320"/>
    </row>
    <row r="27" spans="1:11" ht="25.5" customHeight="1">
      <c r="A27" s="57" t="s">
        <v>53</v>
      </c>
      <c r="B27" s="59" t="s">
        <v>103</v>
      </c>
      <c r="C27" s="226" t="s">
        <v>104</v>
      </c>
      <c r="D27" s="321"/>
      <c r="E27" s="322"/>
      <c r="F27" s="322"/>
      <c r="G27" s="322"/>
      <c r="H27" s="322"/>
      <c r="I27" s="322"/>
      <c r="J27" s="322"/>
      <c r="K27" s="323"/>
    </row>
    <row r="28" spans="1:11" ht="9" customHeight="1">
      <c r="A28" s="55"/>
      <c r="B28" s="61"/>
      <c r="C28" s="61"/>
      <c r="D28" s="55"/>
      <c r="E28" s="55"/>
      <c r="F28" s="55"/>
      <c r="G28" s="55"/>
      <c r="H28" s="55"/>
      <c r="I28" s="55"/>
      <c r="J28" s="55"/>
      <c r="K28" s="55"/>
    </row>
    <row r="29" spans="1:11">
      <c r="A29" s="324" t="s">
        <v>18</v>
      </c>
      <c r="B29" s="324"/>
      <c r="C29" s="324"/>
      <c r="E29" s="62"/>
      <c r="F29" s="63"/>
      <c r="G29" s="63"/>
      <c r="H29" s="325" t="s">
        <v>105</v>
      </c>
      <c r="I29" s="325"/>
      <c r="J29" s="325"/>
      <c r="K29" s="325"/>
    </row>
    <row r="30" spans="1:11">
      <c r="A30" s="329" t="s">
        <v>20</v>
      </c>
      <c r="B30" s="329"/>
      <c r="C30" s="329"/>
      <c r="E30" s="64"/>
      <c r="F30" s="65"/>
      <c r="G30" s="65"/>
      <c r="H30" s="330" t="s">
        <v>21</v>
      </c>
      <c r="I30" s="330"/>
      <c r="J30" s="330"/>
      <c r="K30" s="330"/>
    </row>
    <row r="31" spans="1:11" ht="36.75" customHeight="1">
      <c r="A31" s="65"/>
      <c r="B31" s="66"/>
      <c r="C31" s="67"/>
      <c r="E31" s="64"/>
      <c r="F31" s="65"/>
      <c r="G31" s="65"/>
      <c r="H31" s="68"/>
      <c r="J31" s="69"/>
      <c r="K31" s="70"/>
    </row>
    <row r="32" spans="1:11" ht="36.75" customHeight="1">
      <c r="A32" s="66"/>
      <c r="B32" s="66"/>
      <c r="C32" s="71"/>
      <c r="D32" s="72"/>
      <c r="E32" s="73"/>
      <c r="F32" s="74"/>
      <c r="G32" s="69"/>
      <c r="H32" s="69"/>
      <c r="J32" s="69"/>
      <c r="K32" s="69"/>
    </row>
    <row r="33" spans="1:11">
      <c r="A33" s="75"/>
      <c r="B33" s="75"/>
      <c r="C33" s="76"/>
      <c r="D33" s="77"/>
      <c r="E33" s="78"/>
      <c r="F33" s="74"/>
      <c r="G33" s="79"/>
      <c r="H33" s="75"/>
      <c r="I33" s="75"/>
      <c r="J33" s="76"/>
      <c r="K33" s="69"/>
    </row>
    <row r="34" spans="1:11" s="80" customFormat="1" ht="12.75" customHeight="1">
      <c r="A34" s="329" t="s">
        <v>106</v>
      </c>
      <c r="B34" s="329"/>
      <c r="C34" s="329"/>
      <c r="E34" s="65"/>
      <c r="F34" s="65"/>
      <c r="G34" s="81"/>
      <c r="H34" s="331" t="s">
        <v>4</v>
      </c>
      <c r="I34" s="331"/>
      <c r="J34" s="331"/>
      <c r="K34" s="331"/>
    </row>
    <row r="35" spans="1:11" s="80" customFormat="1" ht="12.75" customHeight="1">
      <c r="A35" s="329" t="s">
        <v>22</v>
      </c>
      <c r="B35" s="329"/>
      <c r="C35" s="329"/>
      <c r="E35" s="82"/>
      <c r="F35" s="83"/>
      <c r="G35" s="81"/>
      <c r="H35" s="286" t="s">
        <v>1002</v>
      </c>
      <c r="I35" s="286"/>
      <c r="J35" s="286"/>
      <c r="K35" s="286"/>
    </row>
    <row r="36" spans="1:11" s="80" customFormat="1" ht="12.75" customHeight="1">
      <c r="A36" s="329" t="s">
        <v>23</v>
      </c>
      <c r="B36" s="329"/>
      <c r="C36" s="329"/>
      <c r="H36" s="286" t="s">
        <v>107</v>
      </c>
      <c r="I36" s="286"/>
      <c r="J36" s="286"/>
      <c r="K36" s="286"/>
    </row>
  </sheetData>
  <mergeCells count="27">
    <mergeCell ref="A36:C36"/>
    <mergeCell ref="H36:K36"/>
    <mergeCell ref="A30:C30"/>
    <mergeCell ref="H30:K30"/>
    <mergeCell ref="A34:C34"/>
    <mergeCell ref="H34:K34"/>
    <mergeCell ref="A35:C35"/>
    <mergeCell ref="H35:K35"/>
    <mergeCell ref="G16:G17"/>
    <mergeCell ref="H16:I16"/>
    <mergeCell ref="J16:K16"/>
    <mergeCell ref="D18:K27"/>
    <mergeCell ref="A29:C29"/>
    <mergeCell ref="H29:K29"/>
    <mergeCell ref="A16:A17"/>
    <mergeCell ref="B16:B17"/>
    <mergeCell ref="C16:C17"/>
    <mergeCell ref="D16:D17"/>
    <mergeCell ref="E16:E17"/>
    <mergeCell ref="F16:F17"/>
    <mergeCell ref="C13:F13"/>
    <mergeCell ref="G13:H13"/>
    <mergeCell ref="H1:K1"/>
    <mergeCell ref="A2:K2"/>
    <mergeCell ref="A3:K3"/>
    <mergeCell ref="A4:K4"/>
    <mergeCell ref="C12:D12"/>
  </mergeCells>
  <pageMargins left="0.24" right="0.17" top="0.35" bottom="0.22" header="0.3" footer="0.3"/>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65"/>
  <sheetViews>
    <sheetView showGridLines="0" showZeros="0" showOutlineSymbols="0" view="pageBreakPreview" topLeftCell="A13" zoomScaleNormal="100" zoomScaleSheetLayoutView="100" workbookViewId="0">
      <selection activeCell="M39" sqref="M39"/>
    </sheetView>
  </sheetViews>
  <sheetFormatPr defaultRowHeight="15"/>
  <cols>
    <col min="1" max="1" width="5.7109375" style="86" customWidth="1"/>
    <col min="2" max="2" width="5" style="86" customWidth="1"/>
    <col min="3" max="3" width="24.42578125" style="86" customWidth="1"/>
    <col min="4" max="4" width="19.28515625" style="86" customWidth="1"/>
    <col min="5" max="5" width="10.28515625" style="86" customWidth="1"/>
    <col min="6" max="7" width="18.5703125" style="86" customWidth="1"/>
    <col min="8" max="8" width="14.85546875" style="86" bestFit="1" customWidth="1"/>
    <col min="9" max="256" width="9.140625" style="86"/>
    <col min="257" max="257" width="5.7109375" style="86" customWidth="1"/>
    <col min="258" max="258" width="5" style="86" customWidth="1"/>
    <col min="259" max="259" width="21.42578125" style="86" customWidth="1"/>
    <col min="260" max="260" width="17.140625" style="86" customWidth="1"/>
    <col min="261" max="261" width="11.42578125" style="86" customWidth="1"/>
    <col min="262" max="263" width="18.5703125" style="86" customWidth="1"/>
    <col min="264" max="512" width="9.140625" style="86"/>
    <col min="513" max="513" width="5.7109375" style="86" customWidth="1"/>
    <col min="514" max="514" width="5" style="86" customWidth="1"/>
    <col min="515" max="515" width="21.42578125" style="86" customWidth="1"/>
    <col min="516" max="516" width="17.140625" style="86" customWidth="1"/>
    <col min="517" max="517" width="11.42578125" style="86" customWidth="1"/>
    <col min="518" max="519" width="18.5703125" style="86" customWidth="1"/>
    <col min="520" max="768" width="9.140625" style="86"/>
    <col min="769" max="769" width="5.7109375" style="86" customWidth="1"/>
    <col min="770" max="770" width="5" style="86" customWidth="1"/>
    <col min="771" max="771" width="21.42578125" style="86" customWidth="1"/>
    <col min="772" max="772" width="17.140625" style="86" customWidth="1"/>
    <col min="773" max="773" width="11.42578125" style="86" customWidth="1"/>
    <col min="774" max="775" width="18.5703125" style="86" customWidth="1"/>
    <col min="776" max="1024" width="9.140625" style="86"/>
    <col min="1025" max="1025" width="5.7109375" style="86" customWidth="1"/>
    <col min="1026" max="1026" width="5" style="86" customWidth="1"/>
    <col min="1027" max="1027" width="21.42578125" style="86" customWidth="1"/>
    <col min="1028" max="1028" width="17.140625" style="86" customWidth="1"/>
    <col min="1029" max="1029" width="11.42578125" style="86" customWidth="1"/>
    <col min="1030" max="1031" width="18.5703125" style="86" customWidth="1"/>
    <col min="1032" max="1280" width="9.140625" style="86"/>
    <col min="1281" max="1281" width="5.7109375" style="86" customWidth="1"/>
    <col min="1282" max="1282" width="5" style="86" customWidth="1"/>
    <col min="1283" max="1283" width="21.42578125" style="86" customWidth="1"/>
    <col min="1284" max="1284" width="17.140625" style="86" customWidth="1"/>
    <col min="1285" max="1285" width="11.42578125" style="86" customWidth="1"/>
    <col min="1286" max="1287" width="18.5703125" style="86" customWidth="1"/>
    <col min="1288" max="1536" width="9.140625" style="86"/>
    <col min="1537" max="1537" width="5.7109375" style="86" customWidth="1"/>
    <col min="1538" max="1538" width="5" style="86" customWidth="1"/>
    <col min="1539" max="1539" width="21.42578125" style="86" customWidth="1"/>
    <col min="1540" max="1540" width="17.140625" style="86" customWidth="1"/>
    <col min="1541" max="1541" width="11.42578125" style="86" customWidth="1"/>
    <col min="1542" max="1543" width="18.5703125" style="86" customWidth="1"/>
    <col min="1544" max="1792" width="9.140625" style="86"/>
    <col min="1793" max="1793" width="5.7109375" style="86" customWidth="1"/>
    <col min="1794" max="1794" width="5" style="86" customWidth="1"/>
    <col min="1795" max="1795" width="21.42578125" style="86" customWidth="1"/>
    <col min="1796" max="1796" width="17.140625" style="86" customWidth="1"/>
    <col min="1797" max="1797" width="11.42578125" style="86" customWidth="1"/>
    <col min="1798" max="1799" width="18.5703125" style="86" customWidth="1"/>
    <col min="1800" max="2048" width="9.140625" style="86"/>
    <col min="2049" max="2049" width="5.7109375" style="86" customWidth="1"/>
    <col min="2050" max="2050" width="5" style="86" customWidth="1"/>
    <col min="2051" max="2051" width="21.42578125" style="86" customWidth="1"/>
    <col min="2052" max="2052" width="17.140625" style="86" customWidth="1"/>
    <col min="2053" max="2053" width="11.42578125" style="86" customWidth="1"/>
    <col min="2054" max="2055" width="18.5703125" style="86" customWidth="1"/>
    <col min="2056" max="2304" width="9.140625" style="86"/>
    <col min="2305" max="2305" width="5.7109375" style="86" customWidth="1"/>
    <col min="2306" max="2306" width="5" style="86" customWidth="1"/>
    <col min="2307" max="2307" width="21.42578125" style="86" customWidth="1"/>
    <col min="2308" max="2308" width="17.140625" style="86" customWidth="1"/>
    <col min="2309" max="2309" width="11.42578125" style="86" customWidth="1"/>
    <col min="2310" max="2311" width="18.5703125" style="86" customWidth="1"/>
    <col min="2312" max="2560" width="9.140625" style="86"/>
    <col min="2561" max="2561" width="5.7109375" style="86" customWidth="1"/>
    <col min="2562" max="2562" width="5" style="86" customWidth="1"/>
    <col min="2563" max="2563" width="21.42578125" style="86" customWidth="1"/>
    <col min="2564" max="2564" width="17.140625" style="86" customWidth="1"/>
    <col min="2565" max="2565" width="11.42578125" style="86" customWidth="1"/>
    <col min="2566" max="2567" width="18.5703125" style="86" customWidth="1"/>
    <col min="2568" max="2816" width="9.140625" style="86"/>
    <col min="2817" max="2817" width="5.7109375" style="86" customWidth="1"/>
    <col min="2818" max="2818" width="5" style="86" customWidth="1"/>
    <col min="2819" max="2819" width="21.42578125" style="86" customWidth="1"/>
    <col min="2820" max="2820" width="17.140625" style="86" customWidth="1"/>
    <col min="2821" max="2821" width="11.42578125" style="86" customWidth="1"/>
    <col min="2822" max="2823" width="18.5703125" style="86" customWidth="1"/>
    <col min="2824" max="3072" width="9.140625" style="86"/>
    <col min="3073" max="3073" width="5.7109375" style="86" customWidth="1"/>
    <col min="3074" max="3074" width="5" style="86" customWidth="1"/>
    <col min="3075" max="3075" width="21.42578125" style="86" customWidth="1"/>
    <col min="3076" max="3076" width="17.140625" style="86" customWidth="1"/>
    <col min="3077" max="3077" width="11.42578125" style="86" customWidth="1"/>
    <col min="3078" max="3079" width="18.5703125" style="86" customWidth="1"/>
    <col min="3080" max="3328" width="9.140625" style="86"/>
    <col min="3329" max="3329" width="5.7109375" style="86" customWidth="1"/>
    <col min="3330" max="3330" width="5" style="86" customWidth="1"/>
    <col min="3331" max="3331" width="21.42578125" style="86" customWidth="1"/>
    <col min="3332" max="3332" width="17.140625" style="86" customWidth="1"/>
    <col min="3333" max="3333" width="11.42578125" style="86" customWidth="1"/>
    <col min="3334" max="3335" width="18.5703125" style="86" customWidth="1"/>
    <col min="3336" max="3584" width="9.140625" style="86"/>
    <col min="3585" max="3585" width="5.7109375" style="86" customWidth="1"/>
    <col min="3586" max="3586" width="5" style="86" customWidth="1"/>
    <col min="3587" max="3587" width="21.42578125" style="86" customWidth="1"/>
    <col min="3588" max="3588" width="17.140625" style="86" customWidth="1"/>
    <col min="3589" max="3589" width="11.42578125" style="86" customWidth="1"/>
    <col min="3590" max="3591" width="18.5703125" style="86" customWidth="1"/>
    <col min="3592" max="3840" width="9.140625" style="86"/>
    <col min="3841" max="3841" width="5.7109375" style="86" customWidth="1"/>
    <col min="3842" max="3842" width="5" style="86" customWidth="1"/>
    <col min="3843" max="3843" width="21.42578125" style="86" customWidth="1"/>
    <col min="3844" max="3844" width="17.140625" style="86" customWidth="1"/>
    <col min="3845" max="3845" width="11.42578125" style="86" customWidth="1"/>
    <col min="3846" max="3847" width="18.5703125" style="86" customWidth="1"/>
    <col min="3848" max="4096" width="9.140625" style="86"/>
    <col min="4097" max="4097" width="5.7109375" style="86" customWidth="1"/>
    <col min="4098" max="4098" width="5" style="86" customWidth="1"/>
    <col min="4099" max="4099" width="21.42578125" style="86" customWidth="1"/>
    <col min="4100" max="4100" width="17.140625" style="86" customWidth="1"/>
    <col min="4101" max="4101" width="11.42578125" style="86" customWidth="1"/>
    <col min="4102" max="4103" width="18.5703125" style="86" customWidth="1"/>
    <col min="4104" max="4352" width="9.140625" style="86"/>
    <col min="4353" max="4353" width="5.7109375" style="86" customWidth="1"/>
    <col min="4354" max="4354" width="5" style="86" customWidth="1"/>
    <col min="4355" max="4355" width="21.42578125" style="86" customWidth="1"/>
    <col min="4356" max="4356" width="17.140625" style="86" customWidth="1"/>
    <col min="4357" max="4357" width="11.42578125" style="86" customWidth="1"/>
    <col min="4358" max="4359" width="18.5703125" style="86" customWidth="1"/>
    <col min="4360" max="4608" width="9.140625" style="86"/>
    <col min="4609" max="4609" width="5.7109375" style="86" customWidth="1"/>
    <col min="4610" max="4610" width="5" style="86" customWidth="1"/>
    <col min="4611" max="4611" width="21.42578125" style="86" customWidth="1"/>
    <col min="4612" max="4612" width="17.140625" style="86" customWidth="1"/>
    <col min="4613" max="4613" width="11.42578125" style="86" customWidth="1"/>
    <col min="4614" max="4615" width="18.5703125" style="86" customWidth="1"/>
    <col min="4616" max="4864" width="9.140625" style="86"/>
    <col min="4865" max="4865" width="5.7109375" style="86" customWidth="1"/>
    <col min="4866" max="4866" width="5" style="86" customWidth="1"/>
    <col min="4867" max="4867" width="21.42578125" style="86" customWidth="1"/>
    <col min="4868" max="4868" width="17.140625" style="86" customWidth="1"/>
    <col min="4869" max="4869" width="11.42578125" style="86" customWidth="1"/>
    <col min="4870" max="4871" width="18.5703125" style="86" customWidth="1"/>
    <col min="4872" max="5120" width="9.140625" style="86"/>
    <col min="5121" max="5121" width="5.7109375" style="86" customWidth="1"/>
    <col min="5122" max="5122" width="5" style="86" customWidth="1"/>
    <col min="5123" max="5123" width="21.42578125" style="86" customWidth="1"/>
    <col min="5124" max="5124" width="17.140625" style="86" customWidth="1"/>
    <col min="5125" max="5125" width="11.42578125" style="86" customWidth="1"/>
    <col min="5126" max="5127" width="18.5703125" style="86" customWidth="1"/>
    <col min="5128" max="5376" width="9.140625" style="86"/>
    <col min="5377" max="5377" width="5.7109375" style="86" customWidth="1"/>
    <col min="5378" max="5378" width="5" style="86" customWidth="1"/>
    <col min="5379" max="5379" width="21.42578125" style="86" customWidth="1"/>
    <col min="5380" max="5380" width="17.140625" style="86" customWidth="1"/>
    <col min="5381" max="5381" width="11.42578125" style="86" customWidth="1"/>
    <col min="5382" max="5383" width="18.5703125" style="86" customWidth="1"/>
    <col min="5384" max="5632" width="9.140625" style="86"/>
    <col min="5633" max="5633" width="5.7109375" style="86" customWidth="1"/>
    <col min="5634" max="5634" width="5" style="86" customWidth="1"/>
    <col min="5635" max="5635" width="21.42578125" style="86" customWidth="1"/>
    <col min="5636" max="5636" width="17.140625" style="86" customWidth="1"/>
    <col min="5637" max="5637" width="11.42578125" style="86" customWidth="1"/>
    <col min="5638" max="5639" width="18.5703125" style="86" customWidth="1"/>
    <col min="5640" max="5888" width="9.140625" style="86"/>
    <col min="5889" max="5889" width="5.7109375" style="86" customWidth="1"/>
    <col min="5890" max="5890" width="5" style="86" customWidth="1"/>
    <col min="5891" max="5891" width="21.42578125" style="86" customWidth="1"/>
    <col min="5892" max="5892" width="17.140625" style="86" customWidth="1"/>
    <col min="5893" max="5893" width="11.42578125" style="86" customWidth="1"/>
    <col min="5894" max="5895" width="18.5703125" style="86" customWidth="1"/>
    <col min="5896" max="6144" width="9.140625" style="86"/>
    <col min="6145" max="6145" width="5.7109375" style="86" customWidth="1"/>
    <col min="6146" max="6146" width="5" style="86" customWidth="1"/>
    <col min="6147" max="6147" width="21.42578125" style="86" customWidth="1"/>
    <col min="6148" max="6148" width="17.140625" style="86" customWidth="1"/>
    <col min="6149" max="6149" width="11.42578125" style="86" customWidth="1"/>
    <col min="6150" max="6151" width="18.5703125" style="86" customWidth="1"/>
    <col min="6152" max="6400" width="9.140625" style="86"/>
    <col min="6401" max="6401" width="5.7109375" style="86" customWidth="1"/>
    <col min="6402" max="6402" width="5" style="86" customWidth="1"/>
    <col min="6403" max="6403" width="21.42578125" style="86" customWidth="1"/>
    <col min="6404" max="6404" width="17.140625" style="86" customWidth="1"/>
    <col min="6405" max="6405" width="11.42578125" style="86" customWidth="1"/>
    <col min="6406" max="6407" width="18.5703125" style="86" customWidth="1"/>
    <col min="6408" max="6656" width="9.140625" style="86"/>
    <col min="6657" max="6657" width="5.7109375" style="86" customWidth="1"/>
    <col min="6658" max="6658" width="5" style="86" customWidth="1"/>
    <col min="6659" max="6659" width="21.42578125" style="86" customWidth="1"/>
    <col min="6660" max="6660" width="17.140625" style="86" customWidth="1"/>
    <col min="6661" max="6661" width="11.42578125" style="86" customWidth="1"/>
    <col min="6662" max="6663" width="18.5703125" style="86" customWidth="1"/>
    <col min="6664" max="6912" width="9.140625" style="86"/>
    <col min="6913" max="6913" width="5.7109375" style="86" customWidth="1"/>
    <col min="6914" max="6914" width="5" style="86" customWidth="1"/>
    <col min="6915" max="6915" width="21.42578125" style="86" customWidth="1"/>
    <col min="6916" max="6916" width="17.140625" style="86" customWidth="1"/>
    <col min="6917" max="6917" width="11.42578125" style="86" customWidth="1"/>
    <col min="6918" max="6919" width="18.5703125" style="86" customWidth="1"/>
    <col min="6920" max="7168" width="9.140625" style="86"/>
    <col min="7169" max="7169" width="5.7109375" style="86" customWidth="1"/>
    <col min="7170" max="7170" width="5" style="86" customWidth="1"/>
    <col min="7171" max="7171" width="21.42578125" style="86" customWidth="1"/>
    <col min="7172" max="7172" width="17.140625" style="86" customWidth="1"/>
    <col min="7173" max="7173" width="11.42578125" style="86" customWidth="1"/>
    <col min="7174" max="7175" width="18.5703125" style="86" customWidth="1"/>
    <col min="7176" max="7424" width="9.140625" style="86"/>
    <col min="7425" max="7425" width="5.7109375" style="86" customWidth="1"/>
    <col min="7426" max="7426" width="5" style="86" customWidth="1"/>
    <col min="7427" max="7427" width="21.42578125" style="86" customWidth="1"/>
    <col min="7428" max="7428" width="17.140625" style="86" customWidth="1"/>
    <col min="7429" max="7429" width="11.42578125" style="86" customWidth="1"/>
    <col min="7430" max="7431" width="18.5703125" style="86" customWidth="1"/>
    <col min="7432" max="7680" width="9.140625" style="86"/>
    <col min="7681" max="7681" width="5.7109375" style="86" customWidth="1"/>
    <col min="7682" max="7682" width="5" style="86" customWidth="1"/>
    <col min="7683" max="7683" width="21.42578125" style="86" customWidth="1"/>
    <col min="7684" max="7684" width="17.140625" style="86" customWidth="1"/>
    <col min="7685" max="7685" width="11.42578125" style="86" customWidth="1"/>
    <col min="7686" max="7687" width="18.5703125" style="86" customWidth="1"/>
    <col min="7688" max="7936" width="9.140625" style="86"/>
    <col min="7937" max="7937" width="5.7109375" style="86" customWidth="1"/>
    <col min="7938" max="7938" width="5" style="86" customWidth="1"/>
    <col min="7939" max="7939" width="21.42578125" style="86" customWidth="1"/>
    <col min="7940" max="7940" width="17.140625" style="86" customWidth="1"/>
    <col min="7941" max="7941" width="11.42578125" style="86" customWidth="1"/>
    <col min="7942" max="7943" width="18.5703125" style="86" customWidth="1"/>
    <col min="7944" max="8192" width="9.140625" style="86"/>
    <col min="8193" max="8193" width="5.7109375" style="86" customWidth="1"/>
    <col min="8194" max="8194" width="5" style="86" customWidth="1"/>
    <col min="8195" max="8195" width="21.42578125" style="86" customWidth="1"/>
    <col min="8196" max="8196" width="17.140625" style="86" customWidth="1"/>
    <col min="8197" max="8197" width="11.42578125" style="86" customWidth="1"/>
    <col min="8198" max="8199" width="18.5703125" style="86" customWidth="1"/>
    <col min="8200" max="8448" width="9.140625" style="86"/>
    <col min="8449" max="8449" width="5.7109375" style="86" customWidth="1"/>
    <col min="8450" max="8450" width="5" style="86" customWidth="1"/>
    <col min="8451" max="8451" width="21.42578125" style="86" customWidth="1"/>
    <col min="8452" max="8452" width="17.140625" style="86" customWidth="1"/>
    <col min="8453" max="8453" width="11.42578125" style="86" customWidth="1"/>
    <col min="8454" max="8455" width="18.5703125" style="86" customWidth="1"/>
    <col min="8456" max="8704" width="9.140625" style="86"/>
    <col min="8705" max="8705" width="5.7109375" style="86" customWidth="1"/>
    <col min="8706" max="8706" width="5" style="86" customWidth="1"/>
    <col min="8707" max="8707" width="21.42578125" style="86" customWidth="1"/>
    <col min="8708" max="8708" width="17.140625" style="86" customWidth="1"/>
    <col min="8709" max="8709" width="11.42578125" style="86" customWidth="1"/>
    <col min="8710" max="8711" width="18.5703125" style="86" customWidth="1"/>
    <col min="8712" max="8960" width="9.140625" style="86"/>
    <col min="8961" max="8961" width="5.7109375" style="86" customWidth="1"/>
    <col min="8962" max="8962" width="5" style="86" customWidth="1"/>
    <col min="8963" max="8963" width="21.42578125" style="86" customWidth="1"/>
    <col min="8964" max="8964" width="17.140625" style="86" customWidth="1"/>
    <col min="8965" max="8965" width="11.42578125" style="86" customWidth="1"/>
    <col min="8966" max="8967" width="18.5703125" style="86" customWidth="1"/>
    <col min="8968" max="9216" width="9.140625" style="86"/>
    <col min="9217" max="9217" width="5.7109375" style="86" customWidth="1"/>
    <col min="9218" max="9218" width="5" style="86" customWidth="1"/>
    <col min="9219" max="9219" width="21.42578125" style="86" customWidth="1"/>
    <col min="9220" max="9220" width="17.140625" style="86" customWidth="1"/>
    <col min="9221" max="9221" width="11.42578125" style="86" customWidth="1"/>
    <col min="9222" max="9223" width="18.5703125" style="86" customWidth="1"/>
    <col min="9224" max="9472" width="9.140625" style="86"/>
    <col min="9473" max="9473" width="5.7109375" style="86" customWidth="1"/>
    <col min="9474" max="9474" width="5" style="86" customWidth="1"/>
    <col min="9475" max="9475" width="21.42578125" style="86" customWidth="1"/>
    <col min="9476" max="9476" width="17.140625" style="86" customWidth="1"/>
    <col min="9477" max="9477" width="11.42578125" style="86" customWidth="1"/>
    <col min="9478" max="9479" width="18.5703125" style="86" customWidth="1"/>
    <col min="9480" max="9728" width="9.140625" style="86"/>
    <col min="9729" max="9729" width="5.7109375" style="86" customWidth="1"/>
    <col min="9730" max="9730" width="5" style="86" customWidth="1"/>
    <col min="9731" max="9731" width="21.42578125" style="86" customWidth="1"/>
    <col min="9732" max="9732" width="17.140625" style="86" customWidth="1"/>
    <col min="9733" max="9733" width="11.42578125" style="86" customWidth="1"/>
    <col min="9734" max="9735" width="18.5703125" style="86" customWidth="1"/>
    <col min="9736" max="9984" width="9.140625" style="86"/>
    <col min="9985" max="9985" width="5.7109375" style="86" customWidth="1"/>
    <col min="9986" max="9986" width="5" style="86" customWidth="1"/>
    <col min="9987" max="9987" width="21.42578125" style="86" customWidth="1"/>
    <col min="9988" max="9988" width="17.140625" style="86" customWidth="1"/>
    <col min="9989" max="9989" width="11.42578125" style="86" customWidth="1"/>
    <col min="9990" max="9991" width="18.5703125" style="86" customWidth="1"/>
    <col min="9992" max="10240" width="9.140625" style="86"/>
    <col min="10241" max="10241" width="5.7109375" style="86" customWidth="1"/>
    <col min="10242" max="10242" width="5" style="86" customWidth="1"/>
    <col min="10243" max="10243" width="21.42578125" style="86" customWidth="1"/>
    <col min="10244" max="10244" width="17.140625" style="86" customWidth="1"/>
    <col min="10245" max="10245" width="11.42578125" style="86" customWidth="1"/>
    <col min="10246" max="10247" width="18.5703125" style="86" customWidth="1"/>
    <col min="10248" max="10496" width="9.140625" style="86"/>
    <col min="10497" max="10497" width="5.7109375" style="86" customWidth="1"/>
    <col min="10498" max="10498" width="5" style="86" customWidth="1"/>
    <col min="10499" max="10499" width="21.42578125" style="86" customWidth="1"/>
    <col min="10500" max="10500" width="17.140625" style="86" customWidth="1"/>
    <col min="10501" max="10501" width="11.42578125" style="86" customWidth="1"/>
    <col min="10502" max="10503" width="18.5703125" style="86" customWidth="1"/>
    <col min="10504" max="10752" width="9.140625" style="86"/>
    <col min="10753" max="10753" width="5.7109375" style="86" customWidth="1"/>
    <col min="10754" max="10754" width="5" style="86" customWidth="1"/>
    <col min="10755" max="10755" width="21.42578125" style="86" customWidth="1"/>
    <col min="10756" max="10756" width="17.140625" style="86" customWidth="1"/>
    <col min="10757" max="10757" width="11.42578125" style="86" customWidth="1"/>
    <col min="10758" max="10759" width="18.5703125" style="86" customWidth="1"/>
    <col min="10760" max="11008" width="9.140625" style="86"/>
    <col min="11009" max="11009" width="5.7109375" style="86" customWidth="1"/>
    <col min="11010" max="11010" width="5" style="86" customWidth="1"/>
    <col min="11011" max="11011" width="21.42578125" style="86" customWidth="1"/>
    <col min="11012" max="11012" width="17.140625" style="86" customWidth="1"/>
    <col min="11013" max="11013" width="11.42578125" style="86" customWidth="1"/>
    <col min="11014" max="11015" width="18.5703125" style="86" customWidth="1"/>
    <col min="11016" max="11264" width="9.140625" style="86"/>
    <col min="11265" max="11265" width="5.7109375" style="86" customWidth="1"/>
    <col min="11266" max="11266" width="5" style="86" customWidth="1"/>
    <col min="11267" max="11267" width="21.42578125" style="86" customWidth="1"/>
    <col min="11268" max="11268" width="17.140625" style="86" customWidth="1"/>
    <col min="11269" max="11269" width="11.42578125" style="86" customWidth="1"/>
    <col min="11270" max="11271" width="18.5703125" style="86" customWidth="1"/>
    <col min="11272" max="11520" width="9.140625" style="86"/>
    <col min="11521" max="11521" width="5.7109375" style="86" customWidth="1"/>
    <col min="11522" max="11522" width="5" style="86" customWidth="1"/>
    <col min="11523" max="11523" width="21.42578125" style="86" customWidth="1"/>
    <col min="11524" max="11524" width="17.140625" style="86" customWidth="1"/>
    <col min="11525" max="11525" width="11.42578125" style="86" customWidth="1"/>
    <col min="11526" max="11527" width="18.5703125" style="86" customWidth="1"/>
    <col min="11528" max="11776" width="9.140625" style="86"/>
    <col min="11777" max="11777" width="5.7109375" style="86" customWidth="1"/>
    <col min="11778" max="11778" width="5" style="86" customWidth="1"/>
    <col min="11779" max="11779" width="21.42578125" style="86" customWidth="1"/>
    <col min="11780" max="11780" width="17.140625" style="86" customWidth="1"/>
    <col min="11781" max="11781" width="11.42578125" style="86" customWidth="1"/>
    <col min="11782" max="11783" width="18.5703125" style="86" customWidth="1"/>
    <col min="11784" max="12032" width="9.140625" style="86"/>
    <col min="12033" max="12033" width="5.7109375" style="86" customWidth="1"/>
    <col min="12034" max="12034" width="5" style="86" customWidth="1"/>
    <col min="12035" max="12035" width="21.42578125" style="86" customWidth="1"/>
    <col min="12036" max="12036" width="17.140625" style="86" customWidth="1"/>
    <col min="12037" max="12037" width="11.42578125" style="86" customWidth="1"/>
    <col min="12038" max="12039" width="18.5703125" style="86" customWidth="1"/>
    <col min="12040" max="12288" width="9.140625" style="86"/>
    <col min="12289" max="12289" width="5.7109375" style="86" customWidth="1"/>
    <col min="12290" max="12290" width="5" style="86" customWidth="1"/>
    <col min="12291" max="12291" width="21.42578125" style="86" customWidth="1"/>
    <col min="12292" max="12292" width="17.140625" style="86" customWidth="1"/>
    <col min="12293" max="12293" width="11.42578125" style="86" customWidth="1"/>
    <col min="12294" max="12295" width="18.5703125" style="86" customWidth="1"/>
    <col min="12296" max="12544" width="9.140625" style="86"/>
    <col min="12545" max="12545" width="5.7109375" style="86" customWidth="1"/>
    <col min="12546" max="12546" width="5" style="86" customWidth="1"/>
    <col min="12547" max="12547" width="21.42578125" style="86" customWidth="1"/>
    <col min="12548" max="12548" width="17.140625" style="86" customWidth="1"/>
    <col min="12549" max="12549" width="11.42578125" style="86" customWidth="1"/>
    <col min="12550" max="12551" width="18.5703125" style="86" customWidth="1"/>
    <col min="12552" max="12800" width="9.140625" style="86"/>
    <col min="12801" max="12801" width="5.7109375" style="86" customWidth="1"/>
    <col min="12802" max="12802" width="5" style="86" customWidth="1"/>
    <col min="12803" max="12803" width="21.42578125" style="86" customWidth="1"/>
    <col min="12804" max="12804" width="17.140625" style="86" customWidth="1"/>
    <col min="12805" max="12805" width="11.42578125" style="86" customWidth="1"/>
    <col min="12806" max="12807" width="18.5703125" style="86" customWidth="1"/>
    <col min="12808" max="13056" width="9.140625" style="86"/>
    <col min="13057" max="13057" width="5.7109375" style="86" customWidth="1"/>
    <col min="13058" max="13058" width="5" style="86" customWidth="1"/>
    <col min="13059" max="13059" width="21.42578125" style="86" customWidth="1"/>
    <col min="13060" max="13060" width="17.140625" style="86" customWidth="1"/>
    <col min="13061" max="13061" width="11.42578125" style="86" customWidth="1"/>
    <col min="13062" max="13063" width="18.5703125" style="86" customWidth="1"/>
    <col min="13064" max="13312" width="9.140625" style="86"/>
    <col min="13313" max="13313" width="5.7109375" style="86" customWidth="1"/>
    <col min="13314" max="13314" width="5" style="86" customWidth="1"/>
    <col min="13315" max="13315" width="21.42578125" style="86" customWidth="1"/>
    <col min="13316" max="13316" width="17.140625" style="86" customWidth="1"/>
    <col min="13317" max="13317" width="11.42578125" style="86" customWidth="1"/>
    <col min="13318" max="13319" width="18.5703125" style="86" customWidth="1"/>
    <col min="13320" max="13568" width="9.140625" style="86"/>
    <col min="13569" max="13569" width="5.7109375" style="86" customWidth="1"/>
    <col min="13570" max="13570" width="5" style="86" customWidth="1"/>
    <col min="13571" max="13571" width="21.42578125" style="86" customWidth="1"/>
    <col min="13572" max="13572" width="17.140625" style="86" customWidth="1"/>
    <col min="13573" max="13573" width="11.42578125" style="86" customWidth="1"/>
    <col min="13574" max="13575" width="18.5703125" style="86" customWidth="1"/>
    <col min="13576" max="13824" width="9.140625" style="86"/>
    <col min="13825" max="13825" width="5.7109375" style="86" customWidth="1"/>
    <col min="13826" max="13826" width="5" style="86" customWidth="1"/>
    <col min="13827" max="13827" width="21.42578125" style="86" customWidth="1"/>
    <col min="13828" max="13828" width="17.140625" style="86" customWidth="1"/>
    <col min="13829" max="13829" width="11.42578125" style="86" customWidth="1"/>
    <col min="13830" max="13831" width="18.5703125" style="86" customWidth="1"/>
    <col min="13832" max="14080" width="9.140625" style="86"/>
    <col min="14081" max="14081" width="5.7109375" style="86" customWidth="1"/>
    <col min="14082" max="14082" width="5" style="86" customWidth="1"/>
    <col min="14083" max="14083" width="21.42578125" style="86" customWidth="1"/>
    <col min="14084" max="14084" width="17.140625" style="86" customWidth="1"/>
    <col min="14085" max="14085" width="11.42578125" style="86" customWidth="1"/>
    <col min="14086" max="14087" width="18.5703125" style="86" customWidth="1"/>
    <col min="14088" max="14336" width="9.140625" style="86"/>
    <col min="14337" max="14337" width="5.7109375" style="86" customWidth="1"/>
    <col min="14338" max="14338" width="5" style="86" customWidth="1"/>
    <col min="14339" max="14339" width="21.42578125" style="86" customWidth="1"/>
    <col min="14340" max="14340" width="17.140625" style="86" customWidth="1"/>
    <col min="14341" max="14341" width="11.42578125" style="86" customWidth="1"/>
    <col min="14342" max="14343" width="18.5703125" style="86" customWidth="1"/>
    <col min="14344" max="14592" width="9.140625" style="86"/>
    <col min="14593" max="14593" width="5.7109375" style="86" customWidth="1"/>
    <col min="14594" max="14594" width="5" style="86" customWidth="1"/>
    <col min="14595" max="14595" width="21.42578125" style="86" customWidth="1"/>
    <col min="14596" max="14596" width="17.140625" style="86" customWidth="1"/>
    <col min="14597" max="14597" width="11.42578125" style="86" customWidth="1"/>
    <col min="14598" max="14599" width="18.5703125" style="86" customWidth="1"/>
    <col min="14600" max="14848" width="9.140625" style="86"/>
    <col min="14849" max="14849" width="5.7109375" style="86" customWidth="1"/>
    <col min="14850" max="14850" width="5" style="86" customWidth="1"/>
    <col min="14851" max="14851" width="21.42578125" style="86" customWidth="1"/>
    <col min="14852" max="14852" width="17.140625" style="86" customWidth="1"/>
    <col min="14853" max="14853" width="11.42578125" style="86" customWidth="1"/>
    <col min="14854" max="14855" width="18.5703125" style="86" customWidth="1"/>
    <col min="14856" max="15104" width="9.140625" style="86"/>
    <col min="15105" max="15105" width="5.7109375" style="86" customWidth="1"/>
    <col min="15106" max="15106" width="5" style="86" customWidth="1"/>
    <col min="15107" max="15107" width="21.42578125" style="86" customWidth="1"/>
    <col min="15108" max="15108" width="17.140625" style="86" customWidth="1"/>
    <col min="15109" max="15109" width="11.42578125" style="86" customWidth="1"/>
    <col min="15110" max="15111" width="18.5703125" style="86" customWidth="1"/>
    <col min="15112" max="15360" width="9.140625" style="86"/>
    <col min="15361" max="15361" width="5.7109375" style="86" customWidth="1"/>
    <col min="15362" max="15362" width="5" style="86" customWidth="1"/>
    <col min="15363" max="15363" width="21.42578125" style="86" customWidth="1"/>
    <col min="15364" max="15364" width="17.140625" style="86" customWidth="1"/>
    <col min="15365" max="15365" width="11.42578125" style="86" customWidth="1"/>
    <col min="15366" max="15367" width="18.5703125" style="86" customWidth="1"/>
    <col min="15368" max="15616" width="9.140625" style="86"/>
    <col min="15617" max="15617" width="5.7109375" style="86" customWidth="1"/>
    <col min="15618" max="15618" width="5" style="86" customWidth="1"/>
    <col min="15619" max="15619" width="21.42578125" style="86" customWidth="1"/>
    <col min="15620" max="15620" width="17.140625" style="86" customWidth="1"/>
    <col min="15621" max="15621" width="11.42578125" style="86" customWidth="1"/>
    <col min="15622" max="15623" width="18.5703125" style="86" customWidth="1"/>
    <col min="15624" max="15872" width="9.140625" style="86"/>
    <col min="15873" max="15873" width="5.7109375" style="86" customWidth="1"/>
    <col min="15874" max="15874" width="5" style="86" customWidth="1"/>
    <col min="15875" max="15875" width="21.42578125" style="86" customWidth="1"/>
    <col min="15876" max="15876" width="17.140625" style="86" customWidth="1"/>
    <col min="15877" max="15877" width="11.42578125" style="86" customWidth="1"/>
    <col min="15878" max="15879" width="18.5703125" style="86" customWidth="1"/>
    <col min="15880" max="16128" width="9.140625" style="86"/>
    <col min="16129" max="16129" width="5.7109375" style="86" customWidth="1"/>
    <col min="16130" max="16130" width="5" style="86" customWidth="1"/>
    <col min="16131" max="16131" width="21.42578125" style="86" customWidth="1"/>
    <col min="16132" max="16132" width="17.140625" style="86" customWidth="1"/>
    <col min="16133" max="16133" width="11.42578125" style="86" customWidth="1"/>
    <col min="16134" max="16135" width="18.5703125" style="86" customWidth="1"/>
    <col min="16136" max="16384" width="9.140625" style="86"/>
  </cols>
  <sheetData>
    <row r="1" spans="1:7" ht="30" customHeight="1">
      <c r="A1" s="294"/>
      <c r="B1" s="294"/>
      <c r="C1" s="84"/>
      <c r="D1" s="84"/>
      <c r="E1" s="332" t="s">
        <v>61</v>
      </c>
      <c r="F1" s="332"/>
      <c r="G1" s="332"/>
    </row>
    <row r="2" spans="1:7" ht="36.75" customHeight="1">
      <c r="A2" s="283" t="s">
        <v>109</v>
      </c>
      <c r="B2" s="283"/>
      <c r="C2" s="283"/>
      <c r="D2" s="283"/>
      <c r="E2" s="283"/>
      <c r="F2" s="283"/>
      <c r="G2" s="283"/>
    </row>
    <row r="3" spans="1:7" ht="6.75" customHeight="1">
      <c r="A3" s="84"/>
      <c r="B3" s="84"/>
      <c r="C3" s="84"/>
      <c r="D3" s="84"/>
      <c r="E3" s="84"/>
      <c r="F3" s="84"/>
      <c r="G3" s="84"/>
    </row>
    <row r="4" spans="1:7" ht="24.75" customHeight="1">
      <c r="A4" s="284" t="s">
        <v>110</v>
      </c>
      <c r="B4" s="284"/>
      <c r="C4" s="284"/>
      <c r="D4" s="284"/>
      <c r="E4" s="284"/>
      <c r="F4" s="284"/>
      <c r="G4" s="284"/>
    </row>
    <row r="5" spans="1:7" ht="16.5" customHeight="1">
      <c r="A5" s="285" t="s">
        <v>265</v>
      </c>
      <c r="B5" s="285"/>
      <c r="C5" s="285"/>
      <c r="D5" s="285"/>
      <c r="E5" s="285"/>
      <c r="F5" s="285"/>
      <c r="G5" s="285"/>
    </row>
    <row r="6" spans="1:7" ht="15.75" customHeight="1">
      <c r="A6" s="87" t="s">
        <v>112</v>
      </c>
      <c r="B6" s="280" t="s">
        <v>113</v>
      </c>
      <c r="C6" s="280"/>
      <c r="D6" s="280" t="s">
        <v>114</v>
      </c>
      <c r="E6" s="280"/>
      <c r="F6" s="280"/>
      <c r="G6" s="280"/>
    </row>
    <row r="7" spans="1:7" ht="15.75" customHeight="1">
      <c r="A7" s="84"/>
      <c r="B7" s="281" t="s">
        <v>115</v>
      </c>
      <c r="C7" s="281"/>
      <c r="D7" s="281" t="s">
        <v>116</v>
      </c>
      <c r="E7" s="281"/>
      <c r="F7" s="281"/>
      <c r="G7" s="281"/>
    </row>
    <row r="8" spans="1:7" ht="15.75" customHeight="1">
      <c r="A8" s="92" t="s">
        <v>117</v>
      </c>
      <c r="B8" s="280" t="s">
        <v>3</v>
      </c>
      <c r="C8" s="280"/>
      <c r="D8" s="280" t="s">
        <v>118</v>
      </c>
      <c r="E8" s="280"/>
      <c r="F8" s="280"/>
      <c r="G8" s="280"/>
    </row>
    <row r="9" spans="1:7" ht="15.75" customHeight="1">
      <c r="A9" s="84"/>
      <c r="B9" s="281" t="s">
        <v>5</v>
      </c>
      <c r="C9" s="281"/>
      <c r="D9" s="281" t="s">
        <v>6</v>
      </c>
      <c r="E9" s="281"/>
      <c r="F9" s="281"/>
      <c r="G9" s="281"/>
    </row>
    <row r="10" spans="1:7" ht="15.75" customHeight="1">
      <c r="A10" s="92" t="s">
        <v>93</v>
      </c>
      <c r="B10" s="280" t="s">
        <v>266</v>
      </c>
      <c r="C10" s="280"/>
      <c r="D10" s="280" t="s">
        <v>119</v>
      </c>
      <c r="E10" s="280"/>
      <c r="F10" s="280"/>
      <c r="G10" s="280"/>
    </row>
    <row r="11" spans="1:7" ht="15.75" customHeight="1">
      <c r="A11" s="84"/>
      <c r="B11" s="281" t="s">
        <v>120</v>
      </c>
      <c r="C11" s="281"/>
      <c r="D11" s="281" t="s">
        <v>121</v>
      </c>
      <c r="E11" s="281"/>
      <c r="F11" s="281"/>
      <c r="G11" s="281"/>
    </row>
    <row r="12" spans="1:7" ht="15.75" customHeight="1">
      <c r="A12" s="92" t="s">
        <v>99</v>
      </c>
      <c r="B12" s="280" t="s">
        <v>15</v>
      </c>
      <c r="C12" s="280"/>
      <c r="D12" s="287">
        <v>44322</v>
      </c>
      <c r="E12" s="280"/>
      <c r="F12" s="280"/>
      <c r="G12" s="280"/>
    </row>
    <row r="13" spans="1:7" ht="15.75" customHeight="1">
      <c r="A13" s="84"/>
      <c r="B13" s="281" t="s">
        <v>16</v>
      </c>
      <c r="C13" s="281"/>
      <c r="D13" s="288">
        <v>44322</v>
      </c>
      <c r="E13" s="281"/>
      <c r="F13" s="281"/>
      <c r="G13" s="281"/>
    </row>
    <row r="14" spans="1:7" ht="9.75" customHeight="1">
      <c r="A14" s="84"/>
      <c r="B14" s="84"/>
      <c r="C14" s="84"/>
      <c r="D14" s="93"/>
      <c r="E14" s="333"/>
      <c r="F14" s="333"/>
      <c r="G14" s="333"/>
    </row>
    <row r="15" spans="1:7" ht="15.75" customHeight="1">
      <c r="A15" s="289" t="s">
        <v>267</v>
      </c>
      <c r="B15" s="289"/>
      <c r="C15" s="289"/>
      <c r="D15" s="289"/>
      <c r="E15" s="289"/>
      <c r="F15" s="289"/>
      <c r="G15" s="289"/>
    </row>
    <row r="16" spans="1:7" ht="15.75" customHeight="1">
      <c r="A16" s="280" t="s">
        <v>411</v>
      </c>
      <c r="B16" s="280"/>
      <c r="C16" s="280"/>
      <c r="D16" s="280"/>
      <c r="E16" s="280"/>
      <c r="F16" s="280"/>
      <c r="G16" s="280"/>
    </row>
    <row r="17" spans="1:7" ht="11.25" customHeight="1">
      <c r="A17" s="95"/>
      <c r="B17" s="136"/>
      <c r="C17" s="95"/>
      <c r="D17" s="290" t="s">
        <v>126</v>
      </c>
      <c r="E17" s="290"/>
      <c r="F17" s="290"/>
      <c r="G17" s="290"/>
    </row>
    <row r="18" spans="1:7" ht="23.25" customHeight="1">
      <c r="A18" s="97" t="s">
        <v>412</v>
      </c>
      <c r="B18" s="335" t="s">
        <v>270</v>
      </c>
      <c r="C18" s="335"/>
      <c r="D18" s="335"/>
      <c r="E18" s="98" t="s">
        <v>70</v>
      </c>
      <c r="F18" s="98" t="s">
        <v>271</v>
      </c>
      <c r="G18" s="99" t="s">
        <v>272</v>
      </c>
    </row>
    <row r="19" spans="1:7" ht="21" customHeight="1">
      <c r="A19" s="100" t="s">
        <v>83</v>
      </c>
      <c r="B19" s="334" t="s">
        <v>413</v>
      </c>
      <c r="C19" s="334"/>
      <c r="D19" s="334"/>
      <c r="E19" s="224" t="s">
        <v>414</v>
      </c>
      <c r="F19" s="138">
        <v>0</v>
      </c>
      <c r="G19" s="139">
        <v>0</v>
      </c>
    </row>
    <row r="20" spans="1:7" ht="33.75" customHeight="1">
      <c r="A20" s="100" t="s">
        <v>112</v>
      </c>
      <c r="B20" s="334" t="s">
        <v>415</v>
      </c>
      <c r="C20" s="334"/>
      <c r="D20" s="334"/>
      <c r="E20" s="224" t="s">
        <v>416</v>
      </c>
      <c r="F20" s="142">
        <v>7.8960000000000002E-3</v>
      </c>
      <c r="G20" s="105">
        <v>8.1538118550618446E-3</v>
      </c>
    </row>
    <row r="21" spans="1:7" ht="33.75" customHeight="1">
      <c r="A21" s="100" t="s">
        <v>117</v>
      </c>
      <c r="B21" s="334" t="s">
        <v>417</v>
      </c>
      <c r="C21" s="334"/>
      <c r="D21" s="334"/>
      <c r="E21" s="224" t="s">
        <v>418</v>
      </c>
      <c r="F21" s="142">
        <v>7.0799999999999997E-4</v>
      </c>
      <c r="G21" s="105">
        <v>7.1466743826064869E-4</v>
      </c>
    </row>
    <row r="22" spans="1:7" ht="45" customHeight="1">
      <c r="A22" s="100" t="s">
        <v>93</v>
      </c>
      <c r="B22" s="334" t="s">
        <v>419</v>
      </c>
      <c r="C22" s="334"/>
      <c r="D22" s="334"/>
      <c r="E22" s="224" t="s">
        <v>420</v>
      </c>
      <c r="F22" s="142">
        <v>1.3680000000000001E-3</v>
      </c>
      <c r="G22" s="105">
        <v>1.1485467427306249E-3</v>
      </c>
    </row>
    <row r="23" spans="1:7" ht="33.75" customHeight="1">
      <c r="A23" s="100" t="s">
        <v>99</v>
      </c>
      <c r="B23" s="334" t="s">
        <v>421</v>
      </c>
      <c r="C23" s="334"/>
      <c r="D23" s="334"/>
      <c r="E23" s="224" t="s">
        <v>422</v>
      </c>
      <c r="F23" s="142">
        <v>1.2E-5</v>
      </c>
      <c r="G23" s="105">
        <v>1.1912635863726936E-5</v>
      </c>
    </row>
    <row r="24" spans="1:7" ht="45" customHeight="1">
      <c r="A24" s="100" t="s">
        <v>143</v>
      </c>
      <c r="B24" s="334" t="s">
        <v>423</v>
      </c>
      <c r="C24" s="334"/>
      <c r="D24" s="334"/>
      <c r="E24" s="224"/>
      <c r="F24" s="140">
        <v>0</v>
      </c>
      <c r="G24" s="141">
        <v>0</v>
      </c>
    </row>
    <row r="25" spans="1:7" ht="45" customHeight="1">
      <c r="A25" s="100" t="s">
        <v>146</v>
      </c>
      <c r="B25" s="334" t="s">
        <v>424</v>
      </c>
      <c r="C25" s="334"/>
      <c r="D25" s="334"/>
      <c r="E25" s="224"/>
      <c r="F25" s="140">
        <v>0</v>
      </c>
      <c r="G25" s="141">
        <v>0</v>
      </c>
    </row>
    <row r="26" spans="1:7" ht="54" customHeight="1">
      <c r="A26" s="100" t="s">
        <v>149</v>
      </c>
      <c r="B26" s="334" t="s">
        <v>425</v>
      </c>
      <c r="C26" s="334"/>
      <c r="D26" s="334"/>
      <c r="E26" s="224" t="s">
        <v>426</v>
      </c>
      <c r="F26" s="142">
        <v>1.2E-5</v>
      </c>
      <c r="G26" s="105">
        <v>1.2450604193680606E-5</v>
      </c>
    </row>
    <row r="27" spans="1:7" ht="25.5" customHeight="1">
      <c r="A27" s="100" t="s">
        <v>152</v>
      </c>
      <c r="B27" s="334" t="s">
        <v>427</v>
      </c>
      <c r="C27" s="334"/>
      <c r="D27" s="334"/>
      <c r="E27" s="224" t="s">
        <v>428</v>
      </c>
      <c r="F27" s="142">
        <v>1.3691999999999999E-2</v>
      </c>
      <c r="G27" s="105">
        <v>1.0234792168387829E-2</v>
      </c>
    </row>
    <row r="28" spans="1:7" ht="56.25" customHeight="1">
      <c r="A28" s="100" t="s">
        <v>155</v>
      </c>
      <c r="B28" s="334" t="s">
        <v>429</v>
      </c>
      <c r="C28" s="334"/>
      <c r="D28" s="334"/>
      <c r="E28" s="224" t="s">
        <v>430</v>
      </c>
      <c r="F28" s="142">
        <v>1.4214119999999999</v>
      </c>
      <c r="G28" s="105">
        <v>5.8385673484189653E-2</v>
      </c>
    </row>
    <row r="29" spans="1:7" ht="45" customHeight="1">
      <c r="A29" s="100" t="s">
        <v>158</v>
      </c>
      <c r="B29" s="334" t="s">
        <v>431</v>
      </c>
      <c r="C29" s="334"/>
      <c r="D29" s="334"/>
      <c r="E29" s="224"/>
      <c r="F29" s="140">
        <v>0</v>
      </c>
      <c r="G29" s="141">
        <v>0</v>
      </c>
    </row>
    <row r="30" spans="1:7" ht="24" customHeight="1">
      <c r="A30" s="100" t="s">
        <v>88</v>
      </c>
      <c r="B30" s="334" t="s">
        <v>432</v>
      </c>
      <c r="C30" s="334"/>
      <c r="D30" s="334"/>
      <c r="E30" s="224" t="s">
        <v>433</v>
      </c>
      <c r="F30" s="138">
        <v>0</v>
      </c>
      <c r="G30" s="139">
        <v>0</v>
      </c>
    </row>
    <row r="31" spans="1:7" ht="24" customHeight="1">
      <c r="A31" s="100" t="s">
        <v>112</v>
      </c>
      <c r="B31" s="334" t="s">
        <v>434</v>
      </c>
      <c r="C31" s="334"/>
      <c r="D31" s="334"/>
      <c r="E31" s="224" t="s">
        <v>435</v>
      </c>
      <c r="F31" s="140">
        <v>4939000000000</v>
      </c>
      <c r="G31" s="141">
        <v>4513000000000</v>
      </c>
    </row>
    <row r="32" spans="1:7" ht="24" customHeight="1">
      <c r="A32" s="100"/>
      <c r="B32" s="334" t="s">
        <v>436</v>
      </c>
      <c r="C32" s="334"/>
      <c r="D32" s="334"/>
      <c r="E32" s="224" t="s">
        <v>437</v>
      </c>
      <c r="F32" s="140">
        <v>4939000000000</v>
      </c>
      <c r="G32" s="141">
        <v>4513000000000</v>
      </c>
    </row>
    <row r="33" spans="1:8" ht="24" customHeight="1">
      <c r="A33" s="100"/>
      <c r="B33" s="334" t="s">
        <v>438</v>
      </c>
      <c r="C33" s="334"/>
      <c r="D33" s="334"/>
      <c r="E33" s="224" t="s">
        <v>439</v>
      </c>
      <c r="F33" s="140">
        <v>493900000</v>
      </c>
      <c r="G33" s="141">
        <v>451300000</v>
      </c>
    </row>
    <row r="34" spans="1:8" ht="24" customHeight="1">
      <c r="A34" s="100" t="s">
        <v>117</v>
      </c>
      <c r="B34" s="334" t="s">
        <v>440</v>
      </c>
      <c r="C34" s="334"/>
      <c r="D34" s="334"/>
      <c r="E34" s="224" t="s">
        <v>441</v>
      </c>
      <c r="F34" s="140">
        <v>294000000000</v>
      </c>
      <c r="G34" s="141">
        <v>426000000000</v>
      </c>
    </row>
    <row r="35" spans="1:8" ht="24" customHeight="1">
      <c r="A35" s="100"/>
      <c r="B35" s="334" t="s">
        <v>442</v>
      </c>
      <c r="C35" s="334"/>
      <c r="D35" s="334"/>
      <c r="E35" s="224" t="s">
        <v>443</v>
      </c>
      <c r="F35" s="140">
        <v>29400000</v>
      </c>
      <c r="G35" s="141">
        <v>42600000</v>
      </c>
    </row>
    <row r="36" spans="1:8" ht="24" customHeight="1">
      <c r="A36" s="100"/>
      <c r="B36" s="334" t="s">
        <v>444</v>
      </c>
      <c r="C36" s="334"/>
      <c r="D36" s="334"/>
      <c r="E36" s="224" t="s">
        <v>445</v>
      </c>
      <c r="F36" s="140">
        <v>294000000000</v>
      </c>
      <c r="G36" s="141">
        <v>426000000000</v>
      </c>
    </row>
    <row r="37" spans="1:8" ht="24" customHeight="1">
      <c r="A37" s="100"/>
      <c r="B37" s="334" t="s">
        <v>446</v>
      </c>
      <c r="C37" s="334"/>
      <c r="D37" s="334"/>
      <c r="E37" s="224" t="s">
        <v>447</v>
      </c>
      <c r="F37" s="140">
        <v>32300000</v>
      </c>
      <c r="G37" s="141">
        <v>43000000</v>
      </c>
    </row>
    <row r="38" spans="1:8" ht="24" customHeight="1">
      <c r="A38" s="100"/>
      <c r="B38" s="334" t="s">
        <v>448</v>
      </c>
      <c r="C38" s="334"/>
      <c r="D38" s="334"/>
      <c r="E38" s="224" t="s">
        <v>449</v>
      </c>
      <c r="F38" s="140">
        <v>323000000000</v>
      </c>
      <c r="G38" s="141">
        <v>430000000000</v>
      </c>
    </row>
    <row r="39" spans="1:8" ht="24" customHeight="1">
      <c r="A39" s="100"/>
      <c r="B39" s="334" t="s">
        <v>450</v>
      </c>
      <c r="C39" s="334"/>
      <c r="D39" s="334"/>
      <c r="E39" s="224" t="s">
        <v>451</v>
      </c>
      <c r="F39" s="212">
        <v>-2900000</v>
      </c>
      <c r="G39" s="185">
        <v>-400000</v>
      </c>
    </row>
    <row r="40" spans="1:8" ht="24" customHeight="1">
      <c r="A40" s="100"/>
      <c r="B40" s="334" t="s">
        <v>452</v>
      </c>
      <c r="C40" s="334"/>
      <c r="D40" s="334"/>
      <c r="E40" s="224" t="s">
        <v>453</v>
      </c>
      <c r="F40" s="212">
        <v>-29000000000</v>
      </c>
      <c r="G40" s="185">
        <v>-4000000000</v>
      </c>
    </row>
    <row r="41" spans="1:8" ht="24" customHeight="1">
      <c r="A41" s="100" t="s">
        <v>93</v>
      </c>
      <c r="B41" s="334" t="s">
        <v>454</v>
      </c>
      <c r="C41" s="334"/>
      <c r="D41" s="334"/>
      <c r="E41" s="224" t="s">
        <v>455</v>
      </c>
      <c r="F41" s="140">
        <v>5233000000000</v>
      </c>
      <c r="G41" s="141">
        <v>4939000000000</v>
      </c>
      <c r="H41" s="213"/>
    </row>
    <row r="42" spans="1:8" ht="24" customHeight="1">
      <c r="A42" s="100"/>
      <c r="B42" s="334" t="s">
        <v>456</v>
      </c>
      <c r="C42" s="334"/>
      <c r="D42" s="334"/>
      <c r="E42" s="224" t="s">
        <v>457</v>
      </c>
      <c r="F42" s="140">
        <v>5233000000000</v>
      </c>
      <c r="G42" s="141">
        <v>4939000000000</v>
      </c>
    </row>
    <row r="43" spans="1:8" ht="24" customHeight="1">
      <c r="A43" s="100"/>
      <c r="B43" s="334" t="s">
        <v>458</v>
      </c>
      <c r="C43" s="334"/>
      <c r="D43" s="334"/>
      <c r="E43" s="224" t="s">
        <v>459</v>
      </c>
      <c r="F43" s="140">
        <v>523300000</v>
      </c>
      <c r="G43" s="141">
        <v>493900000</v>
      </c>
    </row>
    <row r="44" spans="1:8" ht="45" customHeight="1">
      <c r="A44" s="100" t="s">
        <v>99</v>
      </c>
      <c r="B44" s="334" t="s">
        <v>460</v>
      </c>
      <c r="C44" s="334"/>
      <c r="D44" s="334"/>
      <c r="E44" s="224" t="s">
        <v>461</v>
      </c>
      <c r="F44" s="214">
        <v>3.53484E-3</v>
      </c>
      <c r="G44" s="105">
        <v>3.7345299999999998E-3</v>
      </c>
    </row>
    <row r="45" spans="1:8" ht="24" customHeight="1">
      <c r="A45" s="100" t="s">
        <v>143</v>
      </c>
      <c r="B45" s="334" t="s">
        <v>462</v>
      </c>
      <c r="C45" s="334"/>
      <c r="D45" s="334"/>
      <c r="E45" s="224" t="s">
        <v>463</v>
      </c>
      <c r="F45" s="214">
        <v>0.65325661000000002</v>
      </c>
      <c r="G45" s="105">
        <v>0.64077455000000005</v>
      </c>
    </row>
    <row r="46" spans="1:8" ht="24" customHeight="1">
      <c r="A46" s="100" t="s">
        <v>146</v>
      </c>
      <c r="B46" s="334" t="s">
        <v>464</v>
      </c>
      <c r="C46" s="334"/>
      <c r="D46" s="334"/>
      <c r="E46" s="224" t="s">
        <v>465</v>
      </c>
      <c r="F46" s="214">
        <v>0.99131862000000104</v>
      </c>
      <c r="G46" s="105">
        <v>0.99127330000000058</v>
      </c>
    </row>
    <row r="47" spans="1:8" ht="24" customHeight="1">
      <c r="A47" s="100" t="s">
        <v>149</v>
      </c>
      <c r="B47" s="334" t="s">
        <v>466</v>
      </c>
      <c r="C47" s="334"/>
      <c r="D47" s="334"/>
      <c r="E47" s="224" t="s">
        <v>467</v>
      </c>
      <c r="F47" s="103">
        <v>21464.05</v>
      </c>
      <c r="G47" s="143">
        <v>19840.2</v>
      </c>
    </row>
    <row r="48" spans="1:8" ht="24" customHeight="1">
      <c r="A48" s="100" t="s">
        <v>152</v>
      </c>
      <c r="B48" s="334" t="s">
        <v>468</v>
      </c>
      <c r="C48" s="334"/>
      <c r="D48" s="334"/>
      <c r="E48" s="224" t="s">
        <v>469</v>
      </c>
      <c r="F48" s="140">
        <v>21900</v>
      </c>
      <c r="G48" s="141">
        <v>19890</v>
      </c>
    </row>
    <row r="49" spans="1:7" ht="24" customHeight="1">
      <c r="A49" s="106" t="s">
        <v>155</v>
      </c>
      <c r="B49" s="336" t="s">
        <v>470</v>
      </c>
      <c r="C49" s="336"/>
      <c r="D49" s="336"/>
      <c r="E49" s="227" t="s">
        <v>82</v>
      </c>
      <c r="F49" s="215">
        <v>1634</v>
      </c>
      <c r="G49" s="144">
        <v>1518</v>
      </c>
    </row>
    <row r="50" spans="1:7" ht="6.75" customHeight="1">
      <c r="A50" s="84"/>
      <c r="B50" s="84"/>
      <c r="C50" s="84"/>
      <c r="D50" s="84"/>
      <c r="E50" s="84"/>
      <c r="F50" s="84"/>
      <c r="G50" s="84"/>
    </row>
    <row r="51" spans="1:7" ht="15.75" customHeight="1">
      <c r="A51" s="296" t="s">
        <v>471</v>
      </c>
      <c r="B51" s="296"/>
      <c r="C51" s="296"/>
      <c r="D51" s="296"/>
      <c r="E51" s="296"/>
      <c r="F51" s="296"/>
      <c r="G51" s="296"/>
    </row>
    <row r="52" spans="1:7" ht="45" customHeight="1">
      <c r="A52" s="291" t="s">
        <v>472</v>
      </c>
      <c r="B52" s="291"/>
      <c r="C52" s="291"/>
      <c r="D52" s="291"/>
      <c r="E52" s="291"/>
      <c r="F52" s="291"/>
      <c r="G52" s="291"/>
    </row>
    <row r="53" spans="1:7" ht="45" customHeight="1">
      <c r="A53" s="291" t="s">
        <v>473</v>
      </c>
      <c r="B53" s="291"/>
      <c r="C53" s="291"/>
      <c r="D53" s="291"/>
      <c r="E53" s="291"/>
      <c r="F53" s="291"/>
      <c r="G53" s="291"/>
    </row>
    <row r="54" spans="1:7" ht="11.25" customHeight="1">
      <c r="A54" s="84"/>
      <c r="B54" s="145"/>
      <c r="C54" s="84"/>
      <c r="D54" s="84"/>
      <c r="E54" s="84"/>
      <c r="F54" s="84"/>
      <c r="G54" s="84"/>
    </row>
    <row r="55" spans="1:7" ht="14.25" customHeight="1">
      <c r="A55" s="286" t="s">
        <v>474</v>
      </c>
      <c r="B55" s="286"/>
      <c r="C55" s="286"/>
      <c r="D55" s="286"/>
      <c r="E55" s="292" t="s">
        <v>105</v>
      </c>
      <c r="F55" s="292"/>
      <c r="G55" s="292"/>
    </row>
    <row r="56" spans="1:7" ht="12" customHeight="1">
      <c r="A56" s="293" t="s">
        <v>20</v>
      </c>
      <c r="B56" s="293"/>
      <c r="C56" s="293"/>
      <c r="D56" s="293"/>
      <c r="E56" s="285" t="s">
        <v>21</v>
      </c>
      <c r="F56" s="285"/>
      <c r="G56" s="285"/>
    </row>
    <row r="57" spans="1:7" ht="15" customHeight="1">
      <c r="A57" s="84"/>
      <c r="B57" s="84"/>
      <c r="C57" s="84"/>
      <c r="D57" s="84"/>
      <c r="E57" s="84"/>
      <c r="F57" s="84"/>
      <c r="G57" s="84"/>
    </row>
    <row r="58" spans="1:7" ht="15" customHeight="1">
      <c r="A58" s="84"/>
      <c r="B58" s="84"/>
      <c r="C58" s="84"/>
      <c r="D58" s="84"/>
      <c r="E58" s="84"/>
      <c r="F58" s="84"/>
      <c r="G58" s="84"/>
    </row>
    <row r="59" spans="1:7" ht="15.75" customHeight="1">
      <c r="A59" s="84"/>
      <c r="B59" s="84"/>
      <c r="C59" s="84"/>
      <c r="D59" s="84"/>
      <c r="E59" s="84"/>
      <c r="F59" s="84"/>
      <c r="G59" s="84"/>
    </row>
    <row r="60" spans="1:7" ht="15" customHeight="1">
      <c r="A60" s="84"/>
      <c r="B60" s="84"/>
      <c r="C60" s="84"/>
      <c r="D60" s="84"/>
      <c r="E60" s="84"/>
      <c r="F60" s="84"/>
      <c r="G60" s="84"/>
    </row>
    <row r="61" spans="1:7" ht="15.75" customHeight="1">
      <c r="A61" s="84"/>
      <c r="B61" s="84"/>
      <c r="C61" s="84"/>
      <c r="D61" s="84"/>
      <c r="E61" s="84"/>
      <c r="F61" s="84"/>
      <c r="G61" s="84"/>
    </row>
    <row r="62" spans="1:7" ht="15.75" customHeight="1">
      <c r="A62" s="84"/>
      <c r="B62" s="84"/>
      <c r="C62" s="84"/>
      <c r="D62" s="84"/>
      <c r="E62" s="84"/>
      <c r="F62" s="84"/>
      <c r="G62" s="84"/>
    </row>
    <row r="63" spans="1:7" ht="15.75" customHeight="1">
      <c r="A63" s="292" t="s">
        <v>261</v>
      </c>
      <c r="B63" s="292"/>
      <c r="C63" s="292"/>
      <c r="D63" s="292"/>
      <c r="E63" s="292" t="s">
        <v>262</v>
      </c>
      <c r="F63" s="292"/>
      <c r="G63" s="292"/>
    </row>
    <row r="64" spans="1:7" ht="15.75" customHeight="1">
      <c r="A64" s="292" t="s">
        <v>263</v>
      </c>
      <c r="B64" s="292"/>
      <c r="C64" s="292"/>
      <c r="D64" s="292"/>
      <c r="E64" s="292" t="s">
        <v>1002</v>
      </c>
      <c r="F64" s="292"/>
      <c r="G64" s="292"/>
    </row>
    <row r="65" spans="1:7" ht="15.75" customHeight="1">
      <c r="A65" s="292" t="s">
        <v>264</v>
      </c>
      <c r="B65" s="292"/>
      <c r="C65" s="292"/>
      <c r="D65" s="292"/>
      <c r="E65" s="292" t="s">
        <v>107</v>
      </c>
      <c r="F65" s="292"/>
      <c r="G65" s="292"/>
    </row>
  </sheetData>
  <mergeCells count="70">
    <mergeCell ref="A64:D64"/>
    <mergeCell ref="E64:G64"/>
    <mergeCell ref="A65:D65"/>
    <mergeCell ref="E65:G65"/>
    <mergeCell ref="A55:D55"/>
    <mergeCell ref="E55:G55"/>
    <mergeCell ref="A56:D56"/>
    <mergeCell ref="E56:G56"/>
    <mergeCell ref="A63:D63"/>
    <mergeCell ref="E63:G63"/>
    <mergeCell ref="A53:G53"/>
    <mergeCell ref="B41:D41"/>
    <mergeCell ref="B42:D42"/>
    <mergeCell ref="B43:D43"/>
    <mergeCell ref="B44:D44"/>
    <mergeCell ref="B45:D45"/>
    <mergeCell ref="B46:D46"/>
    <mergeCell ref="B47:D47"/>
    <mergeCell ref="B48:D48"/>
    <mergeCell ref="B49:D49"/>
    <mergeCell ref="A51:G51"/>
    <mergeCell ref="A52:G52"/>
    <mergeCell ref="B40:D40"/>
    <mergeCell ref="B29:D29"/>
    <mergeCell ref="B30:D30"/>
    <mergeCell ref="B31:D31"/>
    <mergeCell ref="B32:D32"/>
    <mergeCell ref="B33:D33"/>
    <mergeCell ref="B34:D34"/>
    <mergeCell ref="B35:D35"/>
    <mergeCell ref="B36:D36"/>
    <mergeCell ref="B37:D37"/>
    <mergeCell ref="B38:D38"/>
    <mergeCell ref="B39:D39"/>
    <mergeCell ref="B28:D28"/>
    <mergeCell ref="B18:D18"/>
    <mergeCell ref="B19:D19"/>
    <mergeCell ref="B20:D20"/>
    <mergeCell ref="B21:D21"/>
    <mergeCell ref="B22:D22"/>
    <mergeCell ref="B23:D23"/>
    <mergeCell ref="B24:D24"/>
    <mergeCell ref="B25:D25"/>
    <mergeCell ref="B26:D26"/>
    <mergeCell ref="B27:D27"/>
    <mergeCell ref="D17:G17"/>
    <mergeCell ref="B10:C10"/>
    <mergeCell ref="D10:G10"/>
    <mergeCell ref="B11:C11"/>
    <mergeCell ref="D11:G11"/>
    <mergeCell ref="B12:C12"/>
    <mergeCell ref="D12:G12"/>
    <mergeCell ref="B13:C13"/>
    <mergeCell ref="D13:G13"/>
    <mergeCell ref="E14:G14"/>
    <mergeCell ref="A15:G15"/>
    <mergeCell ref="A16:G16"/>
    <mergeCell ref="B7:C7"/>
    <mergeCell ref="D7:G7"/>
    <mergeCell ref="B8:C8"/>
    <mergeCell ref="D8:G8"/>
    <mergeCell ref="B9:C9"/>
    <mergeCell ref="D9:G9"/>
    <mergeCell ref="B6:C6"/>
    <mergeCell ref="D6:G6"/>
    <mergeCell ref="A1:B1"/>
    <mergeCell ref="E1:G1"/>
    <mergeCell ref="A2:G2"/>
    <mergeCell ref="A4:G4"/>
    <mergeCell ref="A5:G5"/>
  </mergeCells>
  <printOptions horizontalCentered="1"/>
  <pageMargins left="0" right="0" top="0.36" bottom="0.31" header="0.33" footer="0.26"/>
  <pageSetup paperSize="9" fitToHeight="2"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88"/>
  <sheetViews>
    <sheetView showGridLines="0" showZeros="0" showOutlineSymbols="0" view="pageBreakPreview" topLeftCell="A79" zoomScaleNormal="100" zoomScaleSheetLayoutView="100" workbookViewId="0">
      <selection activeCell="F88" sqref="F88:G88"/>
    </sheetView>
  </sheetViews>
  <sheetFormatPr defaultRowHeight="10.5"/>
  <cols>
    <col min="1" max="1" width="33.7109375" style="146" customWidth="1"/>
    <col min="2" max="2" width="8.5703125" style="146" customWidth="1"/>
    <col min="3" max="3" width="6.85546875" style="146" customWidth="1"/>
    <col min="4" max="7" width="16.42578125" style="146" customWidth="1"/>
    <col min="8" max="256" width="9.140625" style="146"/>
    <col min="257" max="257" width="35.7109375" style="146" customWidth="1"/>
    <col min="258" max="259" width="8.5703125" style="146" customWidth="1"/>
    <col min="260" max="263" width="16.42578125" style="146" customWidth="1"/>
    <col min="264" max="512" width="9.140625" style="146"/>
    <col min="513" max="513" width="35.7109375" style="146" customWidth="1"/>
    <col min="514" max="515" width="8.5703125" style="146" customWidth="1"/>
    <col min="516" max="519" width="16.42578125" style="146" customWidth="1"/>
    <col min="520" max="768" width="9.140625" style="146"/>
    <col min="769" max="769" width="35.7109375" style="146" customWidth="1"/>
    <col min="770" max="771" width="8.5703125" style="146" customWidth="1"/>
    <col min="772" max="775" width="16.42578125" style="146" customWidth="1"/>
    <col min="776" max="1024" width="9.140625" style="146"/>
    <col min="1025" max="1025" width="35.7109375" style="146" customWidth="1"/>
    <col min="1026" max="1027" width="8.5703125" style="146" customWidth="1"/>
    <col min="1028" max="1031" width="16.42578125" style="146" customWidth="1"/>
    <col min="1032" max="1280" width="9.140625" style="146"/>
    <col min="1281" max="1281" width="35.7109375" style="146" customWidth="1"/>
    <col min="1282" max="1283" width="8.5703125" style="146" customWidth="1"/>
    <col min="1284" max="1287" width="16.42578125" style="146" customWidth="1"/>
    <col min="1288" max="1536" width="9.140625" style="146"/>
    <col min="1537" max="1537" width="35.7109375" style="146" customWidth="1"/>
    <col min="1538" max="1539" width="8.5703125" style="146" customWidth="1"/>
    <col min="1540" max="1543" width="16.42578125" style="146" customWidth="1"/>
    <col min="1544" max="1792" width="9.140625" style="146"/>
    <col min="1793" max="1793" width="35.7109375" style="146" customWidth="1"/>
    <col min="1794" max="1795" width="8.5703125" style="146" customWidth="1"/>
    <col min="1796" max="1799" width="16.42578125" style="146" customWidth="1"/>
    <col min="1800" max="2048" width="9.140625" style="146"/>
    <col min="2049" max="2049" width="35.7109375" style="146" customWidth="1"/>
    <col min="2050" max="2051" width="8.5703125" style="146" customWidth="1"/>
    <col min="2052" max="2055" width="16.42578125" style="146" customWidth="1"/>
    <col min="2056" max="2304" width="9.140625" style="146"/>
    <col min="2305" max="2305" width="35.7109375" style="146" customWidth="1"/>
    <col min="2306" max="2307" width="8.5703125" style="146" customWidth="1"/>
    <col min="2308" max="2311" width="16.42578125" style="146" customWidth="1"/>
    <col min="2312" max="2560" width="9.140625" style="146"/>
    <col min="2561" max="2561" width="35.7109375" style="146" customWidth="1"/>
    <col min="2562" max="2563" width="8.5703125" style="146" customWidth="1"/>
    <col min="2564" max="2567" width="16.42578125" style="146" customWidth="1"/>
    <col min="2568" max="2816" width="9.140625" style="146"/>
    <col min="2817" max="2817" width="35.7109375" style="146" customWidth="1"/>
    <col min="2818" max="2819" width="8.5703125" style="146" customWidth="1"/>
    <col min="2820" max="2823" width="16.42578125" style="146" customWidth="1"/>
    <col min="2824" max="3072" width="9.140625" style="146"/>
    <col min="3073" max="3073" width="35.7109375" style="146" customWidth="1"/>
    <col min="3074" max="3075" width="8.5703125" style="146" customWidth="1"/>
    <col min="3076" max="3079" width="16.42578125" style="146" customWidth="1"/>
    <col min="3080" max="3328" width="9.140625" style="146"/>
    <col min="3329" max="3329" width="35.7109375" style="146" customWidth="1"/>
    <col min="3330" max="3331" width="8.5703125" style="146" customWidth="1"/>
    <col min="3332" max="3335" width="16.42578125" style="146" customWidth="1"/>
    <col min="3336" max="3584" width="9.140625" style="146"/>
    <col min="3585" max="3585" width="35.7109375" style="146" customWidth="1"/>
    <col min="3586" max="3587" width="8.5703125" style="146" customWidth="1"/>
    <col min="3588" max="3591" width="16.42578125" style="146" customWidth="1"/>
    <col min="3592" max="3840" width="9.140625" style="146"/>
    <col min="3841" max="3841" width="35.7109375" style="146" customWidth="1"/>
    <col min="3842" max="3843" width="8.5703125" style="146" customWidth="1"/>
    <col min="3844" max="3847" width="16.42578125" style="146" customWidth="1"/>
    <col min="3848" max="4096" width="9.140625" style="146"/>
    <col min="4097" max="4097" width="35.7109375" style="146" customWidth="1"/>
    <col min="4098" max="4099" width="8.5703125" style="146" customWidth="1"/>
    <col min="4100" max="4103" width="16.42578125" style="146" customWidth="1"/>
    <col min="4104" max="4352" width="9.140625" style="146"/>
    <col min="4353" max="4353" width="35.7109375" style="146" customWidth="1"/>
    <col min="4354" max="4355" width="8.5703125" style="146" customWidth="1"/>
    <col min="4356" max="4359" width="16.42578125" style="146" customWidth="1"/>
    <col min="4360" max="4608" width="9.140625" style="146"/>
    <col min="4609" max="4609" width="35.7109375" style="146" customWidth="1"/>
    <col min="4610" max="4611" width="8.5703125" style="146" customWidth="1"/>
    <col min="4612" max="4615" width="16.42578125" style="146" customWidth="1"/>
    <col min="4616" max="4864" width="9.140625" style="146"/>
    <col min="4865" max="4865" width="35.7109375" style="146" customWidth="1"/>
    <col min="4866" max="4867" width="8.5703125" style="146" customWidth="1"/>
    <col min="4868" max="4871" width="16.42578125" style="146" customWidth="1"/>
    <col min="4872" max="5120" width="9.140625" style="146"/>
    <col min="5121" max="5121" width="35.7109375" style="146" customWidth="1"/>
    <col min="5122" max="5123" width="8.5703125" style="146" customWidth="1"/>
    <col min="5124" max="5127" width="16.42578125" style="146" customWidth="1"/>
    <col min="5128" max="5376" width="9.140625" style="146"/>
    <col min="5377" max="5377" width="35.7109375" style="146" customWidth="1"/>
    <col min="5378" max="5379" width="8.5703125" style="146" customWidth="1"/>
    <col min="5380" max="5383" width="16.42578125" style="146" customWidth="1"/>
    <col min="5384" max="5632" width="9.140625" style="146"/>
    <col min="5633" max="5633" width="35.7109375" style="146" customWidth="1"/>
    <col min="5634" max="5635" width="8.5703125" style="146" customWidth="1"/>
    <col min="5636" max="5639" width="16.42578125" style="146" customWidth="1"/>
    <col min="5640" max="5888" width="9.140625" style="146"/>
    <col min="5889" max="5889" width="35.7109375" style="146" customWidth="1"/>
    <col min="5890" max="5891" width="8.5703125" style="146" customWidth="1"/>
    <col min="5892" max="5895" width="16.42578125" style="146" customWidth="1"/>
    <col min="5896" max="6144" width="9.140625" style="146"/>
    <col min="6145" max="6145" width="35.7109375" style="146" customWidth="1"/>
    <col min="6146" max="6147" width="8.5703125" style="146" customWidth="1"/>
    <col min="6148" max="6151" width="16.42578125" style="146" customWidth="1"/>
    <col min="6152" max="6400" width="9.140625" style="146"/>
    <col min="6401" max="6401" width="35.7109375" style="146" customWidth="1"/>
    <col min="6402" max="6403" width="8.5703125" style="146" customWidth="1"/>
    <col min="6404" max="6407" width="16.42578125" style="146" customWidth="1"/>
    <col min="6408" max="6656" width="9.140625" style="146"/>
    <col min="6657" max="6657" width="35.7109375" style="146" customWidth="1"/>
    <col min="6658" max="6659" width="8.5703125" style="146" customWidth="1"/>
    <col min="6660" max="6663" width="16.42578125" style="146" customWidth="1"/>
    <col min="6664" max="6912" width="9.140625" style="146"/>
    <col min="6913" max="6913" width="35.7109375" style="146" customWidth="1"/>
    <col min="6914" max="6915" width="8.5703125" style="146" customWidth="1"/>
    <col min="6916" max="6919" width="16.42578125" style="146" customWidth="1"/>
    <col min="6920" max="7168" width="9.140625" style="146"/>
    <col min="7169" max="7169" width="35.7109375" style="146" customWidth="1"/>
    <col min="7170" max="7171" width="8.5703125" style="146" customWidth="1"/>
    <col min="7172" max="7175" width="16.42578125" style="146" customWidth="1"/>
    <col min="7176" max="7424" width="9.140625" style="146"/>
    <col min="7425" max="7425" width="35.7109375" style="146" customWidth="1"/>
    <col min="7426" max="7427" width="8.5703125" style="146" customWidth="1"/>
    <col min="7428" max="7431" width="16.42578125" style="146" customWidth="1"/>
    <col min="7432" max="7680" width="9.140625" style="146"/>
    <col min="7681" max="7681" width="35.7109375" style="146" customWidth="1"/>
    <col min="7682" max="7683" width="8.5703125" style="146" customWidth="1"/>
    <col min="7684" max="7687" width="16.42578125" style="146" customWidth="1"/>
    <col min="7688" max="7936" width="9.140625" style="146"/>
    <col min="7937" max="7937" width="35.7109375" style="146" customWidth="1"/>
    <col min="7938" max="7939" width="8.5703125" style="146" customWidth="1"/>
    <col min="7940" max="7943" width="16.42578125" style="146" customWidth="1"/>
    <col min="7944" max="8192" width="9.140625" style="146"/>
    <col min="8193" max="8193" width="35.7109375" style="146" customWidth="1"/>
    <col min="8194" max="8195" width="8.5703125" style="146" customWidth="1"/>
    <col min="8196" max="8199" width="16.42578125" style="146" customWidth="1"/>
    <col min="8200" max="8448" width="9.140625" style="146"/>
    <col min="8449" max="8449" width="35.7109375" style="146" customWidth="1"/>
    <col min="8450" max="8451" width="8.5703125" style="146" customWidth="1"/>
    <col min="8452" max="8455" width="16.42578125" style="146" customWidth="1"/>
    <col min="8456" max="8704" width="9.140625" style="146"/>
    <col min="8705" max="8705" width="35.7109375" style="146" customWidth="1"/>
    <col min="8706" max="8707" width="8.5703125" style="146" customWidth="1"/>
    <col min="8708" max="8711" width="16.42578125" style="146" customWidth="1"/>
    <col min="8712" max="8960" width="9.140625" style="146"/>
    <col min="8961" max="8961" width="35.7109375" style="146" customWidth="1"/>
    <col min="8962" max="8963" width="8.5703125" style="146" customWidth="1"/>
    <col min="8964" max="8967" width="16.42578125" style="146" customWidth="1"/>
    <col min="8968" max="9216" width="9.140625" style="146"/>
    <col min="9217" max="9217" width="35.7109375" style="146" customWidth="1"/>
    <col min="9218" max="9219" width="8.5703125" style="146" customWidth="1"/>
    <col min="9220" max="9223" width="16.42578125" style="146" customWidth="1"/>
    <col min="9224" max="9472" width="9.140625" style="146"/>
    <col min="9473" max="9473" width="35.7109375" style="146" customWidth="1"/>
    <col min="9474" max="9475" width="8.5703125" style="146" customWidth="1"/>
    <col min="9476" max="9479" width="16.42578125" style="146" customWidth="1"/>
    <col min="9480" max="9728" width="9.140625" style="146"/>
    <col min="9729" max="9729" width="35.7109375" style="146" customWidth="1"/>
    <col min="9730" max="9731" width="8.5703125" style="146" customWidth="1"/>
    <col min="9732" max="9735" width="16.42578125" style="146" customWidth="1"/>
    <col min="9736" max="9984" width="9.140625" style="146"/>
    <col min="9985" max="9985" width="35.7109375" style="146" customWidth="1"/>
    <col min="9986" max="9987" width="8.5703125" style="146" customWidth="1"/>
    <col min="9988" max="9991" width="16.42578125" style="146" customWidth="1"/>
    <col min="9992" max="10240" width="9.140625" style="146"/>
    <col min="10241" max="10241" width="35.7109375" style="146" customWidth="1"/>
    <col min="10242" max="10243" width="8.5703125" style="146" customWidth="1"/>
    <col min="10244" max="10247" width="16.42578125" style="146" customWidth="1"/>
    <col min="10248" max="10496" width="9.140625" style="146"/>
    <col min="10497" max="10497" width="35.7109375" style="146" customWidth="1"/>
    <col min="10498" max="10499" width="8.5703125" style="146" customWidth="1"/>
    <col min="10500" max="10503" width="16.42578125" style="146" customWidth="1"/>
    <col min="10504" max="10752" width="9.140625" style="146"/>
    <col min="10753" max="10753" width="35.7109375" style="146" customWidth="1"/>
    <col min="10754" max="10755" width="8.5703125" style="146" customWidth="1"/>
    <col min="10756" max="10759" width="16.42578125" style="146" customWidth="1"/>
    <col min="10760" max="11008" width="9.140625" style="146"/>
    <col min="11009" max="11009" width="35.7109375" style="146" customWidth="1"/>
    <col min="11010" max="11011" width="8.5703125" style="146" customWidth="1"/>
    <col min="11012" max="11015" width="16.42578125" style="146" customWidth="1"/>
    <col min="11016" max="11264" width="9.140625" style="146"/>
    <col min="11265" max="11265" width="35.7109375" style="146" customWidth="1"/>
    <col min="11266" max="11267" width="8.5703125" style="146" customWidth="1"/>
    <col min="11268" max="11271" width="16.42578125" style="146" customWidth="1"/>
    <col min="11272" max="11520" width="9.140625" style="146"/>
    <col min="11521" max="11521" width="35.7109375" style="146" customWidth="1"/>
    <col min="11522" max="11523" width="8.5703125" style="146" customWidth="1"/>
    <col min="11524" max="11527" width="16.42578125" style="146" customWidth="1"/>
    <col min="11528" max="11776" width="9.140625" style="146"/>
    <col min="11777" max="11777" width="35.7109375" style="146" customWidth="1"/>
    <col min="11778" max="11779" width="8.5703125" style="146" customWidth="1"/>
    <col min="11780" max="11783" width="16.42578125" style="146" customWidth="1"/>
    <col min="11784" max="12032" width="9.140625" style="146"/>
    <col min="12033" max="12033" width="35.7109375" style="146" customWidth="1"/>
    <col min="12034" max="12035" width="8.5703125" style="146" customWidth="1"/>
    <col min="12036" max="12039" width="16.42578125" style="146" customWidth="1"/>
    <col min="12040" max="12288" width="9.140625" style="146"/>
    <col min="12289" max="12289" width="35.7109375" style="146" customWidth="1"/>
    <col min="12290" max="12291" width="8.5703125" style="146" customWidth="1"/>
    <col min="12292" max="12295" width="16.42578125" style="146" customWidth="1"/>
    <col min="12296" max="12544" width="9.140625" style="146"/>
    <col min="12545" max="12545" width="35.7109375" style="146" customWidth="1"/>
    <col min="12546" max="12547" width="8.5703125" style="146" customWidth="1"/>
    <col min="12548" max="12551" width="16.42578125" style="146" customWidth="1"/>
    <col min="12552" max="12800" width="9.140625" style="146"/>
    <col min="12801" max="12801" width="35.7109375" style="146" customWidth="1"/>
    <col min="12802" max="12803" width="8.5703125" style="146" customWidth="1"/>
    <col min="12804" max="12807" width="16.42578125" style="146" customWidth="1"/>
    <col min="12808" max="13056" width="9.140625" style="146"/>
    <col min="13057" max="13057" width="35.7109375" style="146" customWidth="1"/>
    <col min="13058" max="13059" width="8.5703125" style="146" customWidth="1"/>
    <col min="13060" max="13063" width="16.42578125" style="146" customWidth="1"/>
    <col min="13064" max="13312" width="9.140625" style="146"/>
    <col min="13313" max="13313" width="35.7109375" style="146" customWidth="1"/>
    <col min="13314" max="13315" width="8.5703125" style="146" customWidth="1"/>
    <col min="13316" max="13319" width="16.42578125" style="146" customWidth="1"/>
    <col min="13320" max="13568" width="9.140625" style="146"/>
    <col min="13569" max="13569" width="35.7109375" style="146" customWidth="1"/>
    <col min="13570" max="13571" width="8.5703125" style="146" customWidth="1"/>
    <col min="13572" max="13575" width="16.42578125" style="146" customWidth="1"/>
    <col min="13576" max="13824" width="9.140625" style="146"/>
    <col min="13825" max="13825" width="35.7109375" style="146" customWidth="1"/>
    <col min="13826" max="13827" width="8.5703125" style="146" customWidth="1"/>
    <col min="13828" max="13831" width="16.42578125" style="146" customWidth="1"/>
    <col min="13832" max="14080" width="9.140625" style="146"/>
    <col min="14081" max="14081" width="35.7109375" style="146" customWidth="1"/>
    <col min="14082" max="14083" width="8.5703125" style="146" customWidth="1"/>
    <col min="14084" max="14087" width="16.42578125" style="146" customWidth="1"/>
    <col min="14088" max="14336" width="9.140625" style="146"/>
    <col min="14337" max="14337" width="35.7109375" style="146" customWidth="1"/>
    <col min="14338" max="14339" width="8.5703125" style="146" customWidth="1"/>
    <col min="14340" max="14343" width="16.42578125" style="146" customWidth="1"/>
    <col min="14344" max="14592" width="9.140625" style="146"/>
    <col min="14593" max="14593" width="35.7109375" style="146" customWidth="1"/>
    <col min="14594" max="14595" width="8.5703125" style="146" customWidth="1"/>
    <col min="14596" max="14599" width="16.42578125" style="146" customWidth="1"/>
    <col min="14600" max="14848" width="9.140625" style="146"/>
    <col min="14849" max="14849" width="35.7109375" style="146" customWidth="1"/>
    <col min="14850" max="14851" width="8.5703125" style="146" customWidth="1"/>
    <col min="14852" max="14855" width="16.42578125" style="146" customWidth="1"/>
    <col min="14856" max="15104" width="9.140625" style="146"/>
    <col min="15105" max="15105" width="35.7109375" style="146" customWidth="1"/>
    <col min="15106" max="15107" width="8.5703125" style="146" customWidth="1"/>
    <col min="15108" max="15111" width="16.42578125" style="146" customWidth="1"/>
    <col min="15112" max="15360" width="9.140625" style="146"/>
    <col min="15361" max="15361" width="35.7109375" style="146" customWidth="1"/>
    <col min="15362" max="15363" width="8.5703125" style="146" customWidth="1"/>
    <col min="15364" max="15367" width="16.42578125" style="146" customWidth="1"/>
    <col min="15368" max="15616" width="9.140625" style="146"/>
    <col min="15617" max="15617" width="35.7109375" style="146" customWidth="1"/>
    <col min="15618" max="15619" width="8.5703125" style="146" customWidth="1"/>
    <col min="15620" max="15623" width="16.42578125" style="146" customWidth="1"/>
    <col min="15624" max="15872" width="9.140625" style="146"/>
    <col min="15873" max="15873" width="35.7109375" style="146" customWidth="1"/>
    <col min="15874" max="15875" width="8.5703125" style="146" customWidth="1"/>
    <col min="15876" max="15879" width="16.42578125" style="146" customWidth="1"/>
    <col min="15880" max="16128" width="9.140625" style="146"/>
    <col min="16129" max="16129" width="35.7109375" style="146" customWidth="1"/>
    <col min="16130" max="16131" width="8.5703125" style="146" customWidth="1"/>
    <col min="16132" max="16135" width="16.42578125" style="146" customWidth="1"/>
    <col min="16136" max="16384" width="9.140625" style="146"/>
  </cols>
  <sheetData>
    <row r="1" spans="1:7" ht="44.25" customHeight="1">
      <c r="A1" s="115"/>
      <c r="B1" s="281"/>
      <c r="C1" s="281"/>
      <c r="D1" s="282" t="s">
        <v>695</v>
      </c>
      <c r="E1" s="282"/>
      <c r="F1" s="282"/>
      <c r="G1" s="282"/>
    </row>
    <row r="2" spans="1:7" ht="24" customHeight="1">
      <c r="A2" s="337" t="s">
        <v>660</v>
      </c>
      <c r="B2" s="337"/>
      <c r="C2" s="337"/>
      <c r="D2" s="337"/>
      <c r="E2" s="337"/>
      <c r="F2" s="337"/>
      <c r="G2" s="337"/>
    </row>
    <row r="3" spans="1:7" ht="9.75" customHeight="1">
      <c r="A3" s="115"/>
      <c r="B3" s="281"/>
      <c r="C3" s="281"/>
      <c r="D3" s="281"/>
      <c r="E3" s="281"/>
      <c r="F3" s="281"/>
      <c r="G3" s="281"/>
    </row>
    <row r="4" spans="1:7" ht="13.5" customHeight="1">
      <c r="A4" s="338" t="s">
        <v>696</v>
      </c>
      <c r="B4" s="338"/>
      <c r="C4" s="338"/>
      <c r="D4" s="338"/>
      <c r="E4" s="338"/>
      <c r="F4" s="338"/>
      <c r="G4" s="338"/>
    </row>
    <row r="5" spans="1:7" ht="13.5" customHeight="1">
      <c r="A5" s="339" t="s">
        <v>697</v>
      </c>
      <c r="B5" s="339"/>
      <c r="C5" s="339"/>
      <c r="D5" s="339"/>
      <c r="E5" s="339"/>
      <c r="F5" s="339"/>
      <c r="G5" s="339"/>
    </row>
    <row r="6" spans="1:7" ht="12" customHeight="1">
      <c r="A6" s="293" t="s">
        <v>265</v>
      </c>
      <c r="B6" s="293"/>
      <c r="C6" s="293"/>
      <c r="D6" s="293"/>
      <c r="E6" s="293"/>
      <c r="F6" s="293"/>
      <c r="G6" s="293"/>
    </row>
    <row r="7" spans="1:7" ht="9.75" customHeight="1">
      <c r="A7" s="115"/>
      <c r="B7" s="281"/>
      <c r="C7" s="281"/>
      <c r="D7" s="281"/>
      <c r="E7" s="281"/>
      <c r="F7" s="281"/>
      <c r="G7" s="281"/>
    </row>
    <row r="8" spans="1:7" ht="15.75" customHeight="1">
      <c r="A8" s="89" t="s">
        <v>3</v>
      </c>
      <c r="B8" s="280" t="s">
        <v>118</v>
      </c>
      <c r="C8" s="280"/>
      <c r="D8" s="280"/>
      <c r="E8" s="280"/>
      <c r="F8" s="280"/>
      <c r="G8" s="280"/>
    </row>
    <row r="9" spans="1:7" ht="15.75" customHeight="1">
      <c r="A9" s="91" t="s">
        <v>5</v>
      </c>
      <c r="B9" s="281" t="s">
        <v>6</v>
      </c>
      <c r="C9" s="281"/>
      <c r="D9" s="281"/>
      <c r="E9" s="281"/>
      <c r="F9" s="281"/>
      <c r="G9" s="281"/>
    </row>
    <row r="10" spans="1:7" ht="15.75" customHeight="1">
      <c r="A10" s="89" t="s">
        <v>7</v>
      </c>
      <c r="B10" s="280" t="s">
        <v>119</v>
      </c>
      <c r="C10" s="280"/>
      <c r="D10" s="280"/>
      <c r="E10" s="280"/>
      <c r="F10" s="280"/>
      <c r="G10" s="280"/>
    </row>
    <row r="11" spans="1:7" ht="15.75" customHeight="1">
      <c r="A11" s="91" t="s">
        <v>120</v>
      </c>
      <c r="B11" s="281" t="s">
        <v>10</v>
      </c>
      <c r="C11" s="281"/>
      <c r="D11" s="281"/>
      <c r="E11" s="281"/>
      <c r="F11" s="281"/>
      <c r="G11" s="281"/>
    </row>
    <row r="12" spans="1:7" ht="15.75" customHeight="1">
      <c r="A12" s="89" t="s">
        <v>11</v>
      </c>
      <c r="B12" s="289" t="s">
        <v>114</v>
      </c>
      <c r="C12" s="289"/>
      <c r="D12" s="289"/>
      <c r="E12" s="289"/>
      <c r="F12" s="289"/>
      <c r="G12" s="289"/>
    </row>
    <row r="13" spans="1:7" ht="15.75" customHeight="1">
      <c r="A13" s="91" t="s">
        <v>115</v>
      </c>
      <c r="B13" s="281" t="s">
        <v>116</v>
      </c>
      <c r="C13" s="281"/>
      <c r="D13" s="281"/>
      <c r="E13" s="281"/>
      <c r="F13" s="281"/>
      <c r="G13" s="281"/>
    </row>
    <row r="14" spans="1:7" ht="15.75" customHeight="1">
      <c r="A14" s="89" t="s">
        <v>15</v>
      </c>
      <c r="B14" s="346">
        <v>44322</v>
      </c>
      <c r="C14" s="289"/>
      <c r="D14" s="289"/>
      <c r="E14" s="289"/>
      <c r="F14" s="289"/>
      <c r="G14" s="289"/>
    </row>
    <row r="15" spans="1:7" ht="15.75" customHeight="1">
      <c r="A15" s="91" t="s">
        <v>16</v>
      </c>
      <c r="B15" s="288">
        <v>44322</v>
      </c>
      <c r="C15" s="281"/>
      <c r="D15" s="281"/>
      <c r="E15" s="281"/>
      <c r="F15" s="281"/>
      <c r="G15" s="281"/>
    </row>
    <row r="16" spans="1:7" ht="12.75" customHeight="1">
      <c r="A16" s="147"/>
      <c r="B16" s="347"/>
      <c r="C16" s="347"/>
      <c r="D16" s="347"/>
      <c r="E16" s="347"/>
      <c r="F16" s="290" t="s">
        <v>126</v>
      </c>
      <c r="G16" s="290"/>
    </row>
    <row r="17" spans="1:7" ht="27" customHeight="1">
      <c r="A17" s="340" t="s">
        <v>270</v>
      </c>
      <c r="B17" s="335" t="s">
        <v>698</v>
      </c>
      <c r="C17" s="335" t="s">
        <v>699</v>
      </c>
      <c r="D17" s="335" t="s">
        <v>700</v>
      </c>
      <c r="E17" s="335"/>
      <c r="F17" s="335" t="s">
        <v>701</v>
      </c>
      <c r="G17" s="343"/>
    </row>
    <row r="18" spans="1:7" ht="33" customHeight="1">
      <c r="A18" s="341"/>
      <c r="B18" s="342"/>
      <c r="C18" s="342"/>
      <c r="D18" s="162" t="s">
        <v>271</v>
      </c>
      <c r="E18" s="162" t="s">
        <v>702</v>
      </c>
      <c r="F18" s="162" t="s">
        <v>703</v>
      </c>
      <c r="G18" s="163" t="s">
        <v>702</v>
      </c>
    </row>
    <row r="19" spans="1:7" ht="31.5">
      <c r="A19" s="164" t="s">
        <v>704</v>
      </c>
      <c r="B19" s="165" t="s">
        <v>705</v>
      </c>
      <c r="C19" s="166"/>
      <c r="D19" s="155">
        <f>D20+D23+D26+D30+D31+D32+D33+D34</f>
        <v>828054122257</v>
      </c>
      <c r="E19" s="155">
        <f>E20+E23+E26+E30+E31+E32+E33+E34</f>
        <v>1960179131253</v>
      </c>
      <c r="F19" s="155">
        <f>F20+F23+F26+F30+F31+F32+F33+F34</f>
        <v>9204941600</v>
      </c>
      <c r="G19" s="156">
        <f>G20+G23+G26+G30+G31+G32+G33+G34</f>
        <v>9204941600</v>
      </c>
    </row>
    <row r="20" spans="1:7" ht="22.5" customHeight="1">
      <c r="A20" s="189" t="s">
        <v>706</v>
      </c>
      <c r="B20" s="102" t="s">
        <v>707</v>
      </c>
      <c r="C20" s="151"/>
      <c r="D20" s="104">
        <f>D21+D22</f>
        <v>0</v>
      </c>
      <c r="E20" s="104">
        <f>E21+E22</f>
        <v>7558908800</v>
      </c>
      <c r="F20" s="104">
        <f>F21+F22</f>
        <v>154020000</v>
      </c>
      <c r="G20" s="126">
        <f>G21+G22</f>
        <v>154020000</v>
      </c>
    </row>
    <row r="21" spans="1:7" ht="22.5" customHeight="1">
      <c r="A21" s="167" t="s">
        <v>708</v>
      </c>
      <c r="B21" s="168" t="s">
        <v>709</v>
      </c>
      <c r="C21" s="169"/>
      <c r="D21" s="129">
        <v>0</v>
      </c>
      <c r="E21" s="129">
        <v>7558908800</v>
      </c>
      <c r="F21" s="129">
        <v>154020000</v>
      </c>
      <c r="G21" s="130">
        <v>154020000</v>
      </c>
    </row>
    <row r="22" spans="1:7" ht="22.5" customHeight="1">
      <c r="A22" s="167" t="s">
        <v>710</v>
      </c>
      <c r="B22" s="168" t="s">
        <v>711</v>
      </c>
      <c r="C22" s="169"/>
      <c r="D22" s="129">
        <v>0</v>
      </c>
      <c r="E22" s="129">
        <v>0</v>
      </c>
      <c r="F22" s="129">
        <v>0</v>
      </c>
      <c r="G22" s="130">
        <v>0</v>
      </c>
    </row>
    <row r="23" spans="1:7" ht="22.5" customHeight="1">
      <c r="A23" s="189" t="s">
        <v>712</v>
      </c>
      <c r="B23" s="102" t="s">
        <v>713</v>
      </c>
      <c r="C23" s="151"/>
      <c r="D23" s="104">
        <f>D24+D25</f>
        <v>125823429</v>
      </c>
      <c r="E23" s="104">
        <f>E24+E25</f>
        <v>258398025</v>
      </c>
      <c r="F23" s="104">
        <f>F24+F25</f>
        <v>0</v>
      </c>
      <c r="G23" s="126">
        <f>G24+G25</f>
        <v>0</v>
      </c>
    </row>
    <row r="24" spans="1:7" ht="22.5" customHeight="1">
      <c r="A24" s="167" t="s">
        <v>714</v>
      </c>
      <c r="B24" s="168" t="s">
        <v>715</v>
      </c>
      <c r="C24" s="169"/>
      <c r="D24" s="129">
        <v>125823429</v>
      </c>
      <c r="E24" s="129">
        <v>258398025</v>
      </c>
      <c r="F24" s="129">
        <v>0</v>
      </c>
      <c r="G24" s="130">
        <v>0</v>
      </c>
    </row>
    <row r="25" spans="1:7" ht="22.5" customHeight="1">
      <c r="A25" s="167" t="s">
        <v>716</v>
      </c>
      <c r="B25" s="168" t="s">
        <v>717</v>
      </c>
      <c r="C25" s="169"/>
      <c r="D25" s="129">
        <v>0</v>
      </c>
      <c r="E25" s="129">
        <v>0</v>
      </c>
      <c r="F25" s="129">
        <v>0</v>
      </c>
      <c r="G25" s="130">
        <v>0</v>
      </c>
    </row>
    <row r="26" spans="1:7" ht="22.5" customHeight="1">
      <c r="A26" s="189" t="s">
        <v>718</v>
      </c>
      <c r="B26" s="102" t="s">
        <v>719</v>
      </c>
      <c r="C26" s="151"/>
      <c r="D26" s="104">
        <f>D27+D28+D29</f>
        <v>550306501318.95996</v>
      </c>
      <c r="E26" s="104">
        <f>E27+E28+E29</f>
        <v>629382897020.92004</v>
      </c>
      <c r="F26" s="104">
        <f>F27+F28+F29</f>
        <v>327446000</v>
      </c>
      <c r="G26" s="126">
        <f>G27+G28+G29</f>
        <v>327446000</v>
      </c>
    </row>
    <row r="27" spans="1:7" ht="22.5" customHeight="1">
      <c r="A27" s="167" t="s">
        <v>720</v>
      </c>
      <c r="B27" s="168" t="s">
        <v>721</v>
      </c>
      <c r="C27" s="169"/>
      <c r="D27" s="129">
        <v>535774641923</v>
      </c>
      <c r="E27" s="129">
        <v>611653167863</v>
      </c>
      <c r="F27" s="129">
        <v>327446000</v>
      </c>
      <c r="G27" s="130">
        <v>327446000</v>
      </c>
    </row>
    <row r="28" spans="1:7" ht="45" customHeight="1">
      <c r="A28" s="167" t="s">
        <v>722</v>
      </c>
      <c r="B28" s="168" t="s">
        <v>723</v>
      </c>
      <c r="C28" s="169"/>
      <c r="D28" s="129">
        <v>14531859395.959999</v>
      </c>
      <c r="E28" s="129">
        <v>17729729157.919998</v>
      </c>
      <c r="F28" s="129">
        <v>0</v>
      </c>
      <c r="G28" s="130">
        <v>0</v>
      </c>
    </row>
    <row r="29" spans="1:7" ht="45" customHeight="1">
      <c r="A29" s="167" t="s">
        <v>724</v>
      </c>
      <c r="B29" s="168" t="s">
        <v>725</v>
      </c>
      <c r="C29" s="169"/>
      <c r="D29" s="129">
        <v>0</v>
      </c>
      <c r="E29" s="129">
        <v>0</v>
      </c>
      <c r="F29" s="129">
        <v>0</v>
      </c>
      <c r="G29" s="130">
        <v>0</v>
      </c>
    </row>
    <row r="30" spans="1:7" ht="33.75" customHeight="1">
      <c r="A30" s="189" t="s">
        <v>726</v>
      </c>
      <c r="B30" s="102" t="s">
        <v>727</v>
      </c>
      <c r="C30" s="151"/>
      <c r="D30" s="104">
        <v>277621797509.03998</v>
      </c>
      <c r="E30" s="104">
        <v>1322978927407.0801</v>
      </c>
      <c r="F30" s="104">
        <v>8723475600</v>
      </c>
      <c r="G30" s="126">
        <v>8723475600</v>
      </c>
    </row>
    <row r="31" spans="1:7" ht="22.5" customHeight="1">
      <c r="A31" s="189" t="s">
        <v>728</v>
      </c>
      <c r="B31" s="102" t="s">
        <v>729</v>
      </c>
      <c r="C31" s="151"/>
      <c r="D31" s="104">
        <v>0</v>
      </c>
      <c r="E31" s="104">
        <v>0</v>
      </c>
      <c r="F31" s="104">
        <v>0</v>
      </c>
      <c r="G31" s="126">
        <v>0</v>
      </c>
    </row>
    <row r="32" spans="1:7" ht="45" customHeight="1">
      <c r="A32" s="189" t="s">
        <v>730</v>
      </c>
      <c r="B32" s="102" t="s">
        <v>731</v>
      </c>
      <c r="C32" s="151"/>
      <c r="D32" s="104">
        <v>0</v>
      </c>
      <c r="E32" s="104">
        <v>0</v>
      </c>
      <c r="F32" s="104">
        <v>0</v>
      </c>
      <c r="G32" s="126">
        <v>0</v>
      </c>
    </row>
    <row r="33" spans="1:7" ht="22.5" customHeight="1">
      <c r="A33" s="189" t="s">
        <v>732</v>
      </c>
      <c r="B33" s="102" t="s">
        <v>733</v>
      </c>
      <c r="C33" s="151"/>
      <c r="D33" s="104">
        <v>0</v>
      </c>
      <c r="E33" s="104">
        <v>0</v>
      </c>
      <c r="F33" s="104">
        <v>0</v>
      </c>
      <c r="G33" s="126">
        <v>0</v>
      </c>
    </row>
    <row r="34" spans="1:7" ht="64.5" customHeight="1">
      <c r="A34" s="189" t="s">
        <v>734</v>
      </c>
      <c r="B34" s="102" t="s">
        <v>735</v>
      </c>
      <c r="C34" s="151"/>
      <c r="D34" s="104">
        <v>0</v>
      </c>
      <c r="E34" s="104">
        <v>0</v>
      </c>
      <c r="F34" s="104">
        <v>0</v>
      </c>
      <c r="G34" s="126">
        <v>0</v>
      </c>
    </row>
    <row r="35" spans="1:7" ht="22.5" customHeight="1">
      <c r="A35" s="164" t="s">
        <v>736</v>
      </c>
      <c r="B35" s="165" t="s">
        <v>158</v>
      </c>
      <c r="C35" s="166"/>
      <c r="D35" s="155">
        <f>D36+D39+D40+D41+D42</f>
        <v>3201185479</v>
      </c>
      <c r="E35" s="155">
        <f>E36+E39+E40+E41+E42</f>
        <v>4318517931</v>
      </c>
      <c r="F35" s="155">
        <f>F36+F39+F40+F41+F42</f>
        <v>7051525</v>
      </c>
      <c r="G35" s="156">
        <f>G36+G39+G40+G41+G42</f>
        <v>7051525</v>
      </c>
    </row>
    <row r="36" spans="1:7" ht="22.5" customHeight="1">
      <c r="A36" s="189" t="s">
        <v>737</v>
      </c>
      <c r="B36" s="102" t="s">
        <v>161</v>
      </c>
      <c r="C36" s="151"/>
      <c r="D36" s="104">
        <f>D37+D38</f>
        <v>3201185479</v>
      </c>
      <c r="E36" s="104">
        <f>E37+E38</f>
        <v>4318517931</v>
      </c>
      <c r="F36" s="104">
        <f>F37+F38</f>
        <v>7051525</v>
      </c>
      <c r="G36" s="126">
        <f>G37+G38</f>
        <v>7051525</v>
      </c>
    </row>
    <row r="37" spans="1:7" ht="22.5" customHeight="1">
      <c r="A37" s="167" t="s">
        <v>738</v>
      </c>
      <c r="B37" s="168" t="s">
        <v>739</v>
      </c>
      <c r="C37" s="169"/>
      <c r="D37" s="129">
        <v>3201185479</v>
      </c>
      <c r="E37" s="129">
        <v>4318517931</v>
      </c>
      <c r="F37" s="129">
        <v>7051525</v>
      </c>
      <c r="G37" s="130">
        <v>7051525</v>
      </c>
    </row>
    <row r="38" spans="1:7" ht="22.5" customHeight="1">
      <c r="A38" s="167" t="s">
        <v>740</v>
      </c>
      <c r="B38" s="168" t="s">
        <v>741</v>
      </c>
      <c r="C38" s="169"/>
      <c r="D38" s="129">
        <v>0</v>
      </c>
      <c r="E38" s="129">
        <v>0</v>
      </c>
      <c r="F38" s="129">
        <v>0</v>
      </c>
      <c r="G38" s="130">
        <v>0</v>
      </c>
    </row>
    <row r="39" spans="1:7" ht="31.5">
      <c r="A39" s="189" t="s">
        <v>742</v>
      </c>
      <c r="B39" s="102" t="s">
        <v>164</v>
      </c>
      <c r="C39" s="151"/>
      <c r="D39" s="104">
        <v>0</v>
      </c>
      <c r="E39" s="104">
        <v>0</v>
      </c>
      <c r="F39" s="104">
        <v>0</v>
      </c>
      <c r="G39" s="126">
        <v>0</v>
      </c>
    </row>
    <row r="40" spans="1:7" ht="22.5" customHeight="1">
      <c r="A40" s="189" t="s">
        <v>743</v>
      </c>
      <c r="B40" s="102" t="s">
        <v>167</v>
      </c>
      <c r="C40" s="151"/>
      <c r="D40" s="104">
        <v>0</v>
      </c>
      <c r="E40" s="104">
        <v>0</v>
      </c>
      <c r="F40" s="104">
        <v>0</v>
      </c>
      <c r="G40" s="126">
        <v>0</v>
      </c>
    </row>
    <row r="41" spans="1:7" ht="54.75" customHeight="1">
      <c r="A41" s="189" t="s">
        <v>744</v>
      </c>
      <c r="B41" s="102" t="s">
        <v>170</v>
      </c>
      <c r="C41" s="151"/>
      <c r="D41" s="104">
        <v>0</v>
      </c>
      <c r="E41" s="104">
        <v>0</v>
      </c>
      <c r="F41" s="104">
        <v>0</v>
      </c>
      <c r="G41" s="126">
        <v>0</v>
      </c>
    </row>
    <row r="42" spans="1:7" ht="22.5" customHeight="1">
      <c r="A42" s="189" t="s">
        <v>745</v>
      </c>
      <c r="B42" s="102" t="s">
        <v>173</v>
      </c>
      <c r="C42" s="151"/>
      <c r="D42" s="104">
        <v>0</v>
      </c>
      <c r="E42" s="104">
        <v>0</v>
      </c>
      <c r="F42" s="104">
        <v>0</v>
      </c>
      <c r="G42" s="126">
        <v>0</v>
      </c>
    </row>
    <row r="43" spans="1:7" ht="22.5" customHeight="1">
      <c r="A43" s="164" t="s">
        <v>746</v>
      </c>
      <c r="B43" s="165" t="s">
        <v>747</v>
      </c>
      <c r="C43" s="166"/>
      <c r="D43" s="155">
        <f>D44+D45+D50+D51+D52+D53+D57+D58+D59+D60</f>
        <v>8807675805</v>
      </c>
      <c r="E43" s="155">
        <f>E44+E45+E50+E51+E52+E53+E57+E58+E59+E60</f>
        <v>28184744567</v>
      </c>
      <c r="F43" s="155">
        <f>F44+F45+F50+F51+F52+F53+F57+F58+F59+F60</f>
        <v>91776182</v>
      </c>
      <c r="G43" s="156">
        <f>G44+G45+G50+G51+G52+G53+G57+G58+G59+G60</f>
        <v>91776182</v>
      </c>
    </row>
    <row r="44" spans="1:7" ht="22.5" customHeight="1">
      <c r="A44" s="189" t="s">
        <v>748</v>
      </c>
      <c r="B44" s="102" t="s">
        <v>749</v>
      </c>
      <c r="C44" s="151"/>
      <c r="D44" s="104">
        <v>6921026816</v>
      </c>
      <c r="E44" s="104">
        <v>22596197158</v>
      </c>
      <c r="F44" s="104">
        <v>21820213</v>
      </c>
      <c r="G44" s="126">
        <v>21820213</v>
      </c>
    </row>
    <row r="45" spans="1:7" ht="22.5" customHeight="1">
      <c r="A45" s="189" t="s">
        <v>750</v>
      </c>
      <c r="B45" s="102" t="s">
        <v>751</v>
      </c>
      <c r="C45" s="151"/>
      <c r="D45" s="104">
        <f>D46+D47+D48+D49</f>
        <v>240087970</v>
      </c>
      <c r="E45" s="104">
        <f>E46+E47+E48+E49</f>
        <v>761799876</v>
      </c>
      <c r="F45" s="104">
        <f>F46+F47+F48+F49</f>
        <v>3800000</v>
      </c>
      <c r="G45" s="126">
        <f>G46+G47+G48+G49</f>
        <v>3800000</v>
      </c>
    </row>
    <row r="46" spans="1:7" ht="22.5" customHeight="1">
      <c r="A46" s="167" t="s">
        <v>752</v>
      </c>
      <c r="B46" s="168" t="s">
        <v>753</v>
      </c>
      <c r="C46" s="169"/>
      <c r="D46" s="129">
        <v>173025670</v>
      </c>
      <c r="E46" s="129">
        <v>564904929</v>
      </c>
      <c r="F46" s="129">
        <v>3000000</v>
      </c>
      <c r="G46" s="130">
        <v>3000000</v>
      </c>
    </row>
    <row r="47" spans="1:7" ht="22.5" customHeight="1">
      <c r="A47" s="167" t="s">
        <v>754</v>
      </c>
      <c r="B47" s="168" t="s">
        <v>755</v>
      </c>
      <c r="C47" s="169"/>
      <c r="D47" s="129">
        <v>12400000</v>
      </c>
      <c r="E47" s="129">
        <v>21800000</v>
      </c>
      <c r="F47" s="129">
        <v>800000</v>
      </c>
      <c r="G47" s="130">
        <v>800000</v>
      </c>
    </row>
    <row r="48" spans="1:7" ht="22.5" customHeight="1">
      <c r="A48" s="167" t="s">
        <v>756</v>
      </c>
      <c r="B48" s="168" t="s">
        <v>757</v>
      </c>
      <c r="C48" s="169"/>
      <c r="D48" s="129">
        <v>54662300</v>
      </c>
      <c r="E48" s="129">
        <v>175094947</v>
      </c>
      <c r="F48" s="129">
        <v>0</v>
      </c>
      <c r="G48" s="130">
        <v>0</v>
      </c>
    </row>
    <row r="49" spans="1:7" ht="45" customHeight="1">
      <c r="A49" s="167" t="s">
        <v>758</v>
      </c>
      <c r="B49" s="168" t="s">
        <v>759</v>
      </c>
      <c r="C49" s="169"/>
      <c r="D49" s="129">
        <v>0</v>
      </c>
      <c r="E49" s="129">
        <v>0</v>
      </c>
      <c r="F49" s="129">
        <v>0</v>
      </c>
      <c r="G49" s="130">
        <v>0</v>
      </c>
    </row>
    <row r="50" spans="1:7" ht="22.5" customHeight="1">
      <c r="A50" s="189" t="s">
        <v>760</v>
      </c>
      <c r="B50" s="102" t="s">
        <v>761</v>
      </c>
      <c r="C50" s="151"/>
      <c r="D50" s="104">
        <v>380656477</v>
      </c>
      <c r="E50" s="104">
        <v>1242790848</v>
      </c>
      <c r="F50" s="104">
        <v>4950000</v>
      </c>
      <c r="G50" s="126">
        <v>4950000</v>
      </c>
    </row>
    <row r="51" spans="1:7" ht="22.5" customHeight="1">
      <c r="A51" s="189" t="s">
        <v>762</v>
      </c>
      <c r="B51" s="102" t="s">
        <v>763</v>
      </c>
      <c r="C51" s="151"/>
      <c r="D51" s="104">
        <v>190328235</v>
      </c>
      <c r="E51" s="104">
        <v>621395419</v>
      </c>
      <c r="F51" s="104">
        <v>4950000</v>
      </c>
      <c r="G51" s="126">
        <v>4950000</v>
      </c>
    </row>
    <row r="52" spans="1:7" ht="22.5" customHeight="1">
      <c r="A52" s="189" t="s">
        <v>764</v>
      </c>
      <c r="B52" s="102" t="s">
        <v>765</v>
      </c>
      <c r="C52" s="151"/>
      <c r="D52" s="104">
        <v>5500000</v>
      </c>
      <c r="E52" s="104">
        <v>22000000</v>
      </c>
      <c r="F52" s="104">
        <v>0</v>
      </c>
      <c r="G52" s="126">
        <v>0</v>
      </c>
    </row>
    <row r="53" spans="1:7" ht="31.5">
      <c r="A53" s="189" t="s">
        <v>766</v>
      </c>
      <c r="B53" s="102" t="s">
        <v>767</v>
      </c>
      <c r="C53" s="151"/>
      <c r="D53" s="104">
        <f>D54+D55+D56</f>
        <v>1002154191</v>
      </c>
      <c r="E53" s="104">
        <f>E54+E55+E56</f>
        <v>2765610856</v>
      </c>
      <c r="F53" s="104">
        <f>F54+F55+F56</f>
        <v>5901639</v>
      </c>
      <c r="G53" s="126">
        <f>G54+G55+G56</f>
        <v>5901639</v>
      </c>
    </row>
    <row r="54" spans="1:7" ht="45" customHeight="1">
      <c r="A54" s="167" t="s">
        <v>768</v>
      </c>
      <c r="B54" s="168" t="s">
        <v>769</v>
      </c>
      <c r="C54" s="169"/>
      <c r="D54" s="129">
        <v>432564176</v>
      </c>
      <c r="E54" s="129">
        <v>1412262322</v>
      </c>
      <c r="F54" s="129">
        <v>0</v>
      </c>
      <c r="G54" s="130">
        <v>0</v>
      </c>
    </row>
    <row r="55" spans="1:7" ht="22.5" customHeight="1">
      <c r="A55" s="167" t="s">
        <v>770</v>
      </c>
      <c r="B55" s="168" t="s">
        <v>771</v>
      </c>
      <c r="C55" s="169"/>
      <c r="D55" s="129">
        <v>346051342</v>
      </c>
      <c r="E55" s="129">
        <v>1129809861</v>
      </c>
      <c r="F55" s="129">
        <v>5901639</v>
      </c>
      <c r="G55" s="130">
        <v>5901639</v>
      </c>
    </row>
    <row r="56" spans="1:7" ht="31.5">
      <c r="A56" s="167" t="s">
        <v>1006</v>
      </c>
      <c r="B56" s="168" t="s">
        <v>772</v>
      </c>
      <c r="C56" s="169"/>
      <c r="D56" s="129">
        <v>223538673</v>
      </c>
      <c r="E56" s="129">
        <v>223538673</v>
      </c>
      <c r="F56" s="129">
        <v>0</v>
      </c>
      <c r="G56" s="130">
        <v>0</v>
      </c>
    </row>
    <row r="57" spans="1:7" ht="22.5" customHeight="1">
      <c r="A57" s="189" t="s">
        <v>773</v>
      </c>
      <c r="B57" s="102" t="s">
        <v>774</v>
      </c>
      <c r="C57" s="151"/>
      <c r="D57" s="104">
        <v>27142500</v>
      </c>
      <c r="E57" s="104">
        <v>27142500</v>
      </c>
      <c r="F57" s="104">
        <v>0</v>
      </c>
      <c r="G57" s="126">
        <v>0</v>
      </c>
    </row>
    <row r="58" spans="1:7" ht="22.5" customHeight="1">
      <c r="A58" s="189" t="s">
        <v>775</v>
      </c>
      <c r="B58" s="102" t="s">
        <v>776</v>
      </c>
      <c r="C58" s="151"/>
      <c r="D58" s="104">
        <v>9041100</v>
      </c>
      <c r="E58" s="104">
        <v>36164399</v>
      </c>
      <c r="F58" s="104">
        <v>0</v>
      </c>
      <c r="G58" s="126">
        <v>0</v>
      </c>
    </row>
    <row r="59" spans="1:7" ht="22.5" customHeight="1">
      <c r="A59" s="189" t="s">
        <v>777</v>
      </c>
      <c r="B59" s="102" t="s">
        <v>778</v>
      </c>
      <c r="C59" s="151"/>
      <c r="D59" s="104">
        <v>0</v>
      </c>
      <c r="E59" s="104">
        <v>0</v>
      </c>
      <c r="F59" s="104">
        <v>0</v>
      </c>
      <c r="G59" s="126">
        <v>0</v>
      </c>
    </row>
    <row r="60" spans="1:7" ht="22.5" customHeight="1">
      <c r="A60" s="189" t="s">
        <v>779</v>
      </c>
      <c r="B60" s="102" t="s">
        <v>780</v>
      </c>
      <c r="C60" s="151"/>
      <c r="D60" s="104">
        <f>D61+D62+D63+D64+D65+D66+D67+D68+D69+D70+D71+D72+D73+D74</f>
        <v>31738516</v>
      </c>
      <c r="E60" s="104">
        <f>E61+E62+E63+E64+E65+E66+E67+E68+E69+E70+E71+E72+E73+E74</f>
        <v>111643511</v>
      </c>
      <c r="F60" s="104">
        <f>F61+F62+F63+F64+F65+F66+F67+F68+F69+F70+F71+F72+F73+F74</f>
        <v>50354330</v>
      </c>
      <c r="G60" s="126">
        <f>G61+G62+G63+G64+G65+G66+G67+G68+G69+G70+G71+G72+G73+G74</f>
        <v>50354330</v>
      </c>
    </row>
    <row r="61" spans="1:7" ht="22.5" customHeight="1">
      <c r="A61" s="167" t="s">
        <v>781</v>
      </c>
      <c r="B61" s="168" t="s">
        <v>782</v>
      </c>
      <c r="C61" s="169"/>
      <c r="D61" s="129">
        <v>9739715</v>
      </c>
      <c r="E61" s="129">
        <v>38958861</v>
      </c>
      <c r="F61" s="129">
        <v>0</v>
      </c>
      <c r="G61" s="130">
        <v>0</v>
      </c>
    </row>
    <row r="62" spans="1:7" ht="32.25" customHeight="1">
      <c r="A62" s="167" t="s">
        <v>783</v>
      </c>
      <c r="B62" s="168" t="s">
        <v>784</v>
      </c>
      <c r="C62" s="169"/>
      <c r="D62" s="129">
        <v>0</v>
      </c>
      <c r="E62" s="129">
        <v>0</v>
      </c>
      <c r="F62" s="129">
        <v>0</v>
      </c>
      <c r="G62" s="130">
        <v>0</v>
      </c>
    </row>
    <row r="63" spans="1:7" ht="22.5" customHeight="1">
      <c r="A63" s="167" t="s">
        <v>785</v>
      </c>
      <c r="B63" s="168" t="s">
        <v>786</v>
      </c>
      <c r="C63" s="169"/>
      <c r="D63" s="129">
        <v>0</v>
      </c>
      <c r="E63" s="129">
        <v>0</v>
      </c>
      <c r="F63" s="129">
        <v>0</v>
      </c>
      <c r="G63" s="130">
        <v>0</v>
      </c>
    </row>
    <row r="64" spans="1:7" ht="22.5" customHeight="1">
      <c r="A64" s="167" t="s">
        <v>787</v>
      </c>
      <c r="B64" s="168" t="s">
        <v>788</v>
      </c>
      <c r="C64" s="169"/>
      <c r="D64" s="129">
        <v>0</v>
      </c>
      <c r="E64" s="129">
        <v>0</v>
      </c>
      <c r="F64" s="129">
        <v>0</v>
      </c>
      <c r="G64" s="130">
        <v>0</v>
      </c>
    </row>
    <row r="65" spans="1:7" ht="22.5" customHeight="1">
      <c r="A65" s="167" t="s">
        <v>789</v>
      </c>
      <c r="B65" s="168" t="s">
        <v>790</v>
      </c>
      <c r="C65" s="169"/>
      <c r="D65" s="129">
        <v>0</v>
      </c>
      <c r="E65" s="129">
        <v>0</v>
      </c>
      <c r="F65" s="129">
        <v>0</v>
      </c>
      <c r="G65" s="130">
        <v>0</v>
      </c>
    </row>
    <row r="66" spans="1:7" ht="22.5" customHeight="1">
      <c r="A66" s="167" t="s">
        <v>791</v>
      </c>
      <c r="B66" s="168" t="s">
        <v>792</v>
      </c>
      <c r="C66" s="169"/>
      <c r="D66" s="129">
        <v>0</v>
      </c>
      <c r="E66" s="129">
        <v>0</v>
      </c>
      <c r="F66" s="129">
        <v>50000000</v>
      </c>
      <c r="G66" s="130">
        <v>50000000</v>
      </c>
    </row>
    <row r="67" spans="1:7" ht="22.5" customHeight="1">
      <c r="A67" s="167" t="s">
        <v>793</v>
      </c>
      <c r="B67" s="168" t="s">
        <v>794</v>
      </c>
      <c r="C67" s="169"/>
      <c r="D67" s="129">
        <v>0</v>
      </c>
      <c r="E67" s="129">
        <v>0</v>
      </c>
      <c r="F67" s="129">
        <v>354330</v>
      </c>
      <c r="G67" s="130">
        <v>354330</v>
      </c>
    </row>
    <row r="68" spans="1:7" ht="22.5" customHeight="1">
      <c r="A68" s="167" t="s">
        <v>795</v>
      </c>
      <c r="B68" s="168" t="s">
        <v>796</v>
      </c>
      <c r="C68" s="169"/>
      <c r="D68" s="129">
        <v>3715613</v>
      </c>
      <c r="E68" s="129">
        <v>13901462</v>
      </c>
      <c r="F68" s="129">
        <v>0</v>
      </c>
      <c r="G68" s="130">
        <v>0</v>
      </c>
    </row>
    <row r="69" spans="1:7" ht="22.5" customHeight="1">
      <c r="A69" s="167" t="s">
        <v>797</v>
      </c>
      <c r="B69" s="168" t="s">
        <v>798</v>
      </c>
      <c r="C69" s="169"/>
      <c r="D69" s="129">
        <v>0</v>
      </c>
      <c r="E69" s="129">
        <v>0</v>
      </c>
      <c r="F69" s="129">
        <v>0</v>
      </c>
      <c r="G69" s="130">
        <v>0</v>
      </c>
    </row>
    <row r="70" spans="1:7" ht="22.5" customHeight="1">
      <c r="A70" s="167" t="s">
        <v>799</v>
      </c>
      <c r="B70" s="168" t="s">
        <v>800</v>
      </c>
      <c r="C70" s="169"/>
      <c r="D70" s="129">
        <v>18283188</v>
      </c>
      <c r="E70" s="129">
        <v>18283188</v>
      </c>
      <c r="F70" s="129">
        <v>0</v>
      </c>
      <c r="G70" s="130">
        <v>0</v>
      </c>
    </row>
    <row r="71" spans="1:7" ht="22.5" customHeight="1">
      <c r="A71" s="167" t="s">
        <v>801</v>
      </c>
      <c r="B71" s="168" t="s">
        <v>802</v>
      </c>
      <c r="C71" s="169"/>
      <c r="D71" s="129">
        <v>0</v>
      </c>
      <c r="E71" s="129">
        <v>10500000</v>
      </c>
      <c r="F71" s="129">
        <v>0</v>
      </c>
      <c r="G71" s="130">
        <v>0</v>
      </c>
    </row>
    <row r="72" spans="1:7" ht="22.5" customHeight="1">
      <c r="A72" s="167" t="s">
        <v>803</v>
      </c>
      <c r="B72" s="168" t="s">
        <v>804</v>
      </c>
      <c r="C72" s="169"/>
      <c r="D72" s="129">
        <v>0</v>
      </c>
      <c r="E72" s="129">
        <v>0</v>
      </c>
      <c r="F72" s="129">
        <v>0</v>
      </c>
      <c r="G72" s="130">
        <v>0</v>
      </c>
    </row>
    <row r="73" spans="1:7" ht="22.5" customHeight="1">
      <c r="A73" s="167" t="s">
        <v>805</v>
      </c>
      <c r="B73" s="168" t="s">
        <v>806</v>
      </c>
      <c r="C73" s="169"/>
      <c r="D73" s="129">
        <v>0</v>
      </c>
      <c r="E73" s="129">
        <v>30000000</v>
      </c>
      <c r="F73" s="129">
        <v>0</v>
      </c>
      <c r="G73" s="130">
        <v>0</v>
      </c>
    </row>
    <row r="74" spans="1:7" ht="22.5" customHeight="1">
      <c r="A74" s="167" t="s">
        <v>807</v>
      </c>
      <c r="B74" s="168" t="s">
        <v>808</v>
      </c>
      <c r="C74" s="169"/>
      <c r="D74" s="129">
        <v>0</v>
      </c>
      <c r="E74" s="129">
        <v>0</v>
      </c>
      <c r="F74" s="129">
        <v>0</v>
      </c>
      <c r="G74" s="130">
        <v>0</v>
      </c>
    </row>
    <row r="75" spans="1:7" ht="31.5">
      <c r="A75" s="164" t="s">
        <v>809</v>
      </c>
      <c r="B75" s="165" t="s">
        <v>810</v>
      </c>
      <c r="C75" s="166"/>
      <c r="D75" s="155">
        <f>D19-D35-D43</f>
        <v>816045260973</v>
      </c>
      <c r="E75" s="155">
        <f>E19-E35-E43</f>
        <v>1927675868755</v>
      </c>
      <c r="F75" s="155">
        <f>F19-F35-F43</f>
        <v>9106113893</v>
      </c>
      <c r="G75" s="156">
        <f>G19-G35-G43</f>
        <v>9106113893</v>
      </c>
    </row>
    <row r="76" spans="1:7" ht="22.5" customHeight="1">
      <c r="A76" s="164" t="s">
        <v>811</v>
      </c>
      <c r="B76" s="165" t="s">
        <v>812</v>
      </c>
      <c r="C76" s="166"/>
      <c r="D76" s="155">
        <f>D77-D78</f>
        <v>0</v>
      </c>
      <c r="E76" s="155">
        <f>E77-E78</f>
        <v>0</v>
      </c>
      <c r="F76" s="155">
        <f>F77-F78</f>
        <v>0</v>
      </c>
      <c r="G76" s="156">
        <f>G77-G78</f>
        <v>0</v>
      </c>
    </row>
    <row r="77" spans="1:7" ht="22.5" customHeight="1">
      <c r="A77" s="189" t="s">
        <v>813</v>
      </c>
      <c r="B77" s="102" t="s">
        <v>814</v>
      </c>
      <c r="C77" s="151"/>
      <c r="D77" s="104">
        <v>0</v>
      </c>
      <c r="E77" s="104">
        <v>0</v>
      </c>
      <c r="F77" s="104">
        <v>0</v>
      </c>
      <c r="G77" s="126">
        <v>0</v>
      </c>
    </row>
    <row r="78" spans="1:7" ht="22.5" customHeight="1">
      <c r="A78" s="189" t="s">
        <v>815</v>
      </c>
      <c r="B78" s="102" t="s">
        <v>816</v>
      </c>
      <c r="C78" s="151"/>
      <c r="D78" s="104">
        <v>0</v>
      </c>
      <c r="E78" s="104">
        <v>0</v>
      </c>
      <c r="F78" s="104">
        <v>0</v>
      </c>
      <c r="G78" s="126">
        <v>0</v>
      </c>
    </row>
    <row r="79" spans="1:7" ht="33" customHeight="1">
      <c r="A79" s="164" t="s">
        <v>817</v>
      </c>
      <c r="B79" s="165" t="s">
        <v>818</v>
      </c>
      <c r="C79" s="166"/>
      <c r="D79" s="155">
        <f>D75+D76</f>
        <v>816045260973</v>
      </c>
      <c r="E79" s="155">
        <f>E75+E76</f>
        <v>1927675868755</v>
      </c>
      <c r="F79" s="155">
        <f>F75+F76</f>
        <v>9106113893</v>
      </c>
      <c r="G79" s="156">
        <f>G75+G76</f>
        <v>9106113893</v>
      </c>
    </row>
    <row r="80" spans="1:7" ht="22.5" customHeight="1">
      <c r="A80" s="189" t="s">
        <v>819</v>
      </c>
      <c r="B80" s="102" t="s">
        <v>820</v>
      </c>
      <c r="C80" s="151"/>
      <c r="D80" s="104">
        <v>538423463463.96002</v>
      </c>
      <c r="E80" s="104">
        <v>604696941347.92004</v>
      </c>
      <c r="F80" s="104">
        <v>382638293</v>
      </c>
      <c r="G80" s="126">
        <v>382638293</v>
      </c>
    </row>
    <row r="81" spans="1:7" ht="22.5" customHeight="1">
      <c r="A81" s="189" t="s">
        <v>821</v>
      </c>
      <c r="B81" s="102" t="s">
        <v>822</v>
      </c>
      <c r="C81" s="151"/>
      <c r="D81" s="104">
        <v>277621797509.03998</v>
      </c>
      <c r="E81" s="104">
        <v>1322978927407.0801</v>
      </c>
      <c r="F81" s="104">
        <v>8723475600</v>
      </c>
      <c r="G81" s="126">
        <v>8723475600</v>
      </c>
    </row>
    <row r="82" spans="1:7" ht="22.5" customHeight="1">
      <c r="A82" s="164" t="s">
        <v>823</v>
      </c>
      <c r="B82" s="165" t="s">
        <v>824</v>
      </c>
      <c r="C82" s="166"/>
      <c r="D82" s="155">
        <v>0</v>
      </c>
      <c r="E82" s="155">
        <v>0</v>
      </c>
      <c r="F82" s="155">
        <v>0</v>
      </c>
      <c r="G82" s="156">
        <v>0</v>
      </c>
    </row>
    <row r="83" spans="1:7" ht="33.75" customHeight="1">
      <c r="A83" s="170" t="s">
        <v>825</v>
      </c>
      <c r="B83" s="171" t="s">
        <v>826</v>
      </c>
      <c r="C83" s="172"/>
      <c r="D83" s="173">
        <f>D79</f>
        <v>816045260973</v>
      </c>
      <c r="E83" s="173">
        <f>E79</f>
        <v>1927675868755</v>
      </c>
      <c r="F83" s="173">
        <f>F79</f>
        <v>9106113893</v>
      </c>
      <c r="G83" s="174">
        <f>G79</f>
        <v>9106113893</v>
      </c>
    </row>
    <row r="84" spans="1:7" ht="10.5" customHeight="1">
      <c r="A84" s="115"/>
      <c r="B84" s="281"/>
      <c r="C84" s="281"/>
      <c r="D84" s="281"/>
      <c r="E84" s="281"/>
      <c r="F84" s="281"/>
      <c r="G84" s="281"/>
    </row>
    <row r="85" spans="1:7" s="197" customFormat="1" ht="23.25" customHeight="1">
      <c r="A85" s="111" t="s">
        <v>689</v>
      </c>
      <c r="B85" s="348" t="s">
        <v>690</v>
      </c>
      <c r="C85" s="348"/>
      <c r="D85" s="348"/>
      <c r="E85" s="348"/>
      <c r="F85" s="348" t="s">
        <v>1003</v>
      </c>
      <c r="G85" s="348"/>
    </row>
    <row r="86" spans="1:7" ht="15" customHeight="1">
      <c r="A86" s="175" t="s">
        <v>691</v>
      </c>
      <c r="B86" s="344" t="s">
        <v>691</v>
      </c>
      <c r="C86" s="344"/>
      <c r="D86" s="344"/>
      <c r="E86" s="344"/>
      <c r="F86" s="345" t="s">
        <v>692</v>
      </c>
      <c r="G86" s="345"/>
    </row>
    <row r="87" spans="1:7" ht="81" customHeight="1">
      <c r="A87" s="115"/>
      <c r="B87" s="281"/>
      <c r="C87" s="281"/>
      <c r="D87" s="281"/>
      <c r="E87" s="281"/>
      <c r="F87" s="281"/>
      <c r="G87" s="281"/>
    </row>
    <row r="88" spans="1:7" ht="15.75" customHeight="1">
      <c r="A88" s="111" t="s">
        <v>693</v>
      </c>
      <c r="B88" s="292" t="s">
        <v>694</v>
      </c>
      <c r="C88" s="292"/>
      <c r="D88" s="292"/>
      <c r="E88" s="292"/>
      <c r="F88" s="292" t="s">
        <v>107</v>
      </c>
      <c r="G88" s="292"/>
    </row>
  </sheetData>
  <mergeCells count="40">
    <mergeCell ref="B87:C87"/>
    <mergeCell ref="D87:E87"/>
    <mergeCell ref="F87:G87"/>
    <mergeCell ref="B88:E88"/>
    <mergeCell ref="F88:G88"/>
    <mergeCell ref="B86:E86"/>
    <mergeCell ref="F86:G86"/>
    <mergeCell ref="B14:G14"/>
    <mergeCell ref="B15:G15"/>
    <mergeCell ref="B16:C16"/>
    <mergeCell ref="D16:E16"/>
    <mergeCell ref="F16:G16"/>
    <mergeCell ref="B84:C84"/>
    <mergeCell ref="D84:E84"/>
    <mergeCell ref="F84:G84"/>
    <mergeCell ref="B85:E85"/>
    <mergeCell ref="F85:G85"/>
    <mergeCell ref="A17:A18"/>
    <mergeCell ref="B17:B18"/>
    <mergeCell ref="C17:C18"/>
    <mergeCell ref="D17:E17"/>
    <mergeCell ref="F17:G17"/>
    <mergeCell ref="B13:G13"/>
    <mergeCell ref="A4:G4"/>
    <mergeCell ref="A5:G5"/>
    <mergeCell ref="A6:G6"/>
    <mergeCell ref="B7:C7"/>
    <mergeCell ref="D7:E7"/>
    <mergeCell ref="F7:G7"/>
    <mergeCell ref="B8:G8"/>
    <mergeCell ref="B9:G9"/>
    <mergeCell ref="B10:G10"/>
    <mergeCell ref="B11:G11"/>
    <mergeCell ref="B12:G12"/>
    <mergeCell ref="B1:C1"/>
    <mergeCell ref="D1:G1"/>
    <mergeCell ref="A2:G2"/>
    <mergeCell ref="B3:C3"/>
    <mergeCell ref="D3:E3"/>
    <mergeCell ref="F3:G3"/>
  </mergeCells>
  <printOptions horizontalCentered="1"/>
  <pageMargins left="0" right="0" top="0.34" bottom="0.27" header="0.33" footer="0.23"/>
  <pageSetup paperSize="9" scale="91" fitToHeight="3"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30"/>
  <sheetViews>
    <sheetView showGridLines="0" showZeros="0" showOutlineSymbols="0" view="pageBreakPreview" topLeftCell="A71" zoomScaleNormal="100" zoomScaleSheetLayoutView="100" workbookViewId="0">
      <selection activeCell="E120" sqref="E120"/>
    </sheetView>
  </sheetViews>
  <sheetFormatPr defaultRowHeight="10.5"/>
  <cols>
    <col min="1" max="1" width="6.28515625" style="146" customWidth="1"/>
    <col min="2" max="2" width="42.85546875" style="146" customWidth="1"/>
    <col min="3" max="4" width="7.85546875" style="146" customWidth="1"/>
    <col min="5" max="6" width="21.140625" style="240" customWidth="1"/>
    <col min="7" max="256" width="9.140625" style="146"/>
    <col min="257" max="257" width="6.28515625" style="146" customWidth="1"/>
    <col min="258" max="258" width="42.85546875" style="146" customWidth="1"/>
    <col min="259" max="260" width="7.85546875" style="146" customWidth="1"/>
    <col min="261" max="262" width="21.140625" style="146" customWidth="1"/>
    <col min="263" max="512" width="9.140625" style="146"/>
    <col min="513" max="513" width="6.28515625" style="146" customWidth="1"/>
    <col min="514" max="514" width="42.85546875" style="146" customWidth="1"/>
    <col min="515" max="516" width="7.85546875" style="146" customWidth="1"/>
    <col min="517" max="518" width="21.140625" style="146" customWidth="1"/>
    <col min="519" max="768" width="9.140625" style="146"/>
    <col min="769" max="769" width="6.28515625" style="146" customWidth="1"/>
    <col min="770" max="770" width="42.85546875" style="146" customWidth="1"/>
    <col min="771" max="772" width="7.85546875" style="146" customWidth="1"/>
    <col min="773" max="774" width="21.140625" style="146" customWidth="1"/>
    <col min="775" max="1024" width="9.140625" style="146"/>
    <col min="1025" max="1025" width="6.28515625" style="146" customWidth="1"/>
    <col min="1026" max="1026" width="42.85546875" style="146" customWidth="1"/>
    <col min="1027" max="1028" width="7.85546875" style="146" customWidth="1"/>
    <col min="1029" max="1030" width="21.140625" style="146" customWidth="1"/>
    <col min="1031" max="1280" width="9.140625" style="146"/>
    <col min="1281" max="1281" width="6.28515625" style="146" customWidth="1"/>
    <col min="1282" max="1282" width="42.85546875" style="146" customWidth="1"/>
    <col min="1283" max="1284" width="7.85546875" style="146" customWidth="1"/>
    <col min="1285" max="1286" width="21.140625" style="146" customWidth="1"/>
    <col min="1287" max="1536" width="9.140625" style="146"/>
    <col min="1537" max="1537" width="6.28515625" style="146" customWidth="1"/>
    <col min="1538" max="1538" width="42.85546875" style="146" customWidth="1"/>
    <col min="1539" max="1540" width="7.85546875" style="146" customWidth="1"/>
    <col min="1541" max="1542" width="21.140625" style="146" customWidth="1"/>
    <col min="1543" max="1792" width="9.140625" style="146"/>
    <col min="1793" max="1793" width="6.28515625" style="146" customWidth="1"/>
    <col min="1794" max="1794" width="42.85546875" style="146" customWidth="1"/>
    <col min="1795" max="1796" width="7.85546875" style="146" customWidth="1"/>
    <col min="1797" max="1798" width="21.140625" style="146" customWidth="1"/>
    <col min="1799" max="2048" width="9.140625" style="146"/>
    <col min="2049" max="2049" width="6.28515625" style="146" customWidth="1"/>
    <col min="2050" max="2050" width="42.85546875" style="146" customWidth="1"/>
    <col min="2051" max="2052" width="7.85546875" style="146" customWidth="1"/>
    <col min="2053" max="2054" width="21.140625" style="146" customWidth="1"/>
    <col min="2055" max="2304" width="9.140625" style="146"/>
    <col min="2305" max="2305" width="6.28515625" style="146" customWidth="1"/>
    <col min="2306" max="2306" width="42.85546875" style="146" customWidth="1"/>
    <col min="2307" max="2308" width="7.85546875" style="146" customWidth="1"/>
    <col min="2309" max="2310" width="21.140625" style="146" customWidth="1"/>
    <col min="2311" max="2560" width="9.140625" style="146"/>
    <col min="2561" max="2561" width="6.28515625" style="146" customWidth="1"/>
    <col min="2562" max="2562" width="42.85546875" style="146" customWidth="1"/>
    <col min="2563" max="2564" width="7.85546875" style="146" customWidth="1"/>
    <col min="2565" max="2566" width="21.140625" style="146" customWidth="1"/>
    <col min="2567" max="2816" width="9.140625" style="146"/>
    <col min="2817" max="2817" width="6.28515625" style="146" customWidth="1"/>
    <col min="2818" max="2818" width="42.85546875" style="146" customWidth="1"/>
    <col min="2819" max="2820" width="7.85546875" style="146" customWidth="1"/>
    <col min="2821" max="2822" width="21.140625" style="146" customWidth="1"/>
    <col min="2823" max="3072" width="9.140625" style="146"/>
    <col min="3073" max="3073" width="6.28515625" style="146" customWidth="1"/>
    <col min="3074" max="3074" width="42.85546875" style="146" customWidth="1"/>
    <col min="3075" max="3076" width="7.85546875" style="146" customWidth="1"/>
    <col min="3077" max="3078" width="21.140625" style="146" customWidth="1"/>
    <col min="3079" max="3328" width="9.140625" style="146"/>
    <col min="3329" max="3329" width="6.28515625" style="146" customWidth="1"/>
    <col min="3330" max="3330" width="42.85546875" style="146" customWidth="1"/>
    <col min="3331" max="3332" width="7.85546875" style="146" customWidth="1"/>
    <col min="3333" max="3334" width="21.140625" style="146" customWidth="1"/>
    <col min="3335" max="3584" width="9.140625" style="146"/>
    <col min="3585" max="3585" width="6.28515625" style="146" customWidth="1"/>
    <col min="3586" max="3586" width="42.85546875" style="146" customWidth="1"/>
    <col min="3587" max="3588" width="7.85546875" style="146" customWidth="1"/>
    <col min="3589" max="3590" width="21.140625" style="146" customWidth="1"/>
    <col min="3591" max="3840" width="9.140625" style="146"/>
    <col min="3841" max="3841" width="6.28515625" style="146" customWidth="1"/>
    <col min="3842" max="3842" width="42.85546875" style="146" customWidth="1"/>
    <col min="3843" max="3844" width="7.85546875" style="146" customWidth="1"/>
    <col min="3845" max="3846" width="21.140625" style="146" customWidth="1"/>
    <col min="3847" max="4096" width="9.140625" style="146"/>
    <col min="4097" max="4097" width="6.28515625" style="146" customWidth="1"/>
    <col min="4098" max="4098" width="42.85546875" style="146" customWidth="1"/>
    <col min="4099" max="4100" width="7.85546875" style="146" customWidth="1"/>
    <col min="4101" max="4102" width="21.140625" style="146" customWidth="1"/>
    <col min="4103" max="4352" width="9.140625" style="146"/>
    <col min="4353" max="4353" width="6.28515625" style="146" customWidth="1"/>
    <col min="4354" max="4354" width="42.85546875" style="146" customWidth="1"/>
    <col min="4355" max="4356" width="7.85546875" style="146" customWidth="1"/>
    <col min="4357" max="4358" width="21.140625" style="146" customWidth="1"/>
    <col min="4359" max="4608" width="9.140625" style="146"/>
    <col min="4609" max="4609" width="6.28515625" style="146" customWidth="1"/>
    <col min="4610" max="4610" width="42.85546875" style="146" customWidth="1"/>
    <col min="4611" max="4612" width="7.85546875" style="146" customWidth="1"/>
    <col min="4613" max="4614" width="21.140625" style="146" customWidth="1"/>
    <col min="4615" max="4864" width="9.140625" style="146"/>
    <col min="4865" max="4865" width="6.28515625" style="146" customWidth="1"/>
    <col min="4866" max="4866" width="42.85546875" style="146" customWidth="1"/>
    <col min="4867" max="4868" width="7.85546875" style="146" customWidth="1"/>
    <col min="4869" max="4870" width="21.140625" style="146" customWidth="1"/>
    <col min="4871" max="5120" width="9.140625" style="146"/>
    <col min="5121" max="5121" width="6.28515625" style="146" customWidth="1"/>
    <col min="5122" max="5122" width="42.85546875" style="146" customWidth="1"/>
    <col min="5123" max="5124" width="7.85546875" style="146" customWidth="1"/>
    <col min="5125" max="5126" width="21.140625" style="146" customWidth="1"/>
    <col min="5127" max="5376" width="9.140625" style="146"/>
    <col min="5377" max="5377" width="6.28515625" style="146" customWidth="1"/>
    <col min="5378" max="5378" width="42.85546875" style="146" customWidth="1"/>
    <col min="5379" max="5380" width="7.85546875" style="146" customWidth="1"/>
    <col min="5381" max="5382" width="21.140625" style="146" customWidth="1"/>
    <col min="5383" max="5632" width="9.140625" style="146"/>
    <col min="5633" max="5633" width="6.28515625" style="146" customWidth="1"/>
    <col min="5634" max="5634" width="42.85546875" style="146" customWidth="1"/>
    <col min="5635" max="5636" width="7.85546875" style="146" customWidth="1"/>
    <col min="5637" max="5638" width="21.140625" style="146" customWidth="1"/>
    <col min="5639" max="5888" width="9.140625" style="146"/>
    <col min="5889" max="5889" width="6.28515625" style="146" customWidth="1"/>
    <col min="5890" max="5890" width="42.85546875" style="146" customWidth="1"/>
    <col min="5891" max="5892" width="7.85546875" style="146" customWidth="1"/>
    <col min="5893" max="5894" width="21.140625" style="146" customWidth="1"/>
    <col min="5895" max="6144" width="9.140625" style="146"/>
    <col min="6145" max="6145" width="6.28515625" style="146" customWidth="1"/>
    <col min="6146" max="6146" width="42.85546875" style="146" customWidth="1"/>
    <col min="6147" max="6148" width="7.85546875" style="146" customWidth="1"/>
    <col min="6149" max="6150" width="21.140625" style="146" customWidth="1"/>
    <col min="6151" max="6400" width="9.140625" style="146"/>
    <col min="6401" max="6401" width="6.28515625" style="146" customWidth="1"/>
    <col min="6402" max="6402" width="42.85546875" style="146" customWidth="1"/>
    <col min="6403" max="6404" width="7.85546875" style="146" customWidth="1"/>
    <col min="6405" max="6406" width="21.140625" style="146" customWidth="1"/>
    <col min="6407" max="6656" width="9.140625" style="146"/>
    <col min="6657" max="6657" width="6.28515625" style="146" customWidth="1"/>
    <col min="6658" max="6658" width="42.85546875" style="146" customWidth="1"/>
    <col min="6659" max="6660" width="7.85546875" style="146" customWidth="1"/>
    <col min="6661" max="6662" width="21.140625" style="146" customWidth="1"/>
    <col min="6663" max="6912" width="9.140625" style="146"/>
    <col min="6913" max="6913" width="6.28515625" style="146" customWidth="1"/>
    <col min="6914" max="6914" width="42.85546875" style="146" customWidth="1"/>
    <col min="6915" max="6916" width="7.85546875" style="146" customWidth="1"/>
    <col min="6917" max="6918" width="21.140625" style="146" customWidth="1"/>
    <col min="6919" max="7168" width="9.140625" style="146"/>
    <col min="7169" max="7169" width="6.28515625" style="146" customWidth="1"/>
    <col min="7170" max="7170" width="42.85546875" style="146" customWidth="1"/>
    <col min="7171" max="7172" width="7.85546875" style="146" customWidth="1"/>
    <col min="7173" max="7174" width="21.140625" style="146" customWidth="1"/>
    <col min="7175" max="7424" width="9.140625" style="146"/>
    <col min="7425" max="7425" width="6.28515625" style="146" customWidth="1"/>
    <col min="7426" max="7426" width="42.85546875" style="146" customWidth="1"/>
    <col min="7427" max="7428" width="7.85546875" style="146" customWidth="1"/>
    <col min="7429" max="7430" width="21.140625" style="146" customWidth="1"/>
    <col min="7431" max="7680" width="9.140625" style="146"/>
    <col min="7681" max="7681" width="6.28515625" style="146" customWidth="1"/>
    <col min="7682" max="7682" width="42.85546875" style="146" customWidth="1"/>
    <col min="7683" max="7684" width="7.85546875" style="146" customWidth="1"/>
    <col min="7685" max="7686" width="21.140625" style="146" customWidth="1"/>
    <col min="7687" max="7936" width="9.140625" style="146"/>
    <col min="7937" max="7937" width="6.28515625" style="146" customWidth="1"/>
    <col min="7938" max="7938" width="42.85546875" style="146" customWidth="1"/>
    <col min="7939" max="7940" width="7.85546875" style="146" customWidth="1"/>
    <col min="7941" max="7942" width="21.140625" style="146" customWidth="1"/>
    <col min="7943" max="8192" width="9.140625" style="146"/>
    <col min="8193" max="8193" width="6.28515625" style="146" customWidth="1"/>
    <col min="8194" max="8194" width="42.85546875" style="146" customWidth="1"/>
    <col min="8195" max="8196" width="7.85546875" style="146" customWidth="1"/>
    <col min="8197" max="8198" width="21.140625" style="146" customWidth="1"/>
    <col min="8199" max="8448" width="9.140625" style="146"/>
    <col min="8449" max="8449" width="6.28515625" style="146" customWidth="1"/>
    <col min="8450" max="8450" width="42.85546875" style="146" customWidth="1"/>
    <col min="8451" max="8452" width="7.85546875" style="146" customWidth="1"/>
    <col min="8453" max="8454" width="21.140625" style="146" customWidth="1"/>
    <col min="8455" max="8704" width="9.140625" style="146"/>
    <col min="8705" max="8705" width="6.28515625" style="146" customWidth="1"/>
    <col min="8706" max="8706" width="42.85546875" style="146" customWidth="1"/>
    <col min="8707" max="8708" width="7.85546875" style="146" customWidth="1"/>
    <col min="8709" max="8710" width="21.140625" style="146" customWidth="1"/>
    <col min="8711" max="8960" width="9.140625" style="146"/>
    <col min="8961" max="8961" width="6.28515625" style="146" customWidth="1"/>
    <col min="8962" max="8962" width="42.85546875" style="146" customWidth="1"/>
    <col min="8963" max="8964" width="7.85546875" style="146" customWidth="1"/>
    <col min="8965" max="8966" width="21.140625" style="146" customWidth="1"/>
    <col min="8967" max="9216" width="9.140625" style="146"/>
    <col min="9217" max="9217" width="6.28515625" style="146" customWidth="1"/>
    <col min="9218" max="9218" width="42.85546875" style="146" customWidth="1"/>
    <col min="9219" max="9220" width="7.85546875" style="146" customWidth="1"/>
    <col min="9221" max="9222" width="21.140625" style="146" customWidth="1"/>
    <col min="9223" max="9472" width="9.140625" style="146"/>
    <col min="9473" max="9473" width="6.28515625" style="146" customWidth="1"/>
    <col min="9474" max="9474" width="42.85546875" style="146" customWidth="1"/>
    <col min="9475" max="9476" width="7.85546875" style="146" customWidth="1"/>
    <col min="9477" max="9478" width="21.140625" style="146" customWidth="1"/>
    <col min="9479" max="9728" width="9.140625" style="146"/>
    <col min="9729" max="9729" width="6.28515625" style="146" customWidth="1"/>
    <col min="9730" max="9730" width="42.85546875" style="146" customWidth="1"/>
    <col min="9731" max="9732" width="7.85546875" style="146" customWidth="1"/>
    <col min="9733" max="9734" width="21.140625" style="146" customWidth="1"/>
    <col min="9735" max="9984" width="9.140625" style="146"/>
    <col min="9985" max="9985" width="6.28515625" style="146" customWidth="1"/>
    <col min="9986" max="9986" width="42.85546875" style="146" customWidth="1"/>
    <col min="9987" max="9988" width="7.85546875" style="146" customWidth="1"/>
    <col min="9989" max="9990" width="21.140625" style="146" customWidth="1"/>
    <col min="9991" max="10240" width="9.140625" style="146"/>
    <col min="10241" max="10241" width="6.28515625" style="146" customWidth="1"/>
    <col min="10242" max="10242" width="42.85546875" style="146" customWidth="1"/>
    <col min="10243" max="10244" width="7.85546875" style="146" customWidth="1"/>
    <col min="10245" max="10246" width="21.140625" style="146" customWidth="1"/>
    <col min="10247" max="10496" width="9.140625" style="146"/>
    <col min="10497" max="10497" width="6.28515625" style="146" customWidth="1"/>
    <col min="10498" max="10498" width="42.85546875" style="146" customWidth="1"/>
    <col min="10499" max="10500" width="7.85546875" style="146" customWidth="1"/>
    <col min="10501" max="10502" width="21.140625" style="146" customWidth="1"/>
    <col min="10503" max="10752" width="9.140625" style="146"/>
    <col min="10753" max="10753" width="6.28515625" style="146" customWidth="1"/>
    <col min="10754" max="10754" width="42.85546875" style="146" customWidth="1"/>
    <col min="10755" max="10756" width="7.85546875" style="146" customWidth="1"/>
    <col min="10757" max="10758" width="21.140625" style="146" customWidth="1"/>
    <col min="10759" max="11008" width="9.140625" style="146"/>
    <col min="11009" max="11009" width="6.28515625" style="146" customWidth="1"/>
    <col min="11010" max="11010" width="42.85546875" style="146" customWidth="1"/>
    <col min="11011" max="11012" width="7.85546875" style="146" customWidth="1"/>
    <col min="11013" max="11014" width="21.140625" style="146" customWidth="1"/>
    <col min="11015" max="11264" width="9.140625" style="146"/>
    <col min="11265" max="11265" width="6.28515625" style="146" customWidth="1"/>
    <col min="11266" max="11266" width="42.85546875" style="146" customWidth="1"/>
    <col min="11267" max="11268" width="7.85546875" style="146" customWidth="1"/>
    <col min="11269" max="11270" width="21.140625" style="146" customWidth="1"/>
    <col min="11271" max="11520" width="9.140625" style="146"/>
    <col min="11521" max="11521" width="6.28515625" style="146" customWidth="1"/>
    <col min="11522" max="11522" width="42.85546875" style="146" customWidth="1"/>
    <col min="11523" max="11524" width="7.85546875" style="146" customWidth="1"/>
    <col min="11525" max="11526" width="21.140625" style="146" customWidth="1"/>
    <col min="11527" max="11776" width="9.140625" style="146"/>
    <col min="11777" max="11777" width="6.28515625" style="146" customWidth="1"/>
    <col min="11778" max="11778" width="42.85546875" style="146" customWidth="1"/>
    <col min="11779" max="11780" width="7.85546875" style="146" customWidth="1"/>
    <col min="11781" max="11782" width="21.140625" style="146" customWidth="1"/>
    <col min="11783" max="12032" width="9.140625" style="146"/>
    <col min="12033" max="12033" width="6.28515625" style="146" customWidth="1"/>
    <col min="12034" max="12034" width="42.85546875" style="146" customWidth="1"/>
    <col min="12035" max="12036" width="7.85546875" style="146" customWidth="1"/>
    <col min="12037" max="12038" width="21.140625" style="146" customWidth="1"/>
    <col min="12039" max="12288" width="9.140625" style="146"/>
    <col min="12289" max="12289" width="6.28515625" style="146" customWidth="1"/>
    <col min="12290" max="12290" width="42.85546875" style="146" customWidth="1"/>
    <col min="12291" max="12292" width="7.85546875" style="146" customWidth="1"/>
    <col min="12293" max="12294" width="21.140625" style="146" customWidth="1"/>
    <col min="12295" max="12544" width="9.140625" style="146"/>
    <col min="12545" max="12545" width="6.28515625" style="146" customWidth="1"/>
    <col min="12546" max="12546" width="42.85546875" style="146" customWidth="1"/>
    <col min="12547" max="12548" width="7.85546875" style="146" customWidth="1"/>
    <col min="12549" max="12550" width="21.140625" style="146" customWidth="1"/>
    <col min="12551" max="12800" width="9.140625" style="146"/>
    <col min="12801" max="12801" width="6.28515625" style="146" customWidth="1"/>
    <col min="12802" max="12802" width="42.85546875" style="146" customWidth="1"/>
    <col min="12803" max="12804" width="7.85546875" style="146" customWidth="1"/>
    <col min="12805" max="12806" width="21.140625" style="146" customWidth="1"/>
    <col min="12807" max="13056" width="9.140625" style="146"/>
    <col min="13057" max="13057" width="6.28515625" style="146" customWidth="1"/>
    <col min="13058" max="13058" width="42.85546875" style="146" customWidth="1"/>
    <col min="13059" max="13060" width="7.85546875" style="146" customWidth="1"/>
    <col min="13061" max="13062" width="21.140625" style="146" customWidth="1"/>
    <col min="13063" max="13312" width="9.140625" style="146"/>
    <col min="13313" max="13313" width="6.28515625" style="146" customWidth="1"/>
    <col min="13314" max="13314" width="42.85546875" style="146" customWidth="1"/>
    <col min="13315" max="13316" width="7.85546875" style="146" customWidth="1"/>
    <col min="13317" max="13318" width="21.140625" style="146" customWidth="1"/>
    <col min="13319" max="13568" width="9.140625" style="146"/>
    <col min="13569" max="13569" width="6.28515625" style="146" customWidth="1"/>
    <col min="13570" max="13570" width="42.85546875" style="146" customWidth="1"/>
    <col min="13571" max="13572" width="7.85546875" style="146" customWidth="1"/>
    <col min="13573" max="13574" width="21.140625" style="146" customWidth="1"/>
    <col min="13575" max="13824" width="9.140625" style="146"/>
    <col min="13825" max="13825" width="6.28515625" style="146" customWidth="1"/>
    <col min="13826" max="13826" width="42.85546875" style="146" customWidth="1"/>
    <col min="13827" max="13828" width="7.85546875" style="146" customWidth="1"/>
    <col min="13829" max="13830" width="21.140625" style="146" customWidth="1"/>
    <col min="13831" max="14080" width="9.140625" style="146"/>
    <col min="14081" max="14081" width="6.28515625" style="146" customWidth="1"/>
    <col min="14082" max="14082" width="42.85546875" style="146" customWidth="1"/>
    <col min="14083" max="14084" width="7.85546875" style="146" customWidth="1"/>
    <col min="14085" max="14086" width="21.140625" style="146" customWidth="1"/>
    <col min="14087" max="14336" width="9.140625" style="146"/>
    <col min="14337" max="14337" width="6.28515625" style="146" customWidth="1"/>
    <col min="14338" max="14338" width="42.85546875" style="146" customWidth="1"/>
    <col min="14339" max="14340" width="7.85546875" style="146" customWidth="1"/>
    <col min="14341" max="14342" width="21.140625" style="146" customWidth="1"/>
    <col min="14343" max="14592" width="9.140625" style="146"/>
    <col min="14593" max="14593" width="6.28515625" style="146" customWidth="1"/>
    <col min="14594" max="14594" width="42.85546875" style="146" customWidth="1"/>
    <col min="14595" max="14596" width="7.85546875" style="146" customWidth="1"/>
    <col min="14597" max="14598" width="21.140625" style="146" customWidth="1"/>
    <col min="14599" max="14848" width="9.140625" style="146"/>
    <col min="14849" max="14849" width="6.28515625" style="146" customWidth="1"/>
    <col min="14850" max="14850" width="42.85546875" style="146" customWidth="1"/>
    <col min="14851" max="14852" width="7.85546875" style="146" customWidth="1"/>
    <col min="14853" max="14854" width="21.140625" style="146" customWidth="1"/>
    <col min="14855" max="15104" width="9.140625" style="146"/>
    <col min="15105" max="15105" width="6.28515625" style="146" customWidth="1"/>
    <col min="15106" max="15106" width="42.85546875" style="146" customWidth="1"/>
    <col min="15107" max="15108" width="7.85546875" style="146" customWidth="1"/>
    <col min="15109" max="15110" width="21.140625" style="146" customWidth="1"/>
    <col min="15111" max="15360" width="9.140625" style="146"/>
    <col min="15361" max="15361" width="6.28515625" style="146" customWidth="1"/>
    <col min="15362" max="15362" width="42.85546875" style="146" customWidth="1"/>
    <col min="15363" max="15364" width="7.85546875" style="146" customWidth="1"/>
    <col min="15365" max="15366" width="21.140625" style="146" customWidth="1"/>
    <col min="15367" max="15616" width="9.140625" style="146"/>
    <col min="15617" max="15617" width="6.28515625" style="146" customWidth="1"/>
    <col min="15618" max="15618" width="42.85546875" style="146" customWidth="1"/>
    <col min="15619" max="15620" width="7.85546875" style="146" customWidth="1"/>
    <col min="15621" max="15622" width="21.140625" style="146" customWidth="1"/>
    <col min="15623" max="15872" width="9.140625" style="146"/>
    <col min="15873" max="15873" width="6.28515625" style="146" customWidth="1"/>
    <col min="15874" max="15874" width="42.85546875" style="146" customWidth="1"/>
    <col min="15875" max="15876" width="7.85546875" style="146" customWidth="1"/>
    <col min="15877" max="15878" width="21.140625" style="146" customWidth="1"/>
    <col min="15879" max="16128" width="9.140625" style="146"/>
    <col min="16129" max="16129" width="6.28515625" style="146" customWidth="1"/>
    <col min="16130" max="16130" width="42.85546875" style="146" customWidth="1"/>
    <col min="16131" max="16132" width="7.85546875" style="146" customWidth="1"/>
    <col min="16133" max="16134" width="21.140625" style="146" customWidth="1"/>
    <col min="16135" max="16384" width="9.140625" style="146"/>
  </cols>
  <sheetData>
    <row r="1" spans="1:6" ht="37.5" customHeight="1">
      <c r="A1" s="281"/>
      <c r="B1" s="281"/>
      <c r="C1" s="282" t="s">
        <v>827</v>
      </c>
      <c r="D1" s="282"/>
      <c r="E1" s="282"/>
      <c r="F1" s="282"/>
    </row>
    <row r="2" spans="1:6" ht="23.25" customHeight="1">
      <c r="A2" s="283" t="s">
        <v>660</v>
      </c>
      <c r="B2" s="283"/>
      <c r="C2" s="283"/>
      <c r="D2" s="283"/>
      <c r="E2" s="283"/>
      <c r="F2" s="283"/>
    </row>
    <row r="3" spans="1:6" ht="3.75" customHeight="1">
      <c r="A3" s="115"/>
      <c r="B3" s="115"/>
      <c r="C3" s="115"/>
      <c r="D3" s="115"/>
      <c r="E3" s="228"/>
      <c r="F3" s="228"/>
    </row>
    <row r="4" spans="1:6" ht="30.75" customHeight="1">
      <c r="A4" s="284" t="s">
        <v>828</v>
      </c>
      <c r="B4" s="284"/>
      <c r="C4" s="284"/>
      <c r="D4" s="284"/>
      <c r="E4" s="284"/>
      <c r="F4" s="284"/>
    </row>
    <row r="5" spans="1:6" ht="11.25" customHeight="1">
      <c r="A5" s="293" t="s">
        <v>111</v>
      </c>
      <c r="B5" s="293"/>
      <c r="C5" s="293"/>
      <c r="D5" s="293"/>
      <c r="E5" s="293"/>
      <c r="F5" s="293"/>
    </row>
    <row r="6" spans="1:6" ht="5.25" customHeight="1">
      <c r="A6" s="115"/>
      <c r="B6" s="115"/>
      <c r="C6" s="190"/>
      <c r="D6" s="115"/>
      <c r="E6" s="228"/>
      <c r="F6" s="228"/>
    </row>
    <row r="7" spans="1:6" ht="4.5" customHeight="1">
      <c r="A7" s="115"/>
      <c r="B7" s="115"/>
      <c r="C7" s="115"/>
      <c r="D7" s="115"/>
      <c r="E7" s="228"/>
      <c r="F7" s="228"/>
    </row>
    <row r="8" spans="1:6" ht="12.75" customHeight="1">
      <c r="A8" s="280" t="s">
        <v>3</v>
      </c>
      <c r="B8" s="280"/>
      <c r="C8" s="280" t="s">
        <v>118</v>
      </c>
      <c r="D8" s="280"/>
      <c r="E8" s="280"/>
      <c r="F8" s="280"/>
    </row>
    <row r="9" spans="1:6" ht="12.75" customHeight="1">
      <c r="A9" s="281" t="s">
        <v>5</v>
      </c>
      <c r="B9" s="281"/>
      <c r="C9" s="281" t="s">
        <v>6</v>
      </c>
      <c r="D9" s="281"/>
      <c r="E9" s="281"/>
      <c r="F9" s="281"/>
    </row>
    <row r="10" spans="1:6" ht="12.75" customHeight="1">
      <c r="A10" s="280" t="s">
        <v>7</v>
      </c>
      <c r="B10" s="280"/>
      <c r="C10" s="280" t="s">
        <v>119</v>
      </c>
      <c r="D10" s="280"/>
      <c r="E10" s="280"/>
      <c r="F10" s="280"/>
    </row>
    <row r="11" spans="1:6" ht="12.75" customHeight="1">
      <c r="A11" s="281" t="s">
        <v>120</v>
      </c>
      <c r="B11" s="281"/>
      <c r="C11" s="281" t="s">
        <v>121</v>
      </c>
      <c r="D11" s="281"/>
      <c r="E11" s="281"/>
      <c r="F11" s="281"/>
    </row>
    <row r="12" spans="1:6" ht="12.75" customHeight="1">
      <c r="A12" s="280" t="s">
        <v>11</v>
      </c>
      <c r="B12" s="280"/>
      <c r="C12" s="280" t="s">
        <v>114</v>
      </c>
      <c r="D12" s="280"/>
      <c r="E12" s="280"/>
      <c r="F12" s="280"/>
    </row>
    <row r="13" spans="1:6" ht="12.75" customHeight="1">
      <c r="A13" s="281" t="s">
        <v>115</v>
      </c>
      <c r="B13" s="281"/>
      <c r="C13" s="281" t="s">
        <v>116</v>
      </c>
      <c r="D13" s="281"/>
      <c r="E13" s="281"/>
      <c r="F13" s="281"/>
    </row>
    <row r="14" spans="1:6" ht="12.75" customHeight="1">
      <c r="A14" s="280" t="s">
        <v>15</v>
      </c>
      <c r="B14" s="280"/>
      <c r="C14" s="287">
        <v>44322</v>
      </c>
      <c r="D14" s="280"/>
      <c r="E14" s="280"/>
      <c r="F14" s="280"/>
    </row>
    <row r="15" spans="1:6" ht="12.75" customHeight="1">
      <c r="A15" s="281" t="s">
        <v>16</v>
      </c>
      <c r="B15" s="281"/>
      <c r="C15" s="288">
        <v>44322</v>
      </c>
      <c r="D15" s="281"/>
      <c r="E15" s="281"/>
      <c r="F15" s="281"/>
    </row>
    <row r="16" spans="1:6" ht="12.75" customHeight="1">
      <c r="A16" s="147"/>
      <c r="B16" s="147"/>
      <c r="C16" s="147"/>
      <c r="D16" s="147"/>
      <c r="E16" s="229"/>
      <c r="F16" s="230" t="s">
        <v>126</v>
      </c>
    </row>
    <row r="17" spans="1:6" ht="36" customHeight="1">
      <c r="A17" s="97" t="s">
        <v>68</v>
      </c>
      <c r="B17" s="137" t="s">
        <v>829</v>
      </c>
      <c r="C17" s="137" t="s">
        <v>698</v>
      </c>
      <c r="D17" s="137" t="s">
        <v>830</v>
      </c>
      <c r="E17" s="231" t="s">
        <v>831</v>
      </c>
      <c r="F17" s="232" t="s">
        <v>832</v>
      </c>
    </row>
    <row r="18" spans="1:6" ht="22.5" customHeight="1">
      <c r="A18" s="176" t="s">
        <v>83</v>
      </c>
      <c r="B18" s="177" t="s">
        <v>1064</v>
      </c>
      <c r="C18" s="178" t="s">
        <v>83</v>
      </c>
      <c r="D18" s="178"/>
      <c r="E18" s="233">
        <v>0</v>
      </c>
      <c r="F18" s="234">
        <v>0</v>
      </c>
    </row>
    <row r="19" spans="1:6" ht="22.5" customHeight="1">
      <c r="A19" s="176" t="s">
        <v>112</v>
      </c>
      <c r="B19" s="177" t="s">
        <v>1063</v>
      </c>
      <c r="C19" s="178" t="s">
        <v>833</v>
      </c>
      <c r="D19" s="178"/>
      <c r="E19" s="233">
        <f>E20+E25+E26</f>
        <v>514787694269</v>
      </c>
      <c r="F19" s="234">
        <f>F20+F25+F26</f>
        <v>102204383631</v>
      </c>
    </row>
    <row r="20" spans="1:6" ht="22.5" customHeight="1">
      <c r="A20" s="191" t="s">
        <v>834</v>
      </c>
      <c r="B20" s="192" t="s">
        <v>1062</v>
      </c>
      <c r="C20" s="193" t="s">
        <v>835</v>
      </c>
      <c r="D20" s="193"/>
      <c r="E20" s="212">
        <f>E21+E22+E23+E24</f>
        <v>514787694269</v>
      </c>
      <c r="F20" s="235">
        <f>F21+F22+F23+F24</f>
        <v>42204383631</v>
      </c>
    </row>
    <row r="21" spans="1:6" ht="22.5" customHeight="1">
      <c r="A21" s="179"/>
      <c r="B21" s="180" t="s">
        <v>836</v>
      </c>
      <c r="C21" s="181" t="s">
        <v>837</v>
      </c>
      <c r="D21" s="181"/>
      <c r="E21" s="236">
        <v>0</v>
      </c>
      <c r="F21" s="237">
        <v>2019996</v>
      </c>
    </row>
    <row r="22" spans="1:6" ht="22.5" customHeight="1">
      <c r="A22" s="179"/>
      <c r="B22" s="180" t="s">
        <v>838</v>
      </c>
      <c r="C22" s="181" t="s">
        <v>839</v>
      </c>
      <c r="D22" s="181"/>
      <c r="E22" s="236">
        <v>0</v>
      </c>
      <c r="F22" s="237">
        <v>0</v>
      </c>
    </row>
    <row r="23" spans="1:6" ht="22.5" customHeight="1">
      <c r="A23" s="179"/>
      <c r="B23" s="180" t="s">
        <v>239</v>
      </c>
      <c r="C23" s="181" t="s">
        <v>840</v>
      </c>
      <c r="D23" s="181"/>
      <c r="E23" s="236">
        <v>514787694269</v>
      </c>
      <c r="F23" s="237">
        <v>42202363635</v>
      </c>
    </row>
    <row r="24" spans="1:6" ht="22.5" customHeight="1">
      <c r="A24" s="179"/>
      <c r="B24" s="180" t="s">
        <v>841</v>
      </c>
      <c r="C24" s="181" t="s">
        <v>842</v>
      </c>
      <c r="D24" s="181"/>
      <c r="E24" s="236">
        <v>0</v>
      </c>
      <c r="F24" s="237">
        <v>0</v>
      </c>
    </row>
    <row r="25" spans="1:6" ht="22.5" customHeight="1">
      <c r="A25" s="191" t="s">
        <v>843</v>
      </c>
      <c r="B25" s="192" t="s">
        <v>1061</v>
      </c>
      <c r="C25" s="193" t="s">
        <v>844</v>
      </c>
      <c r="D25" s="193"/>
      <c r="E25" s="212">
        <v>0</v>
      </c>
      <c r="F25" s="235">
        <v>60000000000</v>
      </c>
    </row>
    <row r="26" spans="1:6" ht="22.5" customHeight="1">
      <c r="A26" s="191" t="s">
        <v>845</v>
      </c>
      <c r="B26" s="192" t="s">
        <v>1060</v>
      </c>
      <c r="C26" s="193" t="s">
        <v>846</v>
      </c>
      <c r="D26" s="193"/>
      <c r="E26" s="212">
        <v>0</v>
      </c>
      <c r="F26" s="235">
        <v>0</v>
      </c>
    </row>
    <row r="27" spans="1:6" ht="22.5" customHeight="1">
      <c r="A27" s="176" t="s">
        <v>117</v>
      </c>
      <c r="B27" s="177" t="s">
        <v>1059</v>
      </c>
      <c r="C27" s="178" t="s">
        <v>847</v>
      </c>
      <c r="D27" s="178"/>
      <c r="E27" s="233">
        <f>E28-E38</f>
        <v>9648802687450</v>
      </c>
      <c r="F27" s="234">
        <f>F28-F38</f>
        <v>9662246796750</v>
      </c>
    </row>
    <row r="28" spans="1:6" ht="22.5" customHeight="1">
      <c r="A28" s="191" t="s">
        <v>848</v>
      </c>
      <c r="B28" s="192" t="s">
        <v>1058</v>
      </c>
      <c r="C28" s="193" t="s">
        <v>849</v>
      </c>
      <c r="D28" s="193"/>
      <c r="E28" s="212">
        <f>E29+E30+E31+E32+E33+E34+E35+E36+E37</f>
        <v>9648802687450</v>
      </c>
      <c r="F28" s="235">
        <f>F29+F30+F31+F32+F33+F34+F35+F36+F37</f>
        <v>9662246796750</v>
      </c>
    </row>
    <row r="29" spans="1:6" ht="22.5" customHeight="1">
      <c r="A29" s="179"/>
      <c r="B29" s="180" t="s">
        <v>850</v>
      </c>
      <c r="C29" s="181" t="s">
        <v>851</v>
      </c>
      <c r="D29" s="181"/>
      <c r="E29" s="236">
        <v>9648802687450</v>
      </c>
      <c r="F29" s="237">
        <v>9662246796750</v>
      </c>
    </row>
    <row r="30" spans="1:6" ht="22.5" customHeight="1">
      <c r="A30" s="179"/>
      <c r="B30" s="180" t="s">
        <v>852</v>
      </c>
      <c r="C30" s="181" t="s">
        <v>853</v>
      </c>
      <c r="D30" s="181"/>
      <c r="E30" s="236">
        <v>0</v>
      </c>
      <c r="F30" s="237">
        <v>0</v>
      </c>
    </row>
    <row r="31" spans="1:6" ht="22.5" customHeight="1">
      <c r="A31" s="179"/>
      <c r="B31" s="180" t="s">
        <v>854</v>
      </c>
      <c r="C31" s="181" t="s">
        <v>855</v>
      </c>
      <c r="D31" s="181"/>
      <c r="E31" s="236">
        <v>0</v>
      </c>
      <c r="F31" s="237">
        <v>0</v>
      </c>
    </row>
    <row r="32" spans="1:6" ht="22.5" customHeight="1">
      <c r="A32" s="179"/>
      <c r="B32" s="180" t="s">
        <v>856</v>
      </c>
      <c r="C32" s="181" t="s">
        <v>857</v>
      </c>
      <c r="D32" s="181"/>
      <c r="E32" s="236">
        <v>0</v>
      </c>
      <c r="F32" s="237">
        <v>0</v>
      </c>
    </row>
    <row r="33" spans="1:6" ht="22.5" customHeight="1">
      <c r="A33" s="179"/>
      <c r="B33" s="180" t="s">
        <v>858</v>
      </c>
      <c r="C33" s="181" t="s">
        <v>859</v>
      </c>
      <c r="D33" s="181"/>
      <c r="E33" s="236">
        <v>0</v>
      </c>
      <c r="F33" s="237">
        <v>0</v>
      </c>
    </row>
    <row r="34" spans="1:6" ht="22.5" customHeight="1">
      <c r="A34" s="179"/>
      <c r="B34" s="180" t="s">
        <v>860</v>
      </c>
      <c r="C34" s="181" t="s">
        <v>861</v>
      </c>
      <c r="D34" s="181"/>
      <c r="E34" s="236">
        <v>0</v>
      </c>
      <c r="F34" s="237">
        <v>0</v>
      </c>
    </row>
    <row r="35" spans="1:6" ht="22.5" customHeight="1">
      <c r="A35" s="179"/>
      <c r="B35" s="180" t="s">
        <v>201</v>
      </c>
      <c r="C35" s="181" t="s">
        <v>862</v>
      </c>
      <c r="D35" s="181"/>
      <c r="E35" s="236">
        <v>0</v>
      </c>
      <c r="F35" s="237">
        <v>0</v>
      </c>
    </row>
    <row r="36" spans="1:6" ht="22.5" customHeight="1">
      <c r="A36" s="179"/>
      <c r="B36" s="180" t="s">
        <v>863</v>
      </c>
      <c r="C36" s="181" t="s">
        <v>864</v>
      </c>
      <c r="D36" s="181"/>
      <c r="E36" s="236">
        <v>0</v>
      </c>
      <c r="F36" s="237">
        <v>0</v>
      </c>
    </row>
    <row r="37" spans="1:6" ht="22.5" customHeight="1">
      <c r="A37" s="179"/>
      <c r="B37" s="180" t="s">
        <v>515</v>
      </c>
      <c r="C37" s="181" t="s">
        <v>865</v>
      </c>
      <c r="D37" s="181"/>
      <c r="E37" s="236">
        <v>0</v>
      </c>
      <c r="F37" s="237">
        <v>0</v>
      </c>
    </row>
    <row r="38" spans="1:6" ht="22.5" customHeight="1">
      <c r="A38" s="191" t="s">
        <v>866</v>
      </c>
      <c r="B38" s="192" t="s">
        <v>1057</v>
      </c>
      <c r="C38" s="193" t="s">
        <v>867</v>
      </c>
      <c r="D38" s="193"/>
      <c r="E38" s="212">
        <v>0</v>
      </c>
      <c r="F38" s="235">
        <v>0</v>
      </c>
    </row>
    <row r="39" spans="1:6" ht="22.5" customHeight="1">
      <c r="A39" s="176" t="s">
        <v>93</v>
      </c>
      <c r="B39" s="177" t="s">
        <v>1056</v>
      </c>
      <c r="C39" s="178" t="s">
        <v>868</v>
      </c>
      <c r="D39" s="178"/>
      <c r="E39" s="233">
        <f>E40+E42+E56-E64</f>
        <v>1299023770000</v>
      </c>
      <c r="F39" s="234">
        <f>F40+F42+F56-F64</f>
        <v>43667558392</v>
      </c>
    </row>
    <row r="40" spans="1:6" ht="22.5" customHeight="1">
      <c r="A40" s="191" t="s">
        <v>869</v>
      </c>
      <c r="B40" s="192" t="s">
        <v>1055</v>
      </c>
      <c r="C40" s="193" t="s">
        <v>870</v>
      </c>
      <c r="D40" s="193"/>
      <c r="E40" s="212">
        <v>1299023770000</v>
      </c>
      <c r="F40" s="235">
        <v>36044540000</v>
      </c>
    </row>
    <row r="41" spans="1:6" ht="22.5" customHeight="1">
      <c r="A41" s="191"/>
      <c r="B41" s="192" t="s">
        <v>871</v>
      </c>
      <c r="C41" s="193" t="s">
        <v>872</v>
      </c>
      <c r="D41" s="193"/>
      <c r="E41" s="212">
        <v>0</v>
      </c>
      <c r="F41" s="235">
        <v>0</v>
      </c>
    </row>
    <row r="42" spans="1:6" ht="22.5" customHeight="1">
      <c r="A42" s="191" t="s">
        <v>873</v>
      </c>
      <c r="B42" s="192" t="s">
        <v>1054</v>
      </c>
      <c r="C42" s="193" t="s">
        <v>874</v>
      </c>
      <c r="D42" s="193"/>
      <c r="E42" s="212">
        <f>E43+E49+E50</f>
        <v>0</v>
      </c>
      <c r="F42" s="235">
        <f>F43+F49+F50</f>
        <v>7623018392</v>
      </c>
    </row>
    <row r="43" spans="1:6" ht="22.5" customHeight="1">
      <c r="A43" s="191" t="s">
        <v>875</v>
      </c>
      <c r="B43" s="192" t="s">
        <v>1053</v>
      </c>
      <c r="C43" s="193" t="s">
        <v>876</v>
      </c>
      <c r="D43" s="193"/>
      <c r="E43" s="212">
        <f>E44+E45+E46+E47+E48</f>
        <v>0</v>
      </c>
      <c r="F43" s="235">
        <f>F44+F45+F46+F47+F48</f>
        <v>0</v>
      </c>
    </row>
    <row r="44" spans="1:6" ht="22.5" customHeight="1">
      <c r="A44" s="179"/>
      <c r="B44" s="180" t="s">
        <v>877</v>
      </c>
      <c r="C44" s="181" t="s">
        <v>878</v>
      </c>
      <c r="D44" s="181"/>
      <c r="E44" s="236">
        <v>0</v>
      </c>
      <c r="F44" s="237">
        <v>0</v>
      </c>
    </row>
    <row r="45" spans="1:6" ht="22.5" customHeight="1">
      <c r="A45" s="179"/>
      <c r="B45" s="180" t="s">
        <v>879</v>
      </c>
      <c r="C45" s="181" t="s">
        <v>880</v>
      </c>
      <c r="D45" s="181"/>
      <c r="E45" s="236">
        <v>0</v>
      </c>
      <c r="F45" s="237">
        <v>0</v>
      </c>
    </row>
    <row r="46" spans="1:6" ht="32.25" customHeight="1">
      <c r="A46" s="179"/>
      <c r="B46" s="180" t="s">
        <v>881</v>
      </c>
      <c r="C46" s="181" t="s">
        <v>882</v>
      </c>
      <c r="D46" s="181"/>
      <c r="E46" s="236">
        <v>0</v>
      </c>
      <c r="F46" s="237">
        <v>0</v>
      </c>
    </row>
    <row r="47" spans="1:6" ht="32.25" customHeight="1">
      <c r="A47" s="179"/>
      <c r="B47" s="180" t="s">
        <v>883</v>
      </c>
      <c r="C47" s="181" t="s">
        <v>884</v>
      </c>
      <c r="D47" s="181"/>
      <c r="E47" s="236">
        <v>0</v>
      </c>
      <c r="F47" s="237">
        <v>0</v>
      </c>
    </row>
    <row r="48" spans="1:6" ht="22.5" customHeight="1">
      <c r="A48" s="179"/>
      <c r="B48" s="180" t="s">
        <v>885</v>
      </c>
      <c r="C48" s="181" t="s">
        <v>886</v>
      </c>
      <c r="D48" s="181"/>
      <c r="E48" s="236">
        <v>0</v>
      </c>
      <c r="F48" s="237">
        <v>0</v>
      </c>
    </row>
    <row r="49" spans="1:6" ht="32.25" customHeight="1">
      <c r="A49" s="191"/>
      <c r="B49" s="192" t="s">
        <v>887</v>
      </c>
      <c r="C49" s="193" t="s">
        <v>888</v>
      </c>
      <c r="D49" s="193"/>
      <c r="E49" s="212">
        <v>0</v>
      </c>
      <c r="F49" s="235">
        <v>0</v>
      </c>
    </row>
    <row r="50" spans="1:6" ht="22.5" customHeight="1">
      <c r="A50" s="191" t="s">
        <v>889</v>
      </c>
      <c r="B50" s="192" t="s">
        <v>1052</v>
      </c>
      <c r="C50" s="193" t="s">
        <v>890</v>
      </c>
      <c r="D50" s="193"/>
      <c r="E50" s="212">
        <f>E51+E52+E53+E54+E55</f>
        <v>0</v>
      </c>
      <c r="F50" s="235">
        <f>F51+F52+F53+F54+F55</f>
        <v>7623018392</v>
      </c>
    </row>
    <row r="51" spans="1:6" ht="22.5" customHeight="1">
      <c r="A51" s="179"/>
      <c r="B51" s="180" t="s">
        <v>891</v>
      </c>
      <c r="C51" s="181" t="s">
        <v>892</v>
      </c>
      <c r="D51" s="181"/>
      <c r="E51" s="236">
        <v>0</v>
      </c>
      <c r="F51" s="237">
        <v>7558908800</v>
      </c>
    </row>
    <row r="52" spans="1:6" ht="22.5" customHeight="1">
      <c r="A52" s="179"/>
      <c r="B52" s="180" t="s">
        <v>893</v>
      </c>
      <c r="C52" s="181" t="s">
        <v>894</v>
      </c>
      <c r="D52" s="181"/>
      <c r="E52" s="236">
        <v>0</v>
      </c>
      <c r="F52" s="237">
        <v>0</v>
      </c>
    </row>
    <row r="53" spans="1:6" ht="32.25" customHeight="1">
      <c r="A53" s="179"/>
      <c r="B53" s="180" t="s">
        <v>895</v>
      </c>
      <c r="C53" s="181" t="s">
        <v>896</v>
      </c>
      <c r="D53" s="181"/>
      <c r="E53" s="236">
        <v>0</v>
      </c>
      <c r="F53" s="237">
        <v>64109592</v>
      </c>
    </row>
    <row r="54" spans="1:6" ht="32.25" customHeight="1">
      <c r="A54" s="179"/>
      <c r="B54" s="180" t="s">
        <v>897</v>
      </c>
      <c r="C54" s="181" t="s">
        <v>898</v>
      </c>
      <c r="D54" s="181"/>
      <c r="E54" s="236">
        <v>0</v>
      </c>
      <c r="F54" s="237">
        <v>0</v>
      </c>
    </row>
    <row r="55" spans="1:6" ht="22.5" customHeight="1">
      <c r="A55" s="179"/>
      <c r="B55" s="180" t="s">
        <v>899</v>
      </c>
      <c r="C55" s="181" t="s">
        <v>900</v>
      </c>
      <c r="D55" s="181"/>
      <c r="E55" s="236">
        <v>0</v>
      </c>
      <c r="F55" s="237">
        <v>0</v>
      </c>
    </row>
    <row r="56" spans="1:6" ht="22.5" customHeight="1">
      <c r="A56" s="191" t="s">
        <v>901</v>
      </c>
      <c r="B56" s="192" t="s">
        <v>1051</v>
      </c>
      <c r="C56" s="193" t="s">
        <v>902</v>
      </c>
      <c r="D56" s="193"/>
      <c r="E56" s="212">
        <f>E57+E58+E63</f>
        <v>0</v>
      </c>
      <c r="F56" s="235">
        <f>F57+F58+F63</f>
        <v>0</v>
      </c>
    </row>
    <row r="57" spans="1:6" ht="22.5" customHeight="1">
      <c r="A57" s="179"/>
      <c r="B57" s="180" t="s">
        <v>903</v>
      </c>
      <c r="C57" s="181" t="s">
        <v>904</v>
      </c>
      <c r="D57" s="181"/>
      <c r="E57" s="236">
        <v>0</v>
      </c>
      <c r="F57" s="237">
        <v>0</v>
      </c>
    </row>
    <row r="58" spans="1:6" ht="22.5" customHeight="1">
      <c r="A58" s="179"/>
      <c r="B58" s="180" t="s">
        <v>209</v>
      </c>
      <c r="C58" s="181" t="s">
        <v>905</v>
      </c>
      <c r="D58" s="181"/>
      <c r="E58" s="236">
        <f>E59+E60+E61+E62</f>
        <v>0</v>
      </c>
      <c r="F58" s="237">
        <f>F59+F60+F61+F62</f>
        <v>0</v>
      </c>
    </row>
    <row r="59" spans="1:6" ht="22.5" customHeight="1">
      <c r="A59" s="179"/>
      <c r="B59" s="180" t="s">
        <v>223</v>
      </c>
      <c r="C59" s="181" t="s">
        <v>906</v>
      </c>
      <c r="D59" s="181"/>
      <c r="E59" s="236">
        <v>0</v>
      </c>
      <c r="F59" s="237">
        <v>0</v>
      </c>
    </row>
    <row r="60" spans="1:6" ht="22.5" customHeight="1">
      <c r="A60" s="179"/>
      <c r="B60" s="180" t="s">
        <v>907</v>
      </c>
      <c r="C60" s="181" t="s">
        <v>908</v>
      </c>
      <c r="D60" s="181"/>
      <c r="E60" s="236">
        <v>0</v>
      </c>
      <c r="F60" s="237">
        <v>0</v>
      </c>
    </row>
    <row r="61" spans="1:6" ht="22.5" customHeight="1">
      <c r="A61" s="179"/>
      <c r="B61" s="180" t="s">
        <v>227</v>
      </c>
      <c r="C61" s="181" t="s">
        <v>909</v>
      </c>
      <c r="D61" s="181"/>
      <c r="E61" s="236">
        <v>0</v>
      </c>
      <c r="F61" s="237">
        <v>0</v>
      </c>
    </row>
    <row r="62" spans="1:6" ht="22.5" customHeight="1">
      <c r="A62" s="179"/>
      <c r="B62" s="180" t="s">
        <v>229</v>
      </c>
      <c r="C62" s="181" t="s">
        <v>910</v>
      </c>
      <c r="D62" s="181"/>
      <c r="E62" s="236">
        <v>0</v>
      </c>
      <c r="F62" s="237">
        <v>0</v>
      </c>
    </row>
    <row r="63" spans="1:6" ht="22.5" customHeight="1">
      <c r="A63" s="179"/>
      <c r="B63" s="180" t="s">
        <v>911</v>
      </c>
      <c r="C63" s="181" t="s">
        <v>912</v>
      </c>
      <c r="D63" s="181"/>
      <c r="E63" s="236">
        <v>0</v>
      </c>
      <c r="F63" s="237">
        <v>0</v>
      </c>
    </row>
    <row r="64" spans="1:6" ht="22.5" customHeight="1">
      <c r="A64" s="191" t="s">
        <v>913</v>
      </c>
      <c r="B64" s="192" t="s">
        <v>1050</v>
      </c>
      <c r="C64" s="193" t="s">
        <v>914</v>
      </c>
      <c r="D64" s="193"/>
      <c r="E64" s="212">
        <v>0</v>
      </c>
      <c r="F64" s="235">
        <v>0</v>
      </c>
    </row>
    <row r="65" spans="1:6" ht="22.5" customHeight="1">
      <c r="A65" s="176"/>
      <c r="B65" s="177" t="s">
        <v>915</v>
      </c>
      <c r="C65" s="178" t="s">
        <v>916</v>
      </c>
      <c r="D65" s="178"/>
      <c r="E65" s="233">
        <f>E19+E27+E39</f>
        <v>11462614151719</v>
      </c>
      <c r="F65" s="234">
        <f>F19+F27+F39</f>
        <v>9808118738773</v>
      </c>
    </row>
    <row r="66" spans="1:6" ht="22.5" customHeight="1">
      <c r="A66" s="176" t="s">
        <v>88</v>
      </c>
      <c r="B66" s="177" t="s">
        <v>1049</v>
      </c>
      <c r="C66" s="178" t="s">
        <v>88</v>
      </c>
      <c r="D66" s="178"/>
      <c r="E66" s="233">
        <v>0</v>
      </c>
      <c r="F66" s="234">
        <v>0</v>
      </c>
    </row>
    <row r="67" spans="1:6" ht="22.5" customHeight="1">
      <c r="A67" s="191" t="s">
        <v>112</v>
      </c>
      <c r="B67" s="192" t="s">
        <v>1008</v>
      </c>
      <c r="C67" s="193" t="s">
        <v>917</v>
      </c>
      <c r="D67" s="193"/>
      <c r="E67" s="212">
        <v>0</v>
      </c>
      <c r="F67" s="235">
        <v>0</v>
      </c>
    </row>
    <row r="68" spans="1:6" ht="22.5" customHeight="1">
      <c r="A68" s="191"/>
      <c r="B68" s="192" t="s">
        <v>918</v>
      </c>
      <c r="C68" s="193" t="s">
        <v>919</v>
      </c>
      <c r="D68" s="193"/>
      <c r="E68" s="212">
        <v>0</v>
      </c>
      <c r="F68" s="235">
        <v>0</v>
      </c>
    </row>
    <row r="69" spans="1:6" ht="22.5" customHeight="1">
      <c r="A69" s="191"/>
      <c r="B69" s="192" t="s">
        <v>920</v>
      </c>
      <c r="C69" s="193" t="s">
        <v>921</v>
      </c>
      <c r="D69" s="193"/>
      <c r="E69" s="212">
        <v>0</v>
      </c>
      <c r="F69" s="235">
        <v>0</v>
      </c>
    </row>
    <row r="70" spans="1:6" ht="22.5" customHeight="1">
      <c r="A70" s="191" t="s">
        <v>117</v>
      </c>
      <c r="B70" s="192" t="s">
        <v>1009</v>
      </c>
      <c r="C70" s="193" t="s">
        <v>922</v>
      </c>
      <c r="D70" s="193"/>
      <c r="E70" s="212">
        <v>214612100000</v>
      </c>
      <c r="F70" s="235">
        <v>0</v>
      </c>
    </row>
    <row r="71" spans="1:6" ht="45" customHeight="1">
      <c r="A71" s="191" t="s">
        <v>93</v>
      </c>
      <c r="B71" s="192" t="s">
        <v>1010</v>
      </c>
      <c r="C71" s="193" t="s">
        <v>923</v>
      </c>
      <c r="D71" s="193"/>
      <c r="E71" s="212">
        <f>E72+E73</f>
        <v>0</v>
      </c>
      <c r="F71" s="235">
        <f>F72+F73</f>
        <v>0</v>
      </c>
    </row>
    <row r="72" spans="1:6" ht="22.5" customHeight="1">
      <c r="A72" s="179"/>
      <c r="B72" s="180" t="s">
        <v>924</v>
      </c>
      <c r="C72" s="181" t="s">
        <v>925</v>
      </c>
      <c r="D72" s="181"/>
      <c r="E72" s="236">
        <v>0</v>
      </c>
      <c r="F72" s="237">
        <v>0</v>
      </c>
    </row>
    <row r="73" spans="1:6" ht="31.5">
      <c r="A73" s="179"/>
      <c r="B73" s="180" t="s">
        <v>926</v>
      </c>
      <c r="C73" s="181" t="s">
        <v>927</v>
      </c>
      <c r="D73" s="181"/>
      <c r="E73" s="236">
        <v>0</v>
      </c>
      <c r="F73" s="237">
        <v>0</v>
      </c>
    </row>
    <row r="74" spans="1:6" ht="22.5" customHeight="1">
      <c r="A74" s="191" t="s">
        <v>99</v>
      </c>
      <c r="B74" s="192" t="s">
        <v>1011</v>
      </c>
      <c r="C74" s="193" t="s">
        <v>928</v>
      </c>
      <c r="D74" s="193"/>
      <c r="E74" s="212">
        <v>0</v>
      </c>
      <c r="F74" s="235">
        <v>0</v>
      </c>
    </row>
    <row r="75" spans="1:6" ht="22.5" customHeight="1">
      <c r="A75" s="191" t="s">
        <v>143</v>
      </c>
      <c r="B75" s="192" t="s">
        <v>1012</v>
      </c>
      <c r="C75" s="193" t="s">
        <v>929</v>
      </c>
      <c r="D75" s="193"/>
      <c r="E75" s="212">
        <v>0</v>
      </c>
      <c r="F75" s="235">
        <v>0</v>
      </c>
    </row>
    <row r="76" spans="1:6" ht="22.5" customHeight="1">
      <c r="A76" s="191" t="s">
        <v>146</v>
      </c>
      <c r="B76" s="192" t="s">
        <v>1013</v>
      </c>
      <c r="C76" s="193" t="s">
        <v>930</v>
      </c>
      <c r="D76" s="193"/>
      <c r="E76" s="212">
        <f>E77+E78+E79+E80+E81+E82+E83</f>
        <v>1983455460</v>
      </c>
      <c r="F76" s="235">
        <f>F77+F78+F79+F80+F81+F82+F83</f>
        <v>174783257</v>
      </c>
    </row>
    <row r="77" spans="1:6" ht="22.5" customHeight="1">
      <c r="A77" s="179"/>
      <c r="B77" s="180" t="s">
        <v>931</v>
      </c>
      <c r="C77" s="181" t="s">
        <v>932</v>
      </c>
      <c r="D77" s="181"/>
      <c r="E77" s="236">
        <v>1929958198</v>
      </c>
      <c r="F77" s="237">
        <v>54066810</v>
      </c>
    </row>
    <row r="78" spans="1:6" ht="22.5" customHeight="1">
      <c r="A78" s="179"/>
      <c r="B78" s="180" t="s">
        <v>933</v>
      </c>
      <c r="C78" s="181" t="s">
        <v>934</v>
      </c>
      <c r="D78" s="181"/>
      <c r="E78" s="236">
        <v>36164396</v>
      </c>
      <c r="F78" s="237">
        <v>104123296</v>
      </c>
    </row>
    <row r="79" spans="1:6" ht="22.5" customHeight="1">
      <c r="A79" s="179"/>
      <c r="B79" s="180" t="s">
        <v>935</v>
      </c>
      <c r="C79" s="181" t="s">
        <v>936</v>
      </c>
      <c r="D79" s="181"/>
      <c r="E79" s="236">
        <v>0</v>
      </c>
      <c r="F79" s="237">
        <v>0</v>
      </c>
    </row>
    <row r="80" spans="1:6" ht="22.5" customHeight="1">
      <c r="A80" s="179"/>
      <c r="B80" s="180" t="s">
        <v>937</v>
      </c>
      <c r="C80" s="181" t="s">
        <v>938</v>
      </c>
      <c r="D80" s="181"/>
      <c r="E80" s="236">
        <v>0</v>
      </c>
      <c r="F80" s="237">
        <v>0</v>
      </c>
    </row>
    <row r="81" spans="1:6" ht="32.25" customHeight="1">
      <c r="A81" s="179"/>
      <c r="B81" s="180" t="s">
        <v>939</v>
      </c>
      <c r="C81" s="181" t="s">
        <v>940</v>
      </c>
      <c r="D81" s="181"/>
      <c r="E81" s="236">
        <v>11958861</v>
      </c>
      <c r="F81" s="237">
        <v>11219146</v>
      </c>
    </row>
    <row r="82" spans="1:6" ht="22.5" customHeight="1">
      <c r="A82" s="179"/>
      <c r="B82" s="180" t="s">
        <v>941</v>
      </c>
      <c r="C82" s="181" t="s">
        <v>942</v>
      </c>
      <c r="D82" s="181"/>
      <c r="E82" s="236">
        <v>0</v>
      </c>
      <c r="F82" s="237">
        <v>0</v>
      </c>
    </row>
    <row r="83" spans="1:6" ht="22.5" customHeight="1">
      <c r="A83" s="179"/>
      <c r="B83" s="180" t="s">
        <v>943</v>
      </c>
      <c r="C83" s="181" t="s">
        <v>944</v>
      </c>
      <c r="D83" s="181"/>
      <c r="E83" s="236">
        <v>5374005</v>
      </c>
      <c r="F83" s="237">
        <v>5374005</v>
      </c>
    </row>
    <row r="84" spans="1:6" ht="22.5" customHeight="1">
      <c r="A84" s="191" t="s">
        <v>149</v>
      </c>
      <c r="B84" s="192" t="s">
        <v>1014</v>
      </c>
      <c r="C84" s="193" t="s">
        <v>945</v>
      </c>
      <c r="D84" s="193"/>
      <c r="E84" s="212">
        <v>0</v>
      </c>
      <c r="F84" s="235">
        <v>0</v>
      </c>
    </row>
    <row r="85" spans="1:6" ht="22.5" customHeight="1">
      <c r="A85" s="191" t="s">
        <v>152</v>
      </c>
      <c r="B85" s="192" t="s">
        <v>1015</v>
      </c>
      <c r="C85" s="193" t="s">
        <v>946</v>
      </c>
      <c r="D85" s="193"/>
      <c r="E85" s="212">
        <v>3427667451</v>
      </c>
      <c r="F85" s="235">
        <v>2019996</v>
      </c>
    </row>
    <row r="86" spans="1:6" ht="22.5" customHeight="1">
      <c r="A86" s="191" t="s">
        <v>155</v>
      </c>
      <c r="B86" s="192" t="s">
        <v>1016</v>
      </c>
      <c r="C86" s="193" t="s">
        <v>947</v>
      </c>
      <c r="D86" s="193"/>
      <c r="E86" s="212">
        <f>E87+E88+E93+E94+E95+E96+E97+E98</f>
        <v>10450548054</v>
      </c>
      <c r="F86" s="235">
        <f>F87+F88+F93+F94+F95+F96+F97+F98</f>
        <v>8864594887</v>
      </c>
    </row>
    <row r="87" spans="1:6" ht="22.5" customHeight="1">
      <c r="A87" s="179" t="s">
        <v>948</v>
      </c>
      <c r="B87" s="180" t="s">
        <v>1017</v>
      </c>
      <c r="C87" s="181" t="s">
        <v>949</v>
      </c>
      <c r="D87" s="181"/>
      <c r="E87" s="236">
        <v>6921026816</v>
      </c>
      <c r="F87" s="237">
        <v>6394616902</v>
      </c>
    </row>
    <row r="88" spans="1:6" ht="22.5" customHeight="1">
      <c r="A88" s="179" t="s">
        <v>950</v>
      </c>
      <c r="B88" s="180" t="s">
        <v>1018</v>
      </c>
      <c r="C88" s="181" t="s">
        <v>951</v>
      </c>
      <c r="D88" s="181"/>
      <c r="E88" s="236">
        <f>E89+E90+E91</f>
        <v>187425670</v>
      </c>
      <c r="F88" s="237">
        <f>F89+F90+F91</f>
        <v>162465424</v>
      </c>
    </row>
    <row r="89" spans="1:6" ht="22.5" customHeight="1">
      <c r="A89" s="179"/>
      <c r="B89" s="180" t="s">
        <v>1019</v>
      </c>
      <c r="C89" s="181" t="s">
        <v>952</v>
      </c>
      <c r="D89" s="181"/>
      <c r="E89" s="236">
        <v>173025670</v>
      </c>
      <c r="F89" s="237">
        <v>159865424</v>
      </c>
    </row>
    <row r="90" spans="1:6" ht="22.5" customHeight="1">
      <c r="A90" s="179"/>
      <c r="B90" s="180" t="s">
        <v>1020</v>
      </c>
      <c r="C90" s="181" t="s">
        <v>953</v>
      </c>
      <c r="D90" s="181"/>
      <c r="E90" s="236">
        <v>14400000</v>
      </c>
      <c r="F90" s="237">
        <v>2600000</v>
      </c>
    </row>
    <row r="91" spans="1:6" ht="22.5" customHeight="1">
      <c r="A91" s="179"/>
      <c r="B91" s="180" t="s">
        <v>1021</v>
      </c>
      <c r="C91" s="181" t="s">
        <v>954</v>
      </c>
      <c r="D91" s="181"/>
      <c r="E91" s="236">
        <v>0</v>
      </c>
      <c r="F91" s="237">
        <v>0</v>
      </c>
    </row>
    <row r="92" spans="1:6" ht="45" customHeight="1">
      <c r="A92" s="179"/>
      <c r="B92" s="180" t="s">
        <v>1022</v>
      </c>
      <c r="C92" s="181" t="s">
        <v>955</v>
      </c>
      <c r="D92" s="181"/>
      <c r="E92" s="236">
        <v>0</v>
      </c>
      <c r="F92" s="237">
        <v>0</v>
      </c>
    </row>
    <row r="93" spans="1:6" ht="22.5" customHeight="1">
      <c r="A93" s="179" t="s">
        <v>956</v>
      </c>
      <c r="B93" s="180" t="s">
        <v>1023</v>
      </c>
      <c r="C93" s="181" t="s">
        <v>957</v>
      </c>
      <c r="D93" s="181"/>
      <c r="E93" s="236">
        <v>190328235</v>
      </c>
      <c r="F93" s="237">
        <v>175851966</v>
      </c>
    </row>
    <row r="94" spans="1:6" ht="22.5" customHeight="1">
      <c r="A94" s="179" t="s">
        <v>958</v>
      </c>
      <c r="B94" s="180" t="s">
        <v>1024</v>
      </c>
      <c r="C94" s="181" t="s">
        <v>959</v>
      </c>
      <c r="D94" s="181"/>
      <c r="E94" s="236">
        <v>380656477</v>
      </c>
      <c r="F94" s="237">
        <v>351703930</v>
      </c>
    </row>
    <row r="95" spans="1:6" ht="22.5" customHeight="1">
      <c r="A95" s="179" t="s">
        <v>960</v>
      </c>
      <c r="B95" s="180" t="s">
        <v>1025</v>
      </c>
      <c r="C95" s="181" t="s">
        <v>961</v>
      </c>
      <c r="D95" s="181"/>
      <c r="E95" s="236">
        <v>5500000</v>
      </c>
      <c r="F95" s="237">
        <v>16500000</v>
      </c>
    </row>
    <row r="96" spans="1:6" ht="32.25" customHeight="1">
      <c r="A96" s="179" t="s">
        <v>962</v>
      </c>
      <c r="B96" s="180" t="s">
        <v>1026</v>
      </c>
      <c r="C96" s="181" t="s">
        <v>963</v>
      </c>
      <c r="D96" s="181"/>
      <c r="E96" s="236">
        <v>1412262322</v>
      </c>
      <c r="F96" s="237">
        <v>979698146</v>
      </c>
    </row>
    <row r="97" spans="1:6" ht="22.5" customHeight="1">
      <c r="A97" s="179" t="s">
        <v>964</v>
      </c>
      <c r="B97" s="180" t="s">
        <v>1027</v>
      </c>
      <c r="C97" s="181" t="s">
        <v>965</v>
      </c>
      <c r="D97" s="181"/>
      <c r="E97" s="236">
        <v>1129809861</v>
      </c>
      <c r="F97" s="237">
        <v>783758519</v>
      </c>
    </row>
    <row r="98" spans="1:6" ht="22.5" customHeight="1">
      <c r="A98" s="179" t="s">
        <v>964</v>
      </c>
      <c r="B98" s="180" t="s">
        <v>1028</v>
      </c>
      <c r="C98" s="181" t="s">
        <v>966</v>
      </c>
      <c r="D98" s="181"/>
      <c r="E98" s="236">
        <v>223538673</v>
      </c>
      <c r="F98" s="237">
        <v>0</v>
      </c>
    </row>
    <row r="99" spans="1:6" ht="22.5" customHeight="1">
      <c r="A99" s="191" t="s">
        <v>158</v>
      </c>
      <c r="B99" s="192" t="s">
        <v>980</v>
      </c>
      <c r="C99" s="193" t="s">
        <v>967</v>
      </c>
      <c r="D99" s="193"/>
      <c r="E99" s="212">
        <f>E100+E101+E102</f>
        <v>0</v>
      </c>
      <c r="F99" s="235">
        <f>F100+F101+F102</f>
        <v>0</v>
      </c>
    </row>
    <row r="100" spans="1:6" ht="22.5" customHeight="1">
      <c r="A100" s="179" t="s">
        <v>968</v>
      </c>
      <c r="B100" s="180" t="s">
        <v>1029</v>
      </c>
      <c r="C100" s="181" t="s">
        <v>969</v>
      </c>
      <c r="D100" s="181"/>
      <c r="E100" s="236">
        <v>0</v>
      </c>
      <c r="F100" s="237">
        <v>0</v>
      </c>
    </row>
    <row r="101" spans="1:6" ht="32.25" customHeight="1">
      <c r="A101" s="179" t="s">
        <v>970</v>
      </c>
      <c r="B101" s="180" t="s">
        <v>1030</v>
      </c>
      <c r="C101" s="181" t="s">
        <v>971</v>
      </c>
      <c r="D101" s="181"/>
      <c r="E101" s="236">
        <v>0</v>
      </c>
      <c r="F101" s="237">
        <v>0</v>
      </c>
    </row>
    <row r="102" spans="1:6" ht="22.5" customHeight="1">
      <c r="A102" s="179" t="s">
        <v>972</v>
      </c>
      <c r="B102" s="180" t="s">
        <v>1031</v>
      </c>
      <c r="C102" s="181" t="s">
        <v>973</v>
      </c>
      <c r="D102" s="181"/>
      <c r="E102" s="236">
        <f>E103+E104+E105+E106+E107</f>
        <v>0</v>
      </c>
      <c r="F102" s="237">
        <f>F103+F104+F105+F106+F107</f>
        <v>0</v>
      </c>
    </row>
    <row r="103" spans="1:6" ht="22.5" customHeight="1">
      <c r="A103" s="179"/>
      <c r="B103" s="180" t="s">
        <v>974</v>
      </c>
      <c r="C103" s="181" t="s">
        <v>975</v>
      </c>
      <c r="D103" s="181"/>
      <c r="E103" s="236">
        <v>0</v>
      </c>
      <c r="F103" s="237">
        <v>0</v>
      </c>
    </row>
    <row r="104" spans="1:6" ht="22.5" customHeight="1">
      <c r="A104" s="179"/>
      <c r="B104" s="180" t="s">
        <v>976</v>
      </c>
      <c r="C104" s="181" t="s">
        <v>977</v>
      </c>
      <c r="D104" s="181"/>
      <c r="E104" s="236">
        <v>0</v>
      </c>
      <c r="F104" s="237">
        <v>0</v>
      </c>
    </row>
    <row r="105" spans="1:6" ht="22.5" customHeight="1">
      <c r="A105" s="191"/>
      <c r="B105" s="192" t="s">
        <v>978</v>
      </c>
      <c r="C105" s="193" t="s">
        <v>979</v>
      </c>
      <c r="D105" s="193"/>
      <c r="E105" s="212">
        <v>0</v>
      </c>
      <c r="F105" s="235">
        <v>0</v>
      </c>
    </row>
    <row r="106" spans="1:6" ht="22.5" customHeight="1">
      <c r="A106" s="179"/>
      <c r="B106" s="180" t="s">
        <v>980</v>
      </c>
      <c r="C106" s="181" t="s">
        <v>981</v>
      </c>
      <c r="D106" s="181"/>
      <c r="E106" s="236">
        <v>0</v>
      </c>
      <c r="F106" s="237">
        <v>0</v>
      </c>
    </row>
    <row r="107" spans="1:6" ht="22.5" customHeight="1">
      <c r="A107" s="179"/>
      <c r="B107" s="180" t="s">
        <v>982</v>
      </c>
      <c r="C107" s="181" t="s">
        <v>983</v>
      </c>
      <c r="D107" s="181"/>
      <c r="E107" s="236">
        <v>0</v>
      </c>
      <c r="F107" s="237">
        <v>0</v>
      </c>
    </row>
    <row r="108" spans="1:6" ht="22.5" customHeight="1">
      <c r="A108" s="176"/>
      <c r="B108" s="177" t="s">
        <v>984</v>
      </c>
      <c r="C108" s="178" t="s">
        <v>985</v>
      </c>
      <c r="D108" s="178"/>
      <c r="E108" s="233">
        <f>E67+E70+E71+E74+E75+E76+E84+E85+E86+E99</f>
        <v>230473770965</v>
      </c>
      <c r="F108" s="234">
        <f>F67+F70+F71+F74+F75+F76+F84+F85+F86+F99</f>
        <v>9041398140</v>
      </c>
    </row>
    <row r="109" spans="1:6" ht="32.25" customHeight="1">
      <c r="A109" s="176" t="s">
        <v>96</v>
      </c>
      <c r="B109" s="177" t="s">
        <v>1048</v>
      </c>
      <c r="C109" s="178" t="s">
        <v>986</v>
      </c>
      <c r="D109" s="178"/>
      <c r="E109" s="233">
        <f>E65-E108</f>
        <v>11232140380754</v>
      </c>
      <c r="F109" s="234">
        <f>F65-F108</f>
        <v>9799077340633</v>
      </c>
    </row>
    <row r="110" spans="1:6" ht="22.5" customHeight="1">
      <c r="A110" s="191" t="s">
        <v>112</v>
      </c>
      <c r="B110" s="192" t="s">
        <v>1032</v>
      </c>
      <c r="C110" s="193" t="s">
        <v>987</v>
      </c>
      <c r="D110" s="193"/>
      <c r="E110" s="212">
        <f>E111+E112</f>
        <v>5233000000000</v>
      </c>
      <c r="F110" s="235">
        <f>F111+F112</f>
        <v>4939000000000</v>
      </c>
    </row>
    <row r="111" spans="1:6" ht="22.5" customHeight="1">
      <c r="A111" s="191" t="s">
        <v>834</v>
      </c>
      <c r="B111" s="192" t="s">
        <v>1033</v>
      </c>
      <c r="C111" s="193" t="s">
        <v>988</v>
      </c>
      <c r="D111" s="193"/>
      <c r="E111" s="212">
        <v>5388000000000</v>
      </c>
      <c r="F111" s="235">
        <v>5065000000000</v>
      </c>
    </row>
    <row r="112" spans="1:6" ht="22.5" customHeight="1">
      <c r="A112" s="191" t="s">
        <v>843</v>
      </c>
      <c r="B112" s="192" t="s">
        <v>1034</v>
      </c>
      <c r="C112" s="193" t="s">
        <v>989</v>
      </c>
      <c r="D112" s="193"/>
      <c r="E112" s="212">
        <v>-155000000000</v>
      </c>
      <c r="F112" s="235">
        <v>-126000000000</v>
      </c>
    </row>
    <row r="113" spans="1:6" ht="22.5" customHeight="1">
      <c r="A113" s="191" t="s">
        <v>117</v>
      </c>
      <c r="B113" s="192" t="s">
        <v>1035</v>
      </c>
      <c r="C113" s="193" t="s">
        <v>990</v>
      </c>
      <c r="D113" s="193"/>
      <c r="E113" s="212">
        <v>3040904239760</v>
      </c>
      <c r="F113" s="235">
        <v>2717886460612</v>
      </c>
    </row>
    <row r="114" spans="1:6" ht="22.5" customHeight="1">
      <c r="A114" s="191" t="s">
        <v>93</v>
      </c>
      <c r="B114" s="192" t="s">
        <v>1036</v>
      </c>
      <c r="C114" s="193" t="s">
        <v>991</v>
      </c>
      <c r="D114" s="193"/>
      <c r="E114" s="212">
        <f>E115+E116</f>
        <v>2958236140994</v>
      </c>
      <c r="F114" s="235">
        <f>F115+F116</f>
        <v>2142190880021</v>
      </c>
    </row>
    <row r="115" spans="1:6" ht="22.5" customHeight="1">
      <c r="A115" s="191" t="s">
        <v>869</v>
      </c>
      <c r="B115" s="192" t="s">
        <v>1037</v>
      </c>
      <c r="C115" s="193" t="s">
        <v>992</v>
      </c>
      <c r="D115" s="193"/>
      <c r="E115" s="212">
        <v>2142190880021</v>
      </c>
      <c r="F115" s="235">
        <v>2038623865392</v>
      </c>
    </row>
    <row r="116" spans="1:6" ht="22.5" customHeight="1">
      <c r="A116" s="191" t="s">
        <v>873</v>
      </c>
      <c r="B116" s="192" t="s">
        <v>1038</v>
      </c>
      <c r="C116" s="193" t="s">
        <v>993</v>
      </c>
      <c r="D116" s="193"/>
      <c r="E116" s="212">
        <v>816045260973</v>
      </c>
      <c r="F116" s="235">
        <v>103567014629</v>
      </c>
    </row>
    <row r="117" spans="1:6" ht="32.25" customHeight="1">
      <c r="A117" s="182" t="s">
        <v>66</v>
      </c>
      <c r="B117" s="183" t="s">
        <v>1039</v>
      </c>
      <c r="C117" s="184" t="s">
        <v>994</v>
      </c>
      <c r="D117" s="184"/>
      <c r="E117" s="233">
        <v>21464.05</v>
      </c>
      <c r="F117" s="234">
        <v>19840.2</v>
      </c>
    </row>
    <row r="118" spans="1:6" ht="22.5" customHeight="1">
      <c r="A118" s="176" t="s">
        <v>198</v>
      </c>
      <c r="B118" s="177" t="s">
        <v>1040</v>
      </c>
      <c r="C118" s="178" t="s">
        <v>995</v>
      </c>
      <c r="D118" s="178"/>
      <c r="E118" s="233">
        <f>E119+E120</f>
        <v>0</v>
      </c>
      <c r="F118" s="234">
        <f>F119+F120</f>
        <v>0</v>
      </c>
    </row>
    <row r="119" spans="1:6" ht="22.5" customHeight="1">
      <c r="A119" s="191" t="s">
        <v>112</v>
      </c>
      <c r="B119" s="192" t="s">
        <v>1041</v>
      </c>
      <c r="C119" s="193" t="s">
        <v>996</v>
      </c>
      <c r="D119" s="193"/>
      <c r="E119" s="212">
        <v>0</v>
      </c>
      <c r="F119" s="235">
        <v>0</v>
      </c>
    </row>
    <row r="120" spans="1:6" ht="32.25" customHeight="1">
      <c r="A120" s="191" t="s">
        <v>117</v>
      </c>
      <c r="B120" s="192" t="s">
        <v>1042</v>
      </c>
      <c r="C120" s="193" t="s">
        <v>997</v>
      </c>
      <c r="D120" s="193"/>
      <c r="E120" s="212">
        <v>0</v>
      </c>
      <c r="F120" s="235">
        <v>0</v>
      </c>
    </row>
    <row r="121" spans="1:6" ht="32.25" customHeight="1">
      <c r="A121" s="176" t="s">
        <v>208</v>
      </c>
      <c r="B121" s="177" t="s">
        <v>1043</v>
      </c>
      <c r="C121" s="178" t="s">
        <v>208</v>
      </c>
      <c r="D121" s="178"/>
      <c r="E121" s="233">
        <v>0</v>
      </c>
      <c r="F121" s="234">
        <v>0</v>
      </c>
    </row>
    <row r="122" spans="1:6" ht="22.5" customHeight="1">
      <c r="A122" s="191" t="s">
        <v>112</v>
      </c>
      <c r="B122" s="192" t="s">
        <v>1044</v>
      </c>
      <c r="C122" s="193" t="s">
        <v>998</v>
      </c>
      <c r="D122" s="193"/>
      <c r="E122" s="212">
        <v>0</v>
      </c>
      <c r="F122" s="235">
        <v>0</v>
      </c>
    </row>
    <row r="123" spans="1:6" ht="22.5" customHeight="1">
      <c r="A123" s="191" t="s">
        <v>117</v>
      </c>
      <c r="B123" s="192" t="s">
        <v>1045</v>
      </c>
      <c r="C123" s="193" t="s">
        <v>999</v>
      </c>
      <c r="D123" s="193"/>
      <c r="E123" s="212">
        <v>0</v>
      </c>
      <c r="F123" s="235">
        <v>0</v>
      </c>
    </row>
    <row r="124" spans="1:6" ht="22.5" customHeight="1">
      <c r="A124" s="191" t="s">
        <v>93</v>
      </c>
      <c r="B124" s="192" t="s">
        <v>1046</v>
      </c>
      <c r="C124" s="193" t="s">
        <v>1000</v>
      </c>
      <c r="D124" s="193"/>
      <c r="E124" s="212">
        <v>0</v>
      </c>
      <c r="F124" s="235">
        <v>0</v>
      </c>
    </row>
    <row r="125" spans="1:6" ht="22.5" customHeight="1">
      <c r="A125" s="194" t="s">
        <v>99</v>
      </c>
      <c r="B125" s="195" t="s">
        <v>1047</v>
      </c>
      <c r="C125" s="196" t="s">
        <v>1001</v>
      </c>
      <c r="D125" s="196"/>
      <c r="E125" s="238">
        <v>523300000</v>
      </c>
      <c r="F125" s="239">
        <v>493900000</v>
      </c>
    </row>
    <row r="126" spans="1:6" ht="10.5" customHeight="1">
      <c r="A126" s="115"/>
      <c r="B126" s="115"/>
      <c r="C126" s="115"/>
      <c r="D126" s="115"/>
      <c r="E126" s="228"/>
      <c r="F126" s="228"/>
    </row>
    <row r="127" spans="1:6" ht="15" customHeight="1">
      <c r="A127" s="282" t="s">
        <v>689</v>
      </c>
      <c r="B127" s="282"/>
      <c r="C127" s="282" t="s">
        <v>690</v>
      </c>
      <c r="D127" s="282"/>
      <c r="E127" s="350" t="s">
        <v>1002</v>
      </c>
      <c r="F127" s="350"/>
    </row>
    <row r="128" spans="1:6" ht="15" customHeight="1">
      <c r="A128" s="344" t="s">
        <v>691</v>
      </c>
      <c r="B128" s="344"/>
      <c r="C128" s="344" t="s">
        <v>691</v>
      </c>
      <c r="D128" s="344"/>
      <c r="E128" s="351" t="s">
        <v>692</v>
      </c>
      <c r="F128" s="351"/>
    </row>
    <row r="129" spans="1:6" ht="81.75" customHeight="1">
      <c r="A129" s="115"/>
      <c r="B129" s="115"/>
      <c r="C129" s="115"/>
      <c r="D129" s="115"/>
      <c r="E129" s="228"/>
      <c r="F129" s="228"/>
    </row>
    <row r="130" spans="1:6" ht="15.75" customHeight="1">
      <c r="A130" s="292" t="s">
        <v>693</v>
      </c>
      <c r="B130" s="292"/>
      <c r="C130" s="292" t="s">
        <v>694</v>
      </c>
      <c r="D130" s="292"/>
      <c r="E130" s="349" t="s">
        <v>107</v>
      </c>
      <c r="F130" s="349"/>
    </row>
  </sheetData>
  <mergeCells count="30">
    <mergeCell ref="A130:B130"/>
    <mergeCell ref="C130:D130"/>
    <mergeCell ref="E130:F130"/>
    <mergeCell ref="A15:B15"/>
    <mergeCell ref="C15:F15"/>
    <mergeCell ref="A127:B127"/>
    <mergeCell ref="C127:D127"/>
    <mergeCell ref="E127:F127"/>
    <mergeCell ref="A128:B128"/>
    <mergeCell ref="C128:D128"/>
    <mergeCell ref="E128:F128"/>
    <mergeCell ref="A12:B12"/>
    <mergeCell ref="C12:F12"/>
    <mergeCell ref="A13:B13"/>
    <mergeCell ref="C13:F13"/>
    <mergeCell ref="A14:B14"/>
    <mergeCell ref="C14:F14"/>
    <mergeCell ref="A9:B9"/>
    <mergeCell ref="C9:F9"/>
    <mergeCell ref="A10:B10"/>
    <mergeCell ref="C10:F10"/>
    <mergeCell ref="A11:B11"/>
    <mergeCell ref="C11:F11"/>
    <mergeCell ref="A8:B8"/>
    <mergeCell ref="C8:F8"/>
    <mergeCell ref="A1:B1"/>
    <mergeCell ref="C1:F1"/>
    <mergeCell ref="A2:F2"/>
    <mergeCell ref="A4:F4"/>
    <mergeCell ref="A5:F5"/>
  </mergeCells>
  <printOptions horizontalCentered="1"/>
  <pageMargins left="0" right="0" top="0.3" bottom="0.2" header="0.27" footer="0.17"/>
  <pageSetup paperSize="9" scale="98" fitToHeight="4"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31"/>
  <sheetViews>
    <sheetView showGridLines="0" showZeros="0" showOutlineSymbols="0" view="pageBreakPreview" topLeftCell="A19" zoomScaleNormal="100" zoomScaleSheetLayoutView="100" workbookViewId="0">
      <selection activeCell="B19" sqref="B19"/>
    </sheetView>
  </sheetViews>
  <sheetFormatPr defaultRowHeight="15"/>
  <cols>
    <col min="1" max="1" width="5.7109375" style="86" customWidth="1"/>
    <col min="2" max="2" width="40.42578125" style="86" customWidth="1"/>
    <col min="3" max="3" width="7.42578125" style="86" bestFit="1" customWidth="1"/>
    <col min="4" max="5" width="22.85546875" style="86" customWidth="1"/>
    <col min="6" max="6" width="1.7109375" style="86" customWidth="1"/>
    <col min="7" max="253" width="9.140625" style="86"/>
    <col min="254" max="254" width="6.28515625" style="86" customWidth="1"/>
    <col min="255" max="255" width="45" style="86" customWidth="1"/>
    <col min="256" max="256" width="8.42578125" style="86" customWidth="1"/>
    <col min="257" max="257" width="0.140625" style="86" customWidth="1"/>
    <col min="258" max="258" width="21" style="86" customWidth="1"/>
    <col min="259" max="259" width="0.140625" style="86" customWidth="1"/>
    <col min="260" max="260" width="21" style="86" customWidth="1"/>
    <col min="261" max="261" width="0.140625" style="86" customWidth="1"/>
    <col min="262" max="509" width="9.140625" style="86"/>
    <col min="510" max="510" width="6.28515625" style="86" customWidth="1"/>
    <col min="511" max="511" width="45" style="86" customWidth="1"/>
    <col min="512" max="512" width="8.42578125" style="86" customWidth="1"/>
    <col min="513" max="513" width="0.140625" style="86" customWidth="1"/>
    <col min="514" max="514" width="21" style="86" customWidth="1"/>
    <col min="515" max="515" width="0.140625" style="86" customWidth="1"/>
    <col min="516" max="516" width="21" style="86" customWidth="1"/>
    <col min="517" max="517" width="0.140625" style="86" customWidth="1"/>
    <col min="518" max="765" width="9.140625" style="86"/>
    <col min="766" max="766" width="6.28515625" style="86" customWidth="1"/>
    <col min="767" max="767" width="45" style="86" customWidth="1"/>
    <col min="768" max="768" width="8.42578125" style="86" customWidth="1"/>
    <col min="769" max="769" width="0.140625" style="86" customWidth="1"/>
    <col min="770" max="770" width="21" style="86" customWidth="1"/>
    <col min="771" max="771" width="0.140625" style="86" customWidth="1"/>
    <col min="772" max="772" width="21" style="86" customWidth="1"/>
    <col min="773" max="773" width="0.140625" style="86" customWidth="1"/>
    <col min="774" max="1021" width="9.140625" style="86"/>
    <col min="1022" max="1022" width="6.28515625" style="86" customWidth="1"/>
    <col min="1023" max="1023" width="45" style="86" customWidth="1"/>
    <col min="1024" max="1024" width="8.42578125" style="86" customWidth="1"/>
    <col min="1025" max="1025" width="0.140625" style="86" customWidth="1"/>
    <col min="1026" max="1026" width="21" style="86" customWidth="1"/>
    <col min="1027" max="1027" width="0.140625" style="86" customWidth="1"/>
    <col min="1028" max="1028" width="21" style="86" customWidth="1"/>
    <col min="1029" max="1029" width="0.140625" style="86" customWidth="1"/>
    <col min="1030" max="1277" width="9.140625" style="86"/>
    <col min="1278" max="1278" width="6.28515625" style="86" customWidth="1"/>
    <col min="1279" max="1279" width="45" style="86" customWidth="1"/>
    <col min="1280" max="1280" width="8.42578125" style="86" customWidth="1"/>
    <col min="1281" max="1281" width="0.140625" style="86" customWidth="1"/>
    <col min="1282" max="1282" width="21" style="86" customWidth="1"/>
    <col min="1283" max="1283" width="0.140625" style="86" customWidth="1"/>
    <col min="1284" max="1284" width="21" style="86" customWidth="1"/>
    <col min="1285" max="1285" width="0.140625" style="86" customWidth="1"/>
    <col min="1286" max="1533" width="9.140625" style="86"/>
    <col min="1534" max="1534" width="6.28515625" style="86" customWidth="1"/>
    <col min="1535" max="1535" width="45" style="86" customWidth="1"/>
    <col min="1536" max="1536" width="8.42578125" style="86" customWidth="1"/>
    <col min="1537" max="1537" width="0.140625" style="86" customWidth="1"/>
    <col min="1538" max="1538" width="21" style="86" customWidth="1"/>
    <col min="1539" max="1539" width="0.140625" style="86" customWidth="1"/>
    <col min="1540" max="1540" width="21" style="86" customWidth="1"/>
    <col min="1541" max="1541" width="0.140625" style="86" customWidth="1"/>
    <col min="1542" max="1789" width="9.140625" style="86"/>
    <col min="1790" max="1790" width="6.28515625" style="86" customWidth="1"/>
    <col min="1791" max="1791" width="45" style="86" customWidth="1"/>
    <col min="1792" max="1792" width="8.42578125" style="86" customWidth="1"/>
    <col min="1793" max="1793" width="0.140625" style="86" customWidth="1"/>
    <col min="1794" max="1794" width="21" style="86" customWidth="1"/>
    <col min="1795" max="1795" width="0.140625" style="86" customWidth="1"/>
    <col min="1796" max="1796" width="21" style="86" customWidth="1"/>
    <col min="1797" max="1797" width="0.140625" style="86" customWidth="1"/>
    <col min="1798" max="2045" width="9.140625" style="86"/>
    <col min="2046" max="2046" width="6.28515625" style="86" customWidth="1"/>
    <col min="2047" max="2047" width="45" style="86" customWidth="1"/>
    <col min="2048" max="2048" width="8.42578125" style="86" customWidth="1"/>
    <col min="2049" max="2049" width="0.140625" style="86" customWidth="1"/>
    <col min="2050" max="2050" width="21" style="86" customWidth="1"/>
    <col min="2051" max="2051" width="0.140625" style="86" customWidth="1"/>
    <col min="2052" max="2052" width="21" style="86" customWidth="1"/>
    <col min="2053" max="2053" width="0.140625" style="86" customWidth="1"/>
    <col min="2054" max="2301" width="9.140625" style="86"/>
    <col min="2302" max="2302" width="6.28515625" style="86" customWidth="1"/>
    <col min="2303" max="2303" width="45" style="86" customWidth="1"/>
    <col min="2304" max="2304" width="8.42578125" style="86" customWidth="1"/>
    <col min="2305" max="2305" width="0.140625" style="86" customWidth="1"/>
    <col min="2306" max="2306" width="21" style="86" customWidth="1"/>
    <col min="2307" max="2307" width="0.140625" style="86" customWidth="1"/>
    <col min="2308" max="2308" width="21" style="86" customWidth="1"/>
    <col min="2309" max="2309" width="0.140625" style="86" customWidth="1"/>
    <col min="2310" max="2557" width="9.140625" style="86"/>
    <col min="2558" max="2558" width="6.28515625" style="86" customWidth="1"/>
    <col min="2559" max="2559" width="45" style="86" customWidth="1"/>
    <col min="2560" max="2560" width="8.42578125" style="86" customWidth="1"/>
    <col min="2561" max="2561" width="0.140625" style="86" customWidth="1"/>
    <col min="2562" max="2562" width="21" style="86" customWidth="1"/>
    <col min="2563" max="2563" width="0.140625" style="86" customWidth="1"/>
    <col min="2564" max="2564" width="21" style="86" customWidth="1"/>
    <col min="2565" max="2565" width="0.140625" style="86" customWidth="1"/>
    <col min="2566" max="2813" width="9.140625" style="86"/>
    <col min="2814" max="2814" width="6.28515625" style="86" customWidth="1"/>
    <col min="2815" max="2815" width="45" style="86" customWidth="1"/>
    <col min="2816" max="2816" width="8.42578125" style="86" customWidth="1"/>
    <col min="2817" max="2817" width="0.140625" style="86" customWidth="1"/>
    <col min="2818" max="2818" width="21" style="86" customWidth="1"/>
    <col min="2819" max="2819" width="0.140625" style="86" customWidth="1"/>
    <col min="2820" max="2820" width="21" style="86" customWidth="1"/>
    <col min="2821" max="2821" width="0.140625" style="86" customWidth="1"/>
    <col min="2822" max="3069" width="9.140625" style="86"/>
    <col min="3070" max="3070" width="6.28515625" style="86" customWidth="1"/>
    <col min="3071" max="3071" width="45" style="86" customWidth="1"/>
    <col min="3072" max="3072" width="8.42578125" style="86" customWidth="1"/>
    <col min="3073" max="3073" width="0.140625" style="86" customWidth="1"/>
    <col min="3074" max="3074" width="21" style="86" customWidth="1"/>
    <col min="3075" max="3075" width="0.140625" style="86" customWidth="1"/>
    <col min="3076" max="3076" width="21" style="86" customWidth="1"/>
    <col min="3077" max="3077" width="0.140625" style="86" customWidth="1"/>
    <col min="3078" max="3325" width="9.140625" style="86"/>
    <col min="3326" max="3326" width="6.28515625" style="86" customWidth="1"/>
    <col min="3327" max="3327" width="45" style="86" customWidth="1"/>
    <col min="3328" max="3328" width="8.42578125" style="86" customWidth="1"/>
    <col min="3329" max="3329" width="0.140625" style="86" customWidth="1"/>
    <col min="3330" max="3330" width="21" style="86" customWidth="1"/>
    <col min="3331" max="3331" width="0.140625" style="86" customWidth="1"/>
    <col min="3332" max="3332" width="21" style="86" customWidth="1"/>
    <col min="3333" max="3333" width="0.140625" style="86" customWidth="1"/>
    <col min="3334" max="3581" width="9.140625" style="86"/>
    <col min="3582" max="3582" width="6.28515625" style="86" customWidth="1"/>
    <col min="3583" max="3583" width="45" style="86" customWidth="1"/>
    <col min="3584" max="3584" width="8.42578125" style="86" customWidth="1"/>
    <col min="3585" max="3585" width="0.140625" style="86" customWidth="1"/>
    <col min="3586" max="3586" width="21" style="86" customWidth="1"/>
    <col min="3587" max="3587" width="0.140625" style="86" customWidth="1"/>
    <col min="3588" max="3588" width="21" style="86" customWidth="1"/>
    <col min="3589" max="3589" width="0.140625" style="86" customWidth="1"/>
    <col min="3590" max="3837" width="9.140625" style="86"/>
    <col min="3838" max="3838" width="6.28515625" style="86" customWidth="1"/>
    <col min="3839" max="3839" width="45" style="86" customWidth="1"/>
    <col min="3840" max="3840" width="8.42578125" style="86" customWidth="1"/>
    <col min="3841" max="3841" width="0.140625" style="86" customWidth="1"/>
    <col min="3842" max="3842" width="21" style="86" customWidth="1"/>
    <col min="3843" max="3843" width="0.140625" style="86" customWidth="1"/>
    <col min="3844" max="3844" width="21" style="86" customWidth="1"/>
    <col min="3845" max="3845" width="0.140625" style="86" customWidth="1"/>
    <col min="3846" max="4093" width="9.140625" style="86"/>
    <col min="4094" max="4094" width="6.28515625" style="86" customWidth="1"/>
    <col min="4095" max="4095" width="45" style="86" customWidth="1"/>
    <col min="4096" max="4096" width="8.42578125" style="86" customWidth="1"/>
    <col min="4097" max="4097" width="0.140625" style="86" customWidth="1"/>
    <col min="4098" max="4098" width="21" style="86" customWidth="1"/>
    <col min="4099" max="4099" width="0.140625" style="86" customWidth="1"/>
    <col min="4100" max="4100" width="21" style="86" customWidth="1"/>
    <col min="4101" max="4101" width="0.140625" style="86" customWidth="1"/>
    <col min="4102" max="4349" width="9.140625" style="86"/>
    <col min="4350" max="4350" width="6.28515625" style="86" customWidth="1"/>
    <col min="4351" max="4351" width="45" style="86" customWidth="1"/>
    <col min="4352" max="4352" width="8.42578125" style="86" customWidth="1"/>
    <col min="4353" max="4353" width="0.140625" style="86" customWidth="1"/>
    <col min="4354" max="4354" width="21" style="86" customWidth="1"/>
    <col min="4355" max="4355" width="0.140625" style="86" customWidth="1"/>
    <col min="4356" max="4356" width="21" style="86" customWidth="1"/>
    <col min="4357" max="4357" width="0.140625" style="86" customWidth="1"/>
    <col min="4358" max="4605" width="9.140625" style="86"/>
    <col min="4606" max="4606" width="6.28515625" style="86" customWidth="1"/>
    <col min="4607" max="4607" width="45" style="86" customWidth="1"/>
    <col min="4608" max="4608" width="8.42578125" style="86" customWidth="1"/>
    <col min="4609" max="4609" width="0.140625" style="86" customWidth="1"/>
    <col min="4610" max="4610" width="21" style="86" customWidth="1"/>
    <col min="4611" max="4611" width="0.140625" style="86" customWidth="1"/>
    <col min="4612" max="4612" width="21" style="86" customWidth="1"/>
    <col min="4613" max="4613" width="0.140625" style="86" customWidth="1"/>
    <col min="4614" max="4861" width="9.140625" style="86"/>
    <col min="4862" max="4862" width="6.28515625" style="86" customWidth="1"/>
    <col min="4863" max="4863" width="45" style="86" customWidth="1"/>
    <col min="4864" max="4864" width="8.42578125" style="86" customWidth="1"/>
    <col min="4865" max="4865" width="0.140625" style="86" customWidth="1"/>
    <col min="4866" max="4866" width="21" style="86" customWidth="1"/>
    <col min="4867" max="4867" width="0.140625" style="86" customWidth="1"/>
    <col min="4868" max="4868" width="21" style="86" customWidth="1"/>
    <col min="4869" max="4869" width="0.140625" style="86" customWidth="1"/>
    <col min="4870" max="5117" width="9.140625" style="86"/>
    <col min="5118" max="5118" width="6.28515625" style="86" customWidth="1"/>
    <col min="5119" max="5119" width="45" style="86" customWidth="1"/>
    <col min="5120" max="5120" width="8.42578125" style="86" customWidth="1"/>
    <col min="5121" max="5121" width="0.140625" style="86" customWidth="1"/>
    <col min="5122" max="5122" width="21" style="86" customWidth="1"/>
    <col min="5123" max="5123" width="0.140625" style="86" customWidth="1"/>
    <col min="5124" max="5124" width="21" style="86" customWidth="1"/>
    <col min="5125" max="5125" width="0.140625" style="86" customWidth="1"/>
    <col min="5126" max="5373" width="9.140625" style="86"/>
    <col min="5374" max="5374" width="6.28515625" style="86" customWidth="1"/>
    <col min="5375" max="5375" width="45" style="86" customWidth="1"/>
    <col min="5376" max="5376" width="8.42578125" style="86" customWidth="1"/>
    <col min="5377" max="5377" width="0.140625" style="86" customWidth="1"/>
    <col min="5378" max="5378" width="21" style="86" customWidth="1"/>
    <col min="5379" max="5379" width="0.140625" style="86" customWidth="1"/>
    <col min="5380" max="5380" width="21" style="86" customWidth="1"/>
    <col min="5381" max="5381" width="0.140625" style="86" customWidth="1"/>
    <col min="5382" max="5629" width="9.140625" style="86"/>
    <col min="5630" max="5630" width="6.28515625" style="86" customWidth="1"/>
    <col min="5631" max="5631" width="45" style="86" customWidth="1"/>
    <col min="5632" max="5632" width="8.42578125" style="86" customWidth="1"/>
    <col min="5633" max="5633" width="0.140625" style="86" customWidth="1"/>
    <col min="5634" max="5634" width="21" style="86" customWidth="1"/>
    <col min="5635" max="5635" width="0.140625" style="86" customWidth="1"/>
    <col min="5636" max="5636" width="21" style="86" customWidth="1"/>
    <col min="5637" max="5637" width="0.140625" style="86" customWidth="1"/>
    <col min="5638" max="5885" width="9.140625" style="86"/>
    <col min="5886" max="5886" width="6.28515625" style="86" customWidth="1"/>
    <col min="5887" max="5887" width="45" style="86" customWidth="1"/>
    <col min="5888" max="5888" width="8.42578125" style="86" customWidth="1"/>
    <col min="5889" max="5889" width="0.140625" style="86" customWidth="1"/>
    <col min="5890" max="5890" width="21" style="86" customWidth="1"/>
    <col min="5891" max="5891" width="0.140625" style="86" customWidth="1"/>
    <col min="5892" max="5892" width="21" style="86" customWidth="1"/>
    <col min="5893" max="5893" width="0.140625" style="86" customWidth="1"/>
    <col min="5894" max="6141" width="9.140625" style="86"/>
    <col min="6142" max="6142" width="6.28515625" style="86" customWidth="1"/>
    <col min="6143" max="6143" width="45" style="86" customWidth="1"/>
    <col min="6144" max="6144" width="8.42578125" style="86" customWidth="1"/>
    <col min="6145" max="6145" width="0.140625" style="86" customWidth="1"/>
    <col min="6146" max="6146" width="21" style="86" customWidth="1"/>
    <col min="6147" max="6147" width="0.140625" style="86" customWidth="1"/>
    <col min="6148" max="6148" width="21" style="86" customWidth="1"/>
    <col min="6149" max="6149" width="0.140625" style="86" customWidth="1"/>
    <col min="6150" max="6397" width="9.140625" style="86"/>
    <col min="6398" max="6398" width="6.28515625" style="86" customWidth="1"/>
    <col min="6399" max="6399" width="45" style="86" customWidth="1"/>
    <col min="6400" max="6400" width="8.42578125" style="86" customWidth="1"/>
    <col min="6401" max="6401" width="0.140625" style="86" customWidth="1"/>
    <col min="6402" max="6402" width="21" style="86" customWidth="1"/>
    <col min="6403" max="6403" width="0.140625" style="86" customWidth="1"/>
    <col min="6404" max="6404" width="21" style="86" customWidth="1"/>
    <col min="6405" max="6405" width="0.140625" style="86" customWidth="1"/>
    <col min="6406" max="6653" width="9.140625" style="86"/>
    <col min="6654" max="6654" width="6.28515625" style="86" customWidth="1"/>
    <col min="6655" max="6655" width="45" style="86" customWidth="1"/>
    <col min="6656" max="6656" width="8.42578125" style="86" customWidth="1"/>
    <col min="6657" max="6657" width="0.140625" style="86" customWidth="1"/>
    <col min="6658" max="6658" width="21" style="86" customWidth="1"/>
    <col min="6659" max="6659" width="0.140625" style="86" customWidth="1"/>
    <col min="6660" max="6660" width="21" style="86" customWidth="1"/>
    <col min="6661" max="6661" width="0.140625" style="86" customWidth="1"/>
    <col min="6662" max="6909" width="9.140625" style="86"/>
    <col min="6910" max="6910" width="6.28515625" style="86" customWidth="1"/>
    <col min="6911" max="6911" width="45" style="86" customWidth="1"/>
    <col min="6912" max="6912" width="8.42578125" style="86" customWidth="1"/>
    <col min="6913" max="6913" width="0.140625" style="86" customWidth="1"/>
    <col min="6914" max="6914" width="21" style="86" customWidth="1"/>
    <col min="6915" max="6915" width="0.140625" style="86" customWidth="1"/>
    <col min="6916" max="6916" width="21" style="86" customWidth="1"/>
    <col min="6917" max="6917" width="0.140625" style="86" customWidth="1"/>
    <col min="6918" max="7165" width="9.140625" style="86"/>
    <col min="7166" max="7166" width="6.28515625" style="86" customWidth="1"/>
    <col min="7167" max="7167" width="45" style="86" customWidth="1"/>
    <col min="7168" max="7168" width="8.42578125" style="86" customWidth="1"/>
    <col min="7169" max="7169" width="0.140625" style="86" customWidth="1"/>
    <col min="7170" max="7170" width="21" style="86" customWidth="1"/>
    <col min="7171" max="7171" width="0.140625" style="86" customWidth="1"/>
    <col min="7172" max="7172" width="21" style="86" customWidth="1"/>
    <col min="7173" max="7173" width="0.140625" style="86" customWidth="1"/>
    <col min="7174" max="7421" width="9.140625" style="86"/>
    <col min="7422" max="7422" width="6.28515625" style="86" customWidth="1"/>
    <col min="7423" max="7423" width="45" style="86" customWidth="1"/>
    <col min="7424" max="7424" width="8.42578125" style="86" customWidth="1"/>
    <col min="7425" max="7425" width="0.140625" style="86" customWidth="1"/>
    <col min="7426" max="7426" width="21" style="86" customWidth="1"/>
    <col min="7427" max="7427" width="0.140625" style="86" customWidth="1"/>
    <col min="7428" max="7428" width="21" style="86" customWidth="1"/>
    <col min="7429" max="7429" width="0.140625" style="86" customWidth="1"/>
    <col min="7430" max="7677" width="9.140625" style="86"/>
    <col min="7678" max="7678" width="6.28515625" style="86" customWidth="1"/>
    <col min="7679" max="7679" width="45" style="86" customWidth="1"/>
    <col min="7680" max="7680" width="8.42578125" style="86" customWidth="1"/>
    <col min="7681" max="7681" width="0.140625" style="86" customWidth="1"/>
    <col min="7682" max="7682" width="21" style="86" customWidth="1"/>
    <col min="7683" max="7683" width="0.140625" style="86" customWidth="1"/>
    <col min="7684" max="7684" width="21" style="86" customWidth="1"/>
    <col min="7685" max="7685" width="0.140625" style="86" customWidth="1"/>
    <col min="7686" max="7933" width="9.140625" style="86"/>
    <col min="7934" max="7934" width="6.28515625" style="86" customWidth="1"/>
    <col min="7935" max="7935" width="45" style="86" customWidth="1"/>
    <col min="7936" max="7936" width="8.42578125" style="86" customWidth="1"/>
    <col min="7937" max="7937" width="0.140625" style="86" customWidth="1"/>
    <col min="7938" max="7938" width="21" style="86" customWidth="1"/>
    <col min="7939" max="7939" width="0.140625" style="86" customWidth="1"/>
    <col min="7940" max="7940" width="21" style="86" customWidth="1"/>
    <col min="7941" max="7941" width="0.140625" style="86" customWidth="1"/>
    <col min="7942" max="8189" width="9.140625" style="86"/>
    <col min="8190" max="8190" width="6.28515625" style="86" customWidth="1"/>
    <col min="8191" max="8191" width="45" style="86" customWidth="1"/>
    <col min="8192" max="8192" width="8.42578125" style="86" customWidth="1"/>
    <col min="8193" max="8193" width="0.140625" style="86" customWidth="1"/>
    <col min="8194" max="8194" width="21" style="86" customWidth="1"/>
    <col min="8195" max="8195" width="0.140625" style="86" customWidth="1"/>
    <col min="8196" max="8196" width="21" style="86" customWidth="1"/>
    <col min="8197" max="8197" width="0.140625" style="86" customWidth="1"/>
    <col min="8198" max="8445" width="9.140625" style="86"/>
    <col min="8446" max="8446" width="6.28515625" style="86" customWidth="1"/>
    <col min="8447" max="8447" width="45" style="86" customWidth="1"/>
    <col min="8448" max="8448" width="8.42578125" style="86" customWidth="1"/>
    <col min="8449" max="8449" width="0.140625" style="86" customWidth="1"/>
    <col min="8450" max="8450" width="21" style="86" customWidth="1"/>
    <col min="8451" max="8451" width="0.140625" style="86" customWidth="1"/>
    <col min="8452" max="8452" width="21" style="86" customWidth="1"/>
    <col min="8453" max="8453" width="0.140625" style="86" customWidth="1"/>
    <col min="8454" max="8701" width="9.140625" style="86"/>
    <col min="8702" max="8702" width="6.28515625" style="86" customWidth="1"/>
    <col min="8703" max="8703" width="45" style="86" customWidth="1"/>
    <col min="8704" max="8704" width="8.42578125" style="86" customWidth="1"/>
    <col min="8705" max="8705" width="0.140625" style="86" customWidth="1"/>
    <col min="8706" max="8706" width="21" style="86" customWidth="1"/>
    <col min="8707" max="8707" width="0.140625" style="86" customWidth="1"/>
    <col min="8708" max="8708" width="21" style="86" customWidth="1"/>
    <col min="8709" max="8709" width="0.140625" style="86" customWidth="1"/>
    <col min="8710" max="8957" width="9.140625" style="86"/>
    <col min="8958" max="8958" width="6.28515625" style="86" customWidth="1"/>
    <col min="8959" max="8959" width="45" style="86" customWidth="1"/>
    <col min="8960" max="8960" width="8.42578125" style="86" customWidth="1"/>
    <col min="8961" max="8961" width="0.140625" style="86" customWidth="1"/>
    <col min="8962" max="8962" width="21" style="86" customWidth="1"/>
    <col min="8963" max="8963" width="0.140625" style="86" customWidth="1"/>
    <col min="8964" max="8964" width="21" style="86" customWidth="1"/>
    <col min="8965" max="8965" width="0.140625" style="86" customWidth="1"/>
    <col min="8966" max="9213" width="9.140625" style="86"/>
    <col min="9214" max="9214" width="6.28515625" style="86" customWidth="1"/>
    <col min="9215" max="9215" width="45" style="86" customWidth="1"/>
    <col min="9216" max="9216" width="8.42578125" style="86" customWidth="1"/>
    <col min="9217" max="9217" width="0.140625" style="86" customWidth="1"/>
    <col min="9218" max="9218" width="21" style="86" customWidth="1"/>
    <col min="9219" max="9219" width="0.140625" style="86" customWidth="1"/>
    <col min="9220" max="9220" width="21" style="86" customWidth="1"/>
    <col min="9221" max="9221" width="0.140625" style="86" customWidth="1"/>
    <col min="9222" max="9469" width="9.140625" style="86"/>
    <col min="9470" max="9470" width="6.28515625" style="86" customWidth="1"/>
    <col min="9471" max="9471" width="45" style="86" customWidth="1"/>
    <col min="9472" max="9472" width="8.42578125" style="86" customWidth="1"/>
    <col min="9473" max="9473" width="0.140625" style="86" customWidth="1"/>
    <col min="9474" max="9474" width="21" style="86" customWidth="1"/>
    <col min="9475" max="9475" width="0.140625" style="86" customWidth="1"/>
    <col min="9476" max="9476" width="21" style="86" customWidth="1"/>
    <col min="9477" max="9477" width="0.140625" style="86" customWidth="1"/>
    <col min="9478" max="9725" width="9.140625" style="86"/>
    <col min="9726" max="9726" width="6.28515625" style="86" customWidth="1"/>
    <col min="9727" max="9727" width="45" style="86" customWidth="1"/>
    <col min="9728" max="9728" width="8.42578125" style="86" customWidth="1"/>
    <col min="9729" max="9729" width="0.140625" style="86" customWidth="1"/>
    <col min="9730" max="9730" width="21" style="86" customWidth="1"/>
    <col min="9731" max="9731" width="0.140625" style="86" customWidth="1"/>
    <col min="9732" max="9732" width="21" style="86" customWidth="1"/>
    <col min="9733" max="9733" width="0.140625" style="86" customWidth="1"/>
    <col min="9734" max="9981" width="9.140625" style="86"/>
    <col min="9982" max="9982" width="6.28515625" style="86" customWidth="1"/>
    <col min="9983" max="9983" width="45" style="86" customWidth="1"/>
    <col min="9984" max="9984" width="8.42578125" style="86" customWidth="1"/>
    <col min="9985" max="9985" width="0.140625" style="86" customWidth="1"/>
    <col min="9986" max="9986" width="21" style="86" customWidth="1"/>
    <col min="9987" max="9987" width="0.140625" style="86" customWidth="1"/>
    <col min="9988" max="9988" width="21" style="86" customWidth="1"/>
    <col min="9989" max="9989" width="0.140625" style="86" customWidth="1"/>
    <col min="9990" max="10237" width="9.140625" style="86"/>
    <col min="10238" max="10238" width="6.28515625" style="86" customWidth="1"/>
    <col min="10239" max="10239" width="45" style="86" customWidth="1"/>
    <col min="10240" max="10240" width="8.42578125" style="86" customWidth="1"/>
    <col min="10241" max="10241" width="0.140625" style="86" customWidth="1"/>
    <col min="10242" max="10242" width="21" style="86" customWidth="1"/>
    <col min="10243" max="10243" width="0.140625" style="86" customWidth="1"/>
    <col min="10244" max="10244" width="21" style="86" customWidth="1"/>
    <col min="10245" max="10245" width="0.140625" style="86" customWidth="1"/>
    <col min="10246" max="10493" width="9.140625" style="86"/>
    <col min="10494" max="10494" width="6.28515625" style="86" customWidth="1"/>
    <col min="10495" max="10495" width="45" style="86" customWidth="1"/>
    <col min="10496" max="10496" width="8.42578125" style="86" customWidth="1"/>
    <col min="10497" max="10497" width="0.140625" style="86" customWidth="1"/>
    <col min="10498" max="10498" width="21" style="86" customWidth="1"/>
    <col min="10499" max="10499" width="0.140625" style="86" customWidth="1"/>
    <col min="10500" max="10500" width="21" style="86" customWidth="1"/>
    <col min="10501" max="10501" width="0.140625" style="86" customWidth="1"/>
    <col min="10502" max="10749" width="9.140625" style="86"/>
    <col min="10750" max="10750" width="6.28515625" style="86" customWidth="1"/>
    <col min="10751" max="10751" width="45" style="86" customWidth="1"/>
    <col min="10752" max="10752" width="8.42578125" style="86" customWidth="1"/>
    <col min="10753" max="10753" width="0.140625" style="86" customWidth="1"/>
    <col min="10754" max="10754" width="21" style="86" customWidth="1"/>
    <col min="10755" max="10755" width="0.140625" style="86" customWidth="1"/>
    <col min="10756" max="10756" width="21" style="86" customWidth="1"/>
    <col min="10757" max="10757" width="0.140625" style="86" customWidth="1"/>
    <col min="10758" max="11005" width="9.140625" style="86"/>
    <col min="11006" max="11006" width="6.28515625" style="86" customWidth="1"/>
    <col min="11007" max="11007" width="45" style="86" customWidth="1"/>
    <col min="11008" max="11008" width="8.42578125" style="86" customWidth="1"/>
    <col min="11009" max="11009" width="0.140625" style="86" customWidth="1"/>
    <col min="11010" max="11010" width="21" style="86" customWidth="1"/>
    <col min="11011" max="11011" width="0.140625" style="86" customWidth="1"/>
    <col min="11012" max="11012" width="21" style="86" customWidth="1"/>
    <col min="11013" max="11013" width="0.140625" style="86" customWidth="1"/>
    <col min="11014" max="11261" width="9.140625" style="86"/>
    <col min="11262" max="11262" width="6.28515625" style="86" customWidth="1"/>
    <col min="11263" max="11263" width="45" style="86" customWidth="1"/>
    <col min="11264" max="11264" width="8.42578125" style="86" customWidth="1"/>
    <col min="11265" max="11265" width="0.140625" style="86" customWidth="1"/>
    <col min="11266" max="11266" width="21" style="86" customWidth="1"/>
    <col min="11267" max="11267" width="0.140625" style="86" customWidth="1"/>
    <col min="11268" max="11268" width="21" style="86" customWidth="1"/>
    <col min="11269" max="11269" width="0.140625" style="86" customWidth="1"/>
    <col min="11270" max="11517" width="9.140625" style="86"/>
    <col min="11518" max="11518" width="6.28515625" style="86" customWidth="1"/>
    <col min="11519" max="11519" width="45" style="86" customWidth="1"/>
    <col min="11520" max="11520" width="8.42578125" style="86" customWidth="1"/>
    <col min="11521" max="11521" width="0.140625" style="86" customWidth="1"/>
    <col min="11522" max="11522" width="21" style="86" customWidth="1"/>
    <col min="11523" max="11523" width="0.140625" style="86" customWidth="1"/>
    <col min="11524" max="11524" width="21" style="86" customWidth="1"/>
    <col min="11525" max="11525" width="0.140625" style="86" customWidth="1"/>
    <col min="11526" max="11773" width="9.140625" style="86"/>
    <col min="11774" max="11774" width="6.28515625" style="86" customWidth="1"/>
    <col min="11775" max="11775" width="45" style="86" customWidth="1"/>
    <col min="11776" max="11776" width="8.42578125" style="86" customWidth="1"/>
    <col min="11777" max="11777" width="0.140625" style="86" customWidth="1"/>
    <col min="11778" max="11778" width="21" style="86" customWidth="1"/>
    <col min="11779" max="11779" width="0.140625" style="86" customWidth="1"/>
    <col min="11780" max="11780" width="21" style="86" customWidth="1"/>
    <col min="11781" max="11781" width="0.140625" style="86" customWidth="1"/>
    <col min="11782" max="12029" width="9.140625" style="86"/>
    <col min="12030" max="12030" width="6.28515625" style="86" customWidth="1"/>
    <col min="12031" max="12031" width="45" style="86" customWidth="1"/>
    <col min="12032" max="12032" width="8.42578125" style="86" customWidth="1"/>
    <col min="12033" max="12033" width="0.140625" style="86" customWidth="1"/>
    <col min="12034" max="12034" width="21" style="86" customWidth="1"/>
    <col min="12035" max="12035" width="0.140625" style="86" customWidth="1"/>
    <col min="12036" max="12036" width="21" style="86" customWidth="1"/>
    <col min="12037" max="12037" width="0.140625" style="86" customWidth="1"/>
    <col min="12038" max="12285" width="9.140625" style="86"/>
    <col min="12286" max="12286" width="6.28515625" style="86" customWidth="1"/>
    <col min="12287" max="12287" width="45" style="86" customWidth="1"/>
    <col min="12288" max="12288" width="8.42578125" style="86" customWidth="1"/>
    <col min="12289" max="12289" width="0.140625" style="86" customWidth="1"/>
    <col min="12290" max="12290" width="21" style="86" customWidth="1"/>
    <col min="12291" max="12291" width="0.140625" style="86" customWidth="1"/>
    <col min="12292" max="12292" width="21" style="86" customWidth="1"/>
    <col min="12293" max="12293" width="0.140625" style="86" customWidth="1"/>
    <col min="12294" max="12541" width="9.140625" style="86"/>
    <col min="12542" max="12542" width="6.28515625" style="86" customWidth="1"/>
    <col min="12543" max="12543" width="45" style="86" customWidth="1"/>
    <col min="12544" max="12544" width="8.42578125" style="86" customWidth="1"/>
    <col min="12545" max="12545" width="0.140625" style="86" customWidth="1"/>
    <col min="12546" max="12546" width="21" style="86" customWidth="1"/>
    <col min="12547" max="12547" width="0.140625" style="86" customWidth="1"/>
    <col min="12548" max="12548" width="21" style="86" customWidth="1"/>
    <col min="12549" max="12549" width="0.140625" style="86" customWidth="1"/>
    <col min="12550" max="12797" width="9.140625" style="86"/>
    <col min="12798" max="12798" width="6.28515625" style="86" customWidth="1"/>
    <col min="12799" max="12799" width="45" style="86" customWidth="1"/>
    <col min="12800" max="12800" width="8.42578125" style="86" customWidth="1"/>
    <col min="12801" max="12801" width="0.140625" style="86" customWidth="1"/>
    <col min="12802" max="12802" width="21" style="86" customWidth="1"/>
    <col min="12803" max="12803" width="0.140625" style="86" customWidth="1"/>
    <col min="12804" max="12804" width="21" style="86" customWidth="1"/>
    <col min="12805" max="12805" width="0.140625" style="86" customWidth="1"/>
    <col min="12806" max="13053" width="9.140625" style="86"/>
    <col min="13054" max="13054" width="6.28515625" style="86" customWidth="1"/>
    <col min="13055" max="13055" width="45" style="86" customWidth="1"/>
    <col min="13056" max="13056" width="8.42578125" style="86" customWidth="1"/>
    <col min="13057" max="13057" width="0.140625" style="86" customWidth="1"/>
    <col min="13058" max="13058" width="21" style="86" customWidth="1"/>
    <col min="13059" max="13059" width="0.140625" style="86" customWidth="1"/>
    <col min="13060" max="13060" width="21" style="86" customWidth="1"/>
    <col min="13061" max="13061" width="0.140625" style="86" customWidth="1"/>
    <col min="13062" max="13309" width="9.140625" style="86"/>
    <col min="13310" max="13310" width="6.28515625" style="86" customWidth="1"/>
    <col min="13311" max="13311" width="45" style="86" customWidth="1"/>
    <col min="13312" max="13312" width="8.42578125" style="86" customWidth="1"/>
    <col min="13313" max="13313" width="0.140625" style="86" customWidth="1"/>
    <col min="13314" max="13314" width="21" style="86" customWidth="1"/>
    <col min="13315" max="13315" width="0.140625" style="86" customWidth="1"/>
    <col min="13316" max="13316" width="21" style="86" customWidth="1"/>
    <col min="13317" max="13317" width="0.140625" style="86" customWidth="1"/>
    <col min="13318" max="13565" width="9.140625" style="86"/>
    <col min="13566" max="13566" width="6.28515625" style="86" customWidth="1"/>
    <col min="13567" max="13567" width="45" style="86" customWidth="1"/>
    <col min="13568" max="13568" width="8.42578125" style="86" customWidth="1"/>
    <col min="13569" max="13569" width="0.140625" style="86" customWidth="1"/>
    <col min="13570" max="13570" width="21" style="86" customWidth="1"/>
    <col min="13571" max="13571" width="0.140625" style="86" customWidth="1"/>
    <col min="13572" max="13572" width="21" style="86" customWidth="1"/>
    <col min="13573" max="13573" width="0.140625" style="86" customWidth="1"/>
    <col min="13574" max="13821" width="9.140625" style="86"/>
    <col min="13822" max="13822" width="6.28515625" style="86" customWidth="1"/>
    <col min="13823" max="13823" width="45" style="86" customWidth="1"/>
    <col min="13824" max="13824" width="8.42578125" style="86" customWidth="1"/>
    <col min="13825" max="13825" width="0.140625" style="86" customWidth="1"/>
    <col min="13826" max="13826" width="21" style="86" customWidth="1"/>
    <col min="13827" max="13827" width="0.140625" style="86" customWidth="1"/>
    <col min="13828" max="13828" width="21" style="86" customWidth="1"/>
    <col min="13829" max="13829" width="0.140625" style="86" customWidth="1"/>
    <col min="13830" max="14077" width="9.140625" style="86"/>
    <col min="14078" max="14078" width="6.28515625" style="86" customWidth="1"/>
    <col min="14079" max="14079" width="45" style="86" customWidth="1"/>
    <col min="14080" max="14080" width="8.42578125" style="86" customWidth="1"/>
    <col min="14081" max="14081" width="0.140625" style="86" customWidth="1"/>
    <col min="14082" max="14082" width="21" style="86" customWidth="1"/>
    <col min="14083" max="14083" width="0.140625" style="86" customWidth="1"/>
    <col min="14084" max="14084" width="21" style="86" customWidth="1"/>
    <col min="14085" max="14085" width="0.140625" style="86" customWidth="1"/>
    <col min="14086" max="14333" width="9.140625" style="86"/>
    <col min="14334" max="14334" width="6.28515625" style="86" customWidth="1"/>
    <col min="14335" max="14335" width="45" style="86" customWidth="1"/>
    <col min="14336" max="14336" width="8.42578125" style="86" customWidth="1"/>
    <col min="14337" max="14337" width="0.140625" style="86" customWidth="1"/>
    <col min="14338" max="14338" width="21" style="86" customWidth="1"/>
    <col min="14339" max="14339" width="0.140625" style="86" customWidth="1"/>
    <col min="14340" max="14340" width="21" style="86" customWidth="1"/>
    <col min="14341" max="14341" width="0.140625" style="86" customWidth="1"/>
    <col min="14342" max="14589" width="9.140625" style="86"/>
    <col min="14590" max="14590" width="6.28515625" style="86" customWidth="1"/>
    <col min="14591" max="14591" width="45" style="86" customWidth="1"/>
    <col min="14592" max="14592" width="8.42578125" style="86" customWidth="1"/>
    <col min="14593" max="14593" width="0.140625" style="86" customWidth="1"/>
    <col min="14594" max="14594" width="21" style="86" customWidth="1"/>
    <col min="14595" max="14595" width="0.140625" style="86" customWidth="1"/>
    <col min="14596" max="14596" width="21" style="86" customWidth="1"/>
    <col min="14597" max="14597" width="0.140625" style="86" customWidth="1"/>
    <col min="14598" max="14845" width="9.140625" style="86"/>
    <col min="14846" max="14846" width="6.28515625" style="86" customWidth="1"/>
    <col min="14847" max="14847" width="45" style="86" customWidth="1"/>
    <col min="14848" max="14848" width="8.42578125" style="86" customWidth="1"/>
    <col min="14849" max="14849" width="0.140625" style="86" customWidth="1"/>
    <col min="14850" max="14850" width="21" style="86" customWidth="1"/>
    <col min="14851" max="14851" width="0.140625" style="86" customWidth="1"/>
    <col min="14852" max="14852" width="21" style="86" customWidth="1"/>
    <col min="14853" max="14853" width="0.140625" style="86" customWidth="1"/>
    <col min="14854" max="15101" width="9.140625" style="86"/>
    <col min="15102" max="15102" width="6.28515625" style="86" customWidth="1"/>
    <col min="15103" max="15103" width="45" style="86" customWidth="1"/>
    <col min="15104" max="15104" width="8.42578125" style="86" customWidth="1"/>
    <col min="15105" max="15105" width="0.140625" style="86" customWidth="1"/>
    <col min="15106" max="15106" width="21" style="86" customWidth="1"/>
    <col min="15107" max="15107" width="0.140625" style="86" customWidth="1"/>
    <col min="15108" max="15108" width="21" style="86" customWidth="1"/>
    <col min="15109" max="15109" width="0.140625" style="86" customWidth="1"/>
    <col min="15110" max="15357" width="9.140625" style="86"/>
    <col min="15358" max="15358" width="6.28515625" style="86" customWidth="1"/>
    <col min="15359" max="15359" width="45" style="86" customWidth="1"/>
    <col min="15360" max="15360" width="8.42578125" style="86" customWidth="1"/>
    <col min="15361" max="15361" width="0.140625" style="86" customWidth="1"/>
    <col min="15362" max="15362" width="21" style="86" customWidth="1"/>
    <col min="15363" max="15363" width="0.140625" style="86" customWidth="1"/>
    <col min="15364" max="15364" width="21" style="86" customWidth="1"/>
    <col min="15365" max="15365" width="0.140625" style="86" customWidth="1"/>
    <col min="15366" max="15613" width="9.140625" style="86"/>
    <col min="15614" max="15614" width="6.28515625" style="86" customWidth="1"/>
    <col min="15615" max="15615" width="45" style="86" customWidth="1"/>
    <col min="15616" max="15616" width="8.42578125" style="86" customWidth="1"/>
    <col min="15617" max="15617" width="0.140625" style="86" customWidth="1"/>
    <col min="15618" max="15618" width="21" style="86" customWidth="1"/>
    <col min="15619" max="15619" width="0.140625" style="86" customWidth="1"/>
    <col min="15620" max="15620" width="21" style="86" customWidth="1"/>
    <col min="15621" max="15621" width="0.140625" style="86" customWidth="1"/>
    <col min="15622" max="15869" width="9.140625" style="86"/>
    <col min="15870" max="15870" width="6.28515625" style="86" customWidth="1"/>
    <col min="15871" max="15871" width="45" style="86" customWidth="1"/>
    <col min="15872" max="15872" width="8.42578125" style="86" customWidth="1"/>
    <col min="15873" max="15873" width="0.140625" style="86" customWidth="1"/>
    <col min="15874" max="15874" width="21" style="86" customWidth="1"/>
    <col min="15875" max="15875" width="0.140625" style="86" customWidth="1"/>
    <col min="15876" max="15876" width="21" style="86" customWidth="1"/>
    <col min="15877" max="15877" width="0.140625" style="86" customWidth="1"/>
    <col min="15878" max="16125" width="9.140625" style="86"/>
    <col min="16126" max="16126" width="6.28515625" style="86" customWidth="1"/>
    <col min="16127" max="16127" width="45" style="86" customWidth="1"/>
    <col min="16128" max="16128" width="8.42578125" style="86" customWidth="1"/>
    <col min="16129" max="16129" width="0.140625" style="86" customWidth="1"/>
    <col min="16130" max="16130" width="21" style="86" customWidth="1"/>
    <col min="16131" max="16131" width="0.140625" style="86" customWidth="1"/>
    <col min="16132" max="16132" width="21" style="86" customWidth="1"/>
    <col min="16133" max="16133" width="0.140625" style="86" customWidth="1"/>
    <col min="16134" max="16384" width="9.140625" style="86"/>
  </cols>
  <sheetData>
    <row r="1" spans="1:6" ht="39" customHeight="1">
      <c r="A1" s="115"/>
      <c r="B1" s="295" t="s">
        <v>659</v>
      </c>
      <c r="C1" s="295"/>
      <c r="D1" s="295"/>
      <c r="E1" s="295"/>
      <c r="F1" s="146"/>
    </row>
    <row r="2" spans="1:6" ht="21.75" customHeight="1">
      <c r="A2" s="337" t="s">
        <v>660</v>
      </c>
      <c r="B2" s="337"/>
      <c r="C2" s="337"/>
      <c r="D2" s="337"/>
      <c r="E2" s="337"/>
      <c r="F2" s="146"/>
    </row>
    <row r="3" spans="1:6" ht="6" customHeight="1">
      <c r="A3" s="115"/>
      <c r="B3" s="115"/>
      <c r="C3" s="281"/>
      <c r="D3" s="281"/>
      <c r="E3" s="115"/>
      <c r="F3" s="146"/>
    </row>
    <row r="4" spans="1:6" ht="31.5" customHeight="1">
      <c r="A4" s="284" t="s">
        <v>661</v>
      </c>
      <c r="B4" s="284"/>
      <c r="C4" s="284"/>
      <c r="D4" s="284"/>
      <c r="E4" s="284"/>
      <c r="F4" s="146"/>
    </row>
    <row r="5" spans="1:6" ht="15.75" customHeight="1">
      <c r="A5" s="285" t="s">
        <v>265</v>
      </c>
      <c r="B5" s="285"/>
      <c r="C5" s="285"/>
      <c r="D5" s="285"/>
      <c r="E5" s="285"/>
      <c r="F5" s="146"/>
    </row>
    <row r="6" spans="1:6" ht="3.75" customHeight="1">
      <c r="A6" s="115"/>
      <c r="B6" s="115"/>
      <c r="C6" s="281"/>
      <c r="D6" s="281"/>
      <c r="E6" s="115"/>
      <c r="F6" s="146"/>
    </row>
    <row r="7" spans="1:6" ht="15" customHeight="1">
      <c r="A7" s="280" t="s">
        <v>662</v>
      </c>
      <c r="B7" s="280"/>
      <c r="C7" s="280" t="s">
        <v>118</v>
      </c>
      <c r="D7" s="280"/>
      <c r="E7" s="280"/>
      <c r="F7" s="146"/>
    </row>
    <row r="8" spans="1:6" ht="15" customHeight="1">
      <c r="A8" s="281" t="s">
        <v>5</v>
      </c>
      <c r="B8" s="281"/>
      <c r="C8" s="281" t="s">
        <v>6</v>
      </c>
      <c r="D8" s="281"/>
      <c r="E8" s="281"/>
      <c r="F8" s="146"/>
    </row>
    <row r="9" spans="1:6" ht="15" customHeight="1">
      <c r="A9" s="280" t="s">
        <v>266</v>
      </c>
      <c r="B9" s="280"/>
      <c r="C9" s="280" t="s">
        <v>119</v>
      </c>
      <c r="D9" s="280"/>
      <c r="E9" s="280"/>
      <c r="F9" s="146"/>
    </row>
    <row r="10" spans="1:6" ht="15" customHeight="1">
      <c r="A10" s="281" t="s">
        <v>663</v>
      </c>
      <c r="B10" s="281"/>
      <c r="C10" s="281" t="s">
        <v>121</v>
      </c>
      <c r="D10" s="281"/>
      <c r="E10" s="281"/>
      <c r="F10" s="146"/>
    </row>
    <row r="11" spans="1:6" s="146" customFormat="1" ht="15" customHeight="1">
      <c r="A11" s="280" t="s">
        <v>11</v>
      </c>
      <c r="B11" s="280"/>
      <c r="C11" s="280" t="s">
        <v>114</v>
      </c>
      <c r="D11" s="280"/>
      <c r="E11" s="280"/>
      <c r="F11" s="198"/>
    </row>
    <row r="12" spans="1:6" s="146" customFormat="1" ht="15" customHeight="1">
      <c r="A12" s="281" t="s">
        <v>115</v>
      </c>
      <c r="B12" s="281"/>
      <c r="C12" s="281" t="s">
        <v>116</v>
      </c>
      <c r="D12" s="281"/>
      <c r="E12" s="281"/>
      <c r="F12" s="241"/>
    </row>
    <row r="13" spans="1:6" ht="15" customHeight="1">
      <c r="A13" s="280" t="s">
        <v>664</v>
      </c>
      <c r="B13" s="280"/>
      <c r="C13" s="280" t="s">
        <v>122</v>
      </c>
      <c r="D13" s="280"/>
      <c r="E13" s="280"/>
      <c r="F13" s="146"/>
    </row>
    <row r="14" spans="1:6" ht="15" customHeight="1">
      <c r="A14" s="281" t="s">
        <v>665</v>
      </c>
      <c r="B14" s="281"/>
      <c r="C14" s="281" t="s">
        <v>123</v>
      </c>
      <c r="D14" s="281"/>
      <c r="E14" s="281"/>
      <c r="F14" s="146"/>
    </row>
    <row r="15" spans="1:6" ht="15.75" customHeight="1">
      <c r="A15" s="147"/>
      <c r="B15" s="147"/>
      <c r="C15" s="347"/>
      <c r="D15" s="347"/>
      <c r="E15" s="148"/>
      <c r="F15" s="146"/>
    </row>
    <row r="16" spans="1:6" ht="33" customHeight="1">
      <c r="A16" s="97" t="s">
        <v>269</v>
      </c>
      <c r="B16" s="137" t="s">
        <v>666</v>
      </c>
      <c r="C16" s="137" t="s">
        <v>667</v>
      </c>
      <c r="D16" s="137" t="s">
        <v>271</v>
      </c>
      <c r="E16" s="202" t="s">
        <v>272</v>
      </c>
      <c r="F16" s="146"/>
    </row>
    <row r="17" spans="1:6" ht="31.5">
      <c r="A17" s="118" t="s">
        <v>83</v>
      </c>
      <c r="B17" s="119" t="s">
        <v>668</v>
      </c>
      <c r="C17" s="120" t="s">
        <v>669</v>
      </c>
      <c r="D17" s="155">
        <v>9799077340633</v>
      </c>
      <c r="E17" s="203">
        <v>8851451560778</v>
      </c>
      <c r="F17" s="146"/>
    </row>
    <row r="18" spans="1:6" ht="42">
      <c r="A18" s="118" t="s">
        <v>88</v>
      </c>
      <c r="B18" s="119" t="s">
        <v>670</v>
      </c>
      <c r="C18" s="120" t="s">
        <v>671</v>
      </c>
      <c r="D18" s="155">
        <v>816045260973</v>
      </c>
      <c r="E18" s="204">
        <v>103567014629</v>
      </c>
      <c r="F18" s="146"/>
    </row>
    <row r="19" spans="1:6">
      <c r="A19" s="123"/>
      <c r="B19" s="124" t="s">
        <v>672</v>
      </c>
      <c r="C19" s="125"/>
      <c r="D19" s="104">
        <v>0</v>
      </c>
      <c r="E19" s="205">
        <v>0</v>
      </c>
      <c r="F19" s="146"/>
    </row>
    <row r="20" spans="1:6" ht="42">
      <c r="A20" s="123" t="s">
        <v>567</v>
      </c>
      <c r="B20" s="124" t="s">
        <v>673</v>
      </c>
      <c r="C20" s="125" t="s">
        <v>674</v>
      </c>
      <c r="D20" s="104">
        <v>816045260973</v>
      </c>
      <c r="E20" s="205">
        <v>103567014629</v>
      </c>
      <c r="F20" s="146"/>
    </row>
    <row r="21" spans="1:6" ht="42">
      <c r="A21" s="123" t="s">
        <v>569</v>
      </c>
      <c r="B21" s="124" t="s">
        <v>675</v>
      </c>
      <c r="C21" s="125" t="s">
        <v>676</v>
      </c>
      <c r="D21" s="104">
        <v>0</v>
      </c>
      <c r="E21" s="205">
        <v>0</v>
      </c>
      <c r="F21" s="146"/>
    </row>
    <row r="22" spans="1:6" ht="42">
      <c r="A22" s="118" t="s">
        <v>96</v>
      </c>
      <c r="B22" s="119" t="s">
        <v>677</v>
      </c>
      <c r="C22" s="120" t="s">
        <v>678</v>
      </c>
      <c r="D22" s="155">
        <v>617017779148</v>
      </c>
      <c r="E22" s="204">
        <v>844058765226</v>
      </c>
      <c r="F22" s="146"/>
    </row>
    <row r="23" spans="1:6" ht="31.5">
      <c r="A23" s="123" t="s">
        <v>679</v>
      </c>
      <c r="B23" s="124" t="s">
        <v>680</v>
      </c>
      <c r="C23" s="125" t="s">
        <v>681</v>
      </c>
      <c r="D23" s="104">
        <v>677558726719</v>
      </c>
      <c r="E23" s="205">
        <v>852082732649</v>
      </c>
      <c r="F23" s="146"/>
    </row>
    <row r="24" spans="1:6" ht="31.5">
      <c r="A24" s="123" t="s">
        <v>682</v>
      </c>
      <c r="B24" s="124" t="s">
        <v>683</v>
      </c>
      <c r="C24" s="125" t="s">
        <v>684</v>
      </c>
      <c r="D24" s="104">
        <v>-60540947571</v>
      </c>
      <c r="E24" s="205">
        <v>-8023967423</v>
      </c>
      <c r="F24" s="146"/>
    </row>
    <row r="25" spans="1:6" ht="31.5">
      <c r="A25" s="118" t="s">
        <v>66</v>
      </c>
      <c r="B25" s="119" t="s">
        <v>685</v>
      </c>
      <c r="C25" s="120" t="s">
        <v>686</v>
      </c>
      <c r="D25" s="155">
        <v>11232140380754</v>
      </c>
      <c r="E25" s="204">
        <v>9799077340633</v>
      </c>
      <c r="F25" s="146"/>
    </row>
    <row r="26" spans="1:6" ht="31.5">
      <c r="A26" s="157" t="s">
        <v>198</v>
      </c>
      <c r="B26" s="158" t="s">
        <v>687</v>
      </c>
      <c r="C26" s="159" t="s">
        <v>688</v>
      </c>
      <c r="D26" s="160">
        <v>21464.05</v>
      </c>
      <c r="E26" s="206">
        <v>19840.2</v>
      </c>
      <c r="F26" s="146"/>
    </row>
    <row r="27" spans="1:6" ht="15.75" customHeight="1">
      <c r="A27" s="281"/>
      <c r="B27" s="281"/>
      <c r="C27" s="281"/>
      <c r="D27" s="281"/>
      <c r="E27" s="115"/>
      <c r="F27" s="146"/>
    </row>
    <row r="28" spans="1:6" s="200" customFormat="1" ht="21.75" customHeight="1">
      <c r="A28" s="292" t="s">
        <v>689</v>
      </c>
      <c r="B28" s="292"/>
      <c r="C28" s="292" t="s">
        <v>690</v>
      </c>
      <c r="D28" s="292"/>
      <c r="E28" s="201" t="s">
        <v>1003</v>
      </c>
      <c r="F28" s="207"/>
    </row>
    <row r="29" spans="1:6" ht="14.25" customHeight="1">
      <c r="A29" s="344" t="s">
        <v>691</v>
      </c>
      <c r="B29" s="344"/>
      <c r="C29" s="293" t="s">
        <v>691</v>
      </c>
      <c r="D29" s="293"/>
      <c r="E29" s="161" t="s">
        <v>692</v>
      </c>
      <c r="F29" s="199"/>
    </row>
    <row r="30" spans="1:6" ht="83.25" customHeight="1">
      <c r="A30" s="281"/>
      <c r="B30" s="281"/>
      <c r="C30" s="281"/>
      <c r="D30" s="281"/>
      <c r="E30" s="135"/>
      <c r="F30" s="146"/>
    </row>
    <row r="31" spans="1:6" ht="15.75" customHeight="1">
      <c r="A31" s="292" t="s">
        <v>693</v>
      </c>
      <c r="B31" s="292"/>
      <c r="C31" s="292" t="s">
        <v>694</v>
      </c>
      <c r="D31" s="292"/>
      <c r="E31" s="111" t="s">
        <v>107</v>
      </c>
      <c r="F31" s="198"/>
    </row>
  </sheetData>
  <mergeCells count="33">
    <mergeCell ref="A28:B28"/>
    <mergeCell ref="C28:D28"/>
    <mergeCell ref="A27:B27"/>
    <mergeCell ref="C27:D27"/>
    <mergeCell ref="A31:B31"/>
    <mergeCell ref="C31:D31"/>
    <mergeCell ref="A29:B29"/>
    <mergeCell ref="C29:D29"/>
    <mergeCell ref="A30:B30"/>
    <mergeCell ref="C30:D30"/>
    <mergeCell ref="A13:B13"/>
    <mergeCell ref="C13:E13"/>
    <mergeCell ref="A14:B14"/>
    <mergeCell ref="C14:E14"/>
    <mergeCell ref="C15:D15"/>
    <mergeCell ref="B1:E1"/>
    <mergeCell ref="A2:E2"/>
    <mergeCell ref="C3:D3"/>
    <mergeCell ref="A4:E4"/>
    <mergeCell ref="C6:D6"/>
    <mergeCell ref="A11:B11"/>
    <mergeCell ref="A12:B12"/>
    <mergeCell ref="A5:E5"/>
    <mergeCell ref="A7:B7"/>
    <mergeCell ref="C7:E7"/>
    <mergeCell ref="A8:B8"/>
    <mergeCell ref="C8:E8"/>
    <mergeCell ref="A9:B9"/>
    <mergeCell ref="C9:E9"/>
    <mergeCell ref="A10:B10"/>
    <mergeCell ref="C10:E10"/>
    <mergeCell ref="C11:E11"/>
    <mergeCell ref="C12:E12"/>
  </mergeCells>
  <printOptions horizontalCentered="1"/>
  <pageMargins left="0.3" right="0" top="0.59" bottom="0.59" header="0.5" footer="0.5"/>
  <pageSetup paperSize="9"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4z4MNQutwNZsrDwouyO6/aE/CxQ=</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xy2U0omfjAlGBL4Dozt7n1YNops=</DigestValue>
    </Reference>
  </SignedInfo>
  <SignatureValue>hPCis/E41pWIo1P/S4G8oq0B+wIJwjRiv8AltL70YE01VNPnD7WAZ9tQKhU+L3XeKvvDyAmRbJ2J
W7yNiILlCWbZFe3ZB6+8DSJ8XxSknwKSFhKDLuSPAK14gWMhSPvcRUMHu3tprIgO5FNvoO+AENS8
/BfUX5ZBb4hdsW8eENw=</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printerSettings/printerSettings1.bin?ContentType=application/vnd.openxmlformats-officedocument.spreadsheetml.printerSettings">
        <DigestMethod Algorithm="http://www.w3.org/2000/09/xmldsig#sha1"/>
        <DigestValue>a3rgpnuAp0ee6RAz9cfOS/NaX1U=</DigestValue>
      </Reference>
      <Reference URI="/xl/drawings/drawing2.xml?ContentType=application/vnd.openxmlformats-officedocument.drawing+xml">
        <DigestMethod Algorithm="http://www.w3.org/2000/09/xmldsig#sha1"/>
        <DigestValue>u1lv75A9DVMj2sA4f/FJTR4/sP8=</DigestValue>
      </Reference>
      <Reference URI="/xl/media/image2.jpeg?ContentType=image/jpeg">
        <DigestMethod Algorithm="http://www.w3.org/2000/09/xmldsig#sha1"/>
        <DigestValue>X7qVYT4/v9LvlNODIZvSwoUJwXU=</DigestValue>
      </Reference>
      <Reference URI="/xl/worksheets/sheet5.xml?ContentType=application/vnd.openxmlformats-officedocument.spreadsheetml.worksheet+xml">
        <DigestMethod Algorithm="http://www.w3.org/2000/09/xmldsig#sha1"/>
        <DigestValue>Y2m82zZW7CZklQ/KX4FC+ysdBdQ=</DigestValue>
      </Reference>
      <Reference URI="/xl/worksheets/sheet6.xml?ContentType=application/vnd.openxmlformats-officedocument.spreadsheetml.worksheet+xml">
        <DigestMethod Algorithm="http://www.w3.org/2000/09/xmldsig#sha1"/>
        <DigestValue>ZIvxfFLLekbKxXkQgYclaJxzGQ4=</DigestValue>
      </Reference>
      <Reference URI="/xl/worksheets/sheet7.xml?ContentType=application/vnd.openxmlformats-officedocument.spreadsheetml.worksheet+xml">
        <DigestMethod Algorithm="http://www.w3.org/2000/09/xmldsig#sha1"/>
        <DigestValue>6fvoiryvqbJfaK2CTo1m6aHTgQc=</DigestValue>
      </Reference>
      <Reference URI="/xl/worksheets/sheet8.xml?ContentType=application/vnd.openxmlformats-officedocument.spreadsheetml.worksheet+xml">
        <DigestMethod Algorithm="http://www.w3.org/2000/09/xmldsig#sha1"/>
        <DigestValue>xFhNsHaH453y96mdKeHfsyhwR/o=</DigestValue>
      </Reference>
      <Reference URI="/xl/calcChain.xml?ContentType=application/vnd.openxmlformats-officedocument.spreadsheetml.calcChain+xml">
        <DigestMethod Algorithm="http://www.w3.org/2000/09/xmldsig#sha1"/>
        <DigestValue>mO0y4cte5pr9bFY8Bq3P5dRaut4=</DigestValue>
      </Reference>
      <Reference URI="/xl/theme/theme1.xml?ContentType=application/vnd.openxmlformats-officedocument.theme+xml">
        <DigestMethod Algorithm="http://www.w3.org/2000/09/xmldsig#sha1"/>
        <DigestValue>9qmLS+LilE9mSl2hTMj5oHE8VR8=</DigestValue>
      </Reference>
      <Reference URI="/xl/media/image1.jpeg?ContentType=image/jpeg">
        <DigestMethod Algorithm="http://www.w3.org/2000/09/xmldsig#sha1"/>
        <DigestValue>FKICNSXS4BMbrPTD39SQ4dDYgvY=</DigestValue>
      </Reference>
      <Reference URI="/xl/drawings/drawing3.xml?ContentType=application/vnd.openxmlformats-officedocument.drawing+xml">
        <DigestMethod Algorithm="http://www.w3.org/2000/09/xmldsig#sha1"/>
        <DigestValue>yXeLklFGyPr1C6JDIFWCLUHYwus=</DigestValue>
      </Reference>
      <Reference URI="/xl/drawings/drawing4.xml?ContentType=application/vnd.openxmlformats-officedocument.drawing+xml">
        <DigestMethod Algorithm="http://www.w3.org/2000/09/xmldsig#sha1"/>
        <DigestValue>fqeB98pIyAA6LR8QUA95jQSL7l8=</DigestValue>
      </Reference>
      <Reference URI="/xl/media/image3.png?ContentType=image/png">
        <DigestMethod Algorithm="http://www.w3.org/2000/09/xmldsig#sha1"/>
        <DigestValue>rk27ORv1In4+EwtXKXYTnFEDQrA=</DigestValue>
      </Reference>
      <Reference URI="/xl/printerSettings/printerSettings2.bin?ContentType=application/vnd.openxmlformats-officedocument.spreadsheetml.printerSettings">
        <DigestMethod Algorithm="http://www.w3.org/2000/09/xmldsig#sha1"/>
        <DigestValue>a3rgpnuAp0ee6RAz9cfOS/NaX1U=</DigestValue>
      </Reference>
      <Reference URI="/xl/printerSettings/printerSettings3.bin?ContentType=application/vnd.openxmlformats-officedocument.spreadsheetml.printerSettings">
        <DigestMethod Algorithm="http://www.w3.org/2000/09/xmldsig#sha1"/>
        <DigestValue>a3rgpnuAp0ee6RAz9cfOS/NaX1U=</DigestValue>
      </Reference>
      <Reference URI="/xl/printerSettings/printerSettings7.bin?ContentType=application/vnd.openxmlformats-officedocument.spreadsheetml.printerSettings">
        <DigestMethod Algorithm="http://www.w3.org/2000/09/xmldsig#sha1"/>
        <DigestValue>a3rgpnuAp0ee6RAz9cfOS/NaX1U=</DigestValue>
      </Reference>
      <Reference URI="/xl/printerSettings/printerSettings4.bin?ContentType=application/vnd.openxmlformats-officedocument.spreadsheetml.printerSettings">
        <DigestMethod Algorithm="http://www.w3.org/2000/09/xmldsig#sha1"/>
        <DigestValue>KHe0axIziFA0hv2Vp6XmrOX0bcE=</DigestValue>
      </Reference>
      <Reference URI="/xl/printerSettings/printerSettings8.bin?ContentType=application/vnd.openxmlformats-officedocument.spreadsheetml.printerSettings">
        <DigestMethod Algorithm="http://www.w3.org/2000/09/xmldsig#sha1"/>
        <DigestValue>a3rgpnuAp0ee6RAz9cfOS/NaX1U=</DigestValue>
      </Reference>
      <Reference URI="/xl/printerSettings/printerSettings9.bin?ContentType=application/vnd.openxmlformats-officedocument.spreadsheetml.printerSettings">
        <DigestMethod Algorithm="http://www.w3.org/2000/09/xmldsig#sha1"/>
        <DigestValue>KHe0axIziFA0hv2Vp6XmrOX0bcE=</DigestValue>
      </Reference>
      <Reference URI="/xl/printerSettings/printerSettings6.bin?ContentType=application/vnd.openxmlformats-officedocument.spreadsheetml.printerSettings">
        <DigestMethod Algorithm="http://www.w3.org/2000/09/xmldsig#sha1"/>
        <DigestValue>a3rgpnuAp0ee6RAz9cfOS/NaX1U=</DigestValue>
      </Reference>
      <Reference URI="/xl/printerSettings/printerSettings5.bin?ContentType=application/vnd.openxmlformats-officedocument.spreadsheetml.printerSettings">
        <DigestMethod Algorithm="http://www.w3.org/2000/09/xmldsig#sha1"/>
        <DigestValue>gz+y1ho1BGB03Y9TM/RIWl3+B7s=</DigestValue>
      </Reference>
      <Reference URI="/xl/drawings/drawing5.xml?ContentType=application/vnd.openxmlformats-officedocument.drawing+xml">
        <DigestMethod Algorithm="http://www.w3.org/2000/09/xmldsig#sha1"/>
        <DigestValue>6rCyiNJbS+BQUpDKFRc2jsW5mUA=</DigestValue>
      </Reference>
      <Reference URI="/xl/drawings/drawing1.xml?ContentType=application/vnd.openxmlformats-officedocument.drawing+xml">
        <DigestMethod Algorithm="http://www.w3.org/2000/09/xmldsig#sha1"/>
        <DigestValue>NHLDuBX9uEMRVLYAxVNyKxpN6sg=</DigestValue>
      </Reference>
      <Reference URI="/xl/worksheets/sheet9.xml?ContentType=application/vnd.openxmlformats-officedocument.spreadsheetml.worksheet+xml">
        <DigestMethod Algorithm="http://www.w3.org/2000/09/xmldsig#sha1"/>
        <DigestValue>0wVp63s1eFJHppPF9bTmaFocuRE=</DigestValue>
      </Reference>
      <Reference URI="/xl/drawings/drawing8.xml?ContentType=application/vnd.openxmlformats-officedocument.drawing+xml">
        <DigestMethod Algorithm="http://www.w3.org/2000/09/xmldsig#sha1"/>
        <DigestValue>fOuLq3N0ijzKbBKsby1VIgeWDug=</DigestValue>
      </Reference>
      <Reference URI="/xl/worksheets/sheet3.xml?ContentType=application/vnd.openxmlformats-officedocument.spreadsheetml.worksheet+xml">
        <DigestMethod Algorithm="http://www.w3.org/2000/09/xmldsig#sha1"/>
        <DigestValue>9CJHgHPJKSsPdxXgYYOSAjjSOCo=</DigestValue>
      </Reference>
      <Reference URI="/xl/drawings/drawing6.xml?ContentType=application/vnd.openxmlformats-officedocument.drawing+xml">
        <DigestMethod Algorithm="http://www.w3.org/2000/09/xmldsig#sha1"/>
        <DigestValue>iR8bkCqidrbtcoAWK/0503wDOrk=</DigestValue>
      </Reference>
      <Reference URI="/xl/sharedStrings.xml?ContentType=application/vnd.openxmlformats-officedocument.spreadsheetml.sharedStrings+xml">
        <DigestMethod Algorithm="http://www.w3.org/2000/09/xmldsig#sha1"/>
        <DigestValue>AtZWEufCMvr08B/GeBGK8WH18KE=</DigestValue>
      </Reference>
      <Reference URI="/xl/media/image5.jpeg?ContentType=image/jpeg">
        <DigestMethod Algorithm="http://www.w3.org/2000/09/xmldsig#sha1"/>
        <DigestValue>/KagtFPTo69C7njqw80xN6Nzf1o=</DigestValue>
      </Reference>
      <Reference URI="/xl/media/image7.jpeg?ContentType=image/jpeg">
        <DigestMethod Algorithm="http://www.w3.org/2000/09/xmldsig#sha1"/>
        <DigestValue>a1lGOEY8VGOZ7cEdJk5q57Elp1g=</DigestValue>
      </Reference>
      <Reference URI="/xl/drawings/drawing7.xml?ContentType=application/vnd.openxmlformats-officedocument.drawing+xml">
        <DigestMethod Algorithm="http://www.w3.org/2000/09/xmldsig#sha1"/>
        <DigestValue>ThagRDkAZaj55kUDWTA/7hFwNuA=</DigestValue>
      </Reference>
      <Reference URI="/xl/worksheets/sheet2.xml?ContentType=application/vnd.openxmlformats-officedocument.spreadsheetml.worksheet+xml">
        <DigestMethod Algorithm="http://www.w3.org/2000/09/xmldsig#sha1"/>
        <DigestValue>ExneHkUvLuKzlvbdbFa4t/tL1nU=</DigestValue>
      </Reference>
      <Reference URI="/xl/worksheets/sheet1.xml?ContentType=application/vnd.openxmlformats-officedocument.spreadsheetml.worksheet+xml">
        <DigestMethod Algorithm="http://www.w3.org/2000/09/xmldsig#sha1"/>
        <DigestValue>MF1WwtffjisWrOmGBy9pmx+QNfM=</DigestValue>
      </Reference>
      <Reference URI="/xl/styles.xml?ContentType=application/vnd.openxmlformats-officedocument.spreadsheetml.styles+xml">
        <DigestMethod Algorithm="http://www.w3.org/2000/09/xmldsig#sha1"/>
        <DigestValue>y7UWuN6GCjun49ouFgSXs8pZzJk=</DigestValue>
      </Reference>
      <Reference URI="/xl/worksheets/sheet4.xml?ContentType=application/vnd.openxmlformats-officedocument.spreadsheetml.worksheet+xml">
        <DigestMethod Algorithm="http://www.w3.org/2000/09/xmldsig#sha1"/>
        <DigestValue>gWBExY9jWKm2lF3y9KK/FKo8Kvk=</DigestValue>
      </Reference>
      <Reference URI="/xl/media/image4.jpeg?ContentType=image/jpeg">
        <DigestMethod Algorithm="http://www.w3.org/2000/09/xmldsig#sha1"/>
        <DigestValue>AzE9ld77n5Vj8r0Cfohgo3tQAYo=</DigestValue>
      </Reference>
      <Reference URI="/xl/workbook.xml?ContentType=application/vnd.openxmlformats-officedocument.spreadsheetml.sheet.main+xml">
        <DigestMethod Algorithm="http://www.w3.org/2000/09/xmldsig#sha1"/>
        <DigestValue>ZjgjPcicGZ38yGxV4v8A3dHvvkA=</DigestValue>
      </Reference>
      <Reference URI="/xl/media/image6.jpeg?ContentType=image/jpeg">
        <DigestMethod Algorithm="http://www.w3.org/2000/09/xmldsig#sha1"/>
        <DigestValue>5HgSWEB9yeTQKOa4TkSFAlT4ovs=</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3NBSatkVUY+XAruYkEWy6mPspD0=</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VPO97jcSnD2A9DOunAivi0pKN2g=</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zy4BvB0BhqLCAfLCfiy55A4zDQI=</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3OfQXoCJ/85L0GG3/twEcZHj79M=</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oXi3tIK2OdxORK/wPJ9jPzXxXqw=</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Transform>
          <Transform Algorithm="http://www.w3.org/TR/2001/REC-xml-c14n-20010315"/>
        </Transforms>
        <DigestMethod Algorithm="http://www.w3.org/2000/09/xmldsig#sha1"/>
        <DigestValue>S4dROHh4domAi1wIR2Hi7qGrRys=</DigestValue>
      </Reference>
    </Manifest>
    <SignatureProperties>
      <SignatureProperty Id="idSignatureTime" Target="#idPackageSignature">
        <mdssi:SignatureTime>
          <mdssi:Format>YYYY-MM-DDThh:mm:ssTZD</mdssi:Format>
          <mdssi:Value>2021-05-07T06:16:48Z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2021-05-07T06:16:48Z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TONGQUAN</vt:lpstr>
      <vt:lpstr>BCTaiSan_06134</vt:lpstr>
      <vt:lpstr>BCKetQuaHoatDong_06135</vt:lpstr>
      <vt:lpstr>BCDanhMucDauTu_06136</vt:lpstr>
      <vt:lpstr>BCGiaodichTaiSan_06141</vt:lpstr>
      <vt:lpstr>Khac_06137</vt:lpstr>
      <vt:lpstr>BCThuNhap_06203</vt:lpstr>
      <vt:lpstr>BCTinhHinhTaiChinh_06105</vt:lpstr>
      <vt:lpstr>GTTSRong_06107</vt:lpstr>
      <vt:lpstr>BCGiaodichTaiSan_06141!Print_Area</vt:lpstr>
      <vt:lpstr>TONGQUAN!Print_Area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2021-05-07T06:16:35Z</dcterms:modified>
</cp:coreProperties>
</file>