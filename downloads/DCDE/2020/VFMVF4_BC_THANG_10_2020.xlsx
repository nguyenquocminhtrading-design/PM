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W:\GTO_SSO_FUNDSERVICES_GSSCKL\10. CLIENT PORTFOLIO-VN\1.02 VFMVF4\2020 VF4\10. Oct\Bao cao thang\THANG\KYSO\"/>
    </mc:Choice>
  </mc:AlternateContent>
  <xr:revisionPtr revIDLastSave="0" documentId="13_ncr:1_{F24B572E-F9D5-4624-90AB-EBEA4A30D243}" xr6:coauthVersionLast="44" xr6:coauthVersionMax="44"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 name="GiaTriTaiSanRong_06129" sheetId="33"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TONGQUAN!$A$1:$K$52</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1" i="45" l="1"/>
  <c r="I46" i="45" l="1"/>
  <c r="I45" i="45"/>
  <c r="A46" i="45"/>
  <c r="A45" i="45"/>
  <c r="G14" i="45"/>
  <c r="G13" i="45"/>
  <c r="G12" i="45"/>
  <c r="G10" i="45"/>
  <c r="G9" i="45"/>
  <c r="G8" i="45"/>
  <c r="G7" i="45"/>
  <c r="A5" i="45"/>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E31" i="33" l="1"/>
  <c r="E30" i="33"/>
  <c r="A31" i="33"/>
  <c r="A30" i="33"/>
  <c r="E43" i="33"/>
  <c r="E42" i="33"/>
  <c r="A43" i="33"/>
  <c r="A42" i="33"/>
  <c r="A41" i="33"/>
  <c r="D14" i="33"/>
  <c r="D12" i="33"/>
  <c r="D10" i="33"/>
  <c r="D13" i="33"/>
  <c r="D11" i="33"/>
  <c r="D9" i="33"/>
  <c r="D8" i="33"/>
  <c r="D7" i="33"/>
  <c r="A5" i="33"/>
  <c r="F18" i="33"/>
  <c r="E18" i="33"/>
  <c r="D63" i="32" l="1"/>
  <c r="D62" i="32"/>
  <c r="A63" i="32"/>
  <c r="A62" i="32"/>
  <c r="A61" i="32"/>
  <c r="D51" i="32"/>
  <c r="D50" i="32"/>
  <c r="A51" i="32"/>
  <c r="A50" i="32"/>
  <c r="C14" i="32"/>
  <c r="C12" i="32"/>
  <c r="C10" i="32"/>
  <c r="C13" i="32"/>
  <c r="C11" i="32"/>
  <c r="C9" i="32"/>
  <c r="C8" i="32"/>
  <c r="C7" i="32"/>
  <c r="A5" i="32"/>
  <c r="E18" i="32"/>
  <c r="D18" i="32"/>
  <c r="D92" i="29" l="1"/>
  <c r="D91" i="29"/>
  <c r="A92" i="29"/>
  <c r="A91" i="29"/>
  <c r="A90" i="29"/>
  <c r="D82" i="29"/>
  <c r="D81" i="29"/>
  <c r="A82" i="29"/>
  <c r="A81" i="29"/>
  <c r="C14" i="29"/>
  <c r="C12" i="29"/>
  <c r="C10" i="29"/>
  <c r="C13" i="29"/>
  <c r="C11" i="29"/>
  <c r="C9" i="29"/>
  <c r="A5" i="29"/>
  <c r="C8" i="29"/>
  <c r="C7" i="29"/>
  <c r="F19" i="1" l="1"/>
  <c r="I44" i="45" s="1"/>
  <c r="D61" i="32" l="1"/>
  <c r="E41" i="33"/>
  <c r="D90" i="29"/>
</calcChain>
</file>

<file path=xl/sharedStrings.xml><?xml version="1.0" encoding="utf-8"?>
<sst xmlns="http://schemas.openxmlformats.org/spreadsheetml/2006/main" count="1399" uniqueCount="1138">
  <si>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</si>
  <si>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</si>
  <si>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</si>
  <si>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</si>
  <si>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</si>
  <si>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</si>
  <si>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</si>
  <si>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</si>
  <si>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</si>
  <si>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</si>
  <si>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</si>
  <si>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</si>
  <si>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</si>
  <si>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</si>
  <si>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</si>
  <si>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</si>
  <si>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</si>
  <si>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</si>
  <si>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</si>
  <si>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</si>
  <si>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</si>
  <si>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</si>
  <si>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</si>
  <si>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</si>
  <si>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</si>
  <si>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</si>
  <si>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</si>
  <si>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</si>
  <si>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</si>
  <si>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</si>
  <si>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</si>
  <si>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</si>
  <si>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</si>
  <si>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</si>
  <si>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</si>
  <si>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</si>
  <si>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</si>
  <si>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</si>
  <si>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</si>
  <si>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</si>
  <si>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</si>
  <si>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</si>
  <si>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</si>
  <si>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</si>
  <si>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</si>
  <si>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</si>
  <si>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</si>
  <si>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</si>
  <si>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</si>
  <si>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</si>
  <si>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</si>
  <si>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</si>
  <si>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</si>
  <si>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</si>
  <si>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</si>
  <si>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</si>
  <si>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</si>
  <si>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</si>
  <si>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</si>
  <si>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</si>
  <si>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</si>
  <si>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</si>
  <si>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</si>
  <si>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</si>
  <si>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</si>
  <si>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</si>
  <si>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</si>
  <si>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</si>
  <si>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</si>
  <si>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</si>
  <si>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</si>
  <si>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</si>
  <si>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</si>
  <si>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</si>
  <si>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</si>
  <si>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</si>
  <si>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</si>
  <si>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</si>
  <si>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</si>
  <si>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</si>
  <si>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</si>
  <si>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</si>
  <si>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</si>
  <si>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</si>
  <si>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</si>
  <si>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</si>
  <si>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</si>
  <si>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</si>
  <si>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</si>
  <si>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</si>
  <si>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</si>
  <si>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</si>
  <si>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</si>
  <si>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</si>
  <si>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</si>
  <si>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</si>
  <si>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</si>
  <si>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</si>
  <si>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</si>
  <si>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</si>
  <si>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</si>
  <si>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</si>
  <si>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</si>
  <si>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</si>
  <si>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</si>
  <si>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</si>
  <si>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</si>
  <si>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</si>
  <si>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</si>
  <si>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</si>
  <si>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</si>
  <si>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</si>
  <si>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</si>
  <si>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</si>
  <si>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</si>
  <si>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</si>
  <si>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</si>
  <si>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</si>
  <si>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</si>
  <si>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</si>
  <si>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</si>
  <si>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</si>
  <si>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</si>
  <si>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</si>
  <si>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</si>
  <si>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</si>
  <si>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</si>
  <si>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</si>
  <si>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</si>
  <si>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</si>
  <si>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</si>
  <si>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</si>
  <si>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</si>
  <si>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</si>
  <si>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</si>
  <si>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</si>
  <si>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</si>
  <si>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</si>
  <si>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</si>
  <si>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</si>
  <si>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</si>
  <si>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</si>
  <si>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</si>
  <si>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</si>
  <si>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</si>
  <si>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</si>
  <si>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</si>
  <si>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</si>
  <si>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</si>
  <si>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</si>
  <si>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</si>
  <si>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</si>
  <si>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</si>
  <si>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</si>
  <si>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</si>
  <si>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</si>
  <si>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</si>
  <si>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</si>
  <si>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</si>
  <si>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</si>
  <si>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</si>
  <si>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</si>
  <si>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</si>
  <si>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</si>
  <si>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</si>
  <si>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</si>
  <si>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</si>
  <si>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</si>
  <si>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</si>
  <si>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</si>
  <si>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</si>
  <si>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</si>
  <si>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</si>
  <si>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</si>
  <si>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</si>
  <si>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</si>
  <si>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</si>
  <si>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</si>
  <si>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</si>
  <si>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</si>
  <si>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</si>
  <si>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</si>
  <si>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</si>
  <si>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</si>
  <si>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</si>
  <si>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</si>
  <si>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</si>
  <si>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</si>
  <si>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</si>
  <si>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</si>
  <si>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</si>
  <si>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</si>
  <si>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</si>
  <si>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</si>
  <si>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</si>
  <si>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</si>
  <si>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</si>
  <si>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</si>
  <si>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</si>
  <si>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</si>
  <si>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</si>
  <si>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</si>
  <si>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</si>
  <si>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</si>
  <si>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</si>
  <si>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</si>
  <si>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</si>
  <si>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</si>
  <si>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</si>
  <si>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</si>
  <si>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</si>
  <si>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</si>
  <si>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</si>
  <si>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</si>
  <si>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</si>
  <si>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</si>
  <si>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</si>
  <si>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</si>
  <si>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</si>
  <si>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</si>
  <si>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</si>
  <si>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</si>
  <si>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</si>
  <si>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</si>
  <si>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</si>
  <si>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</si>
  <si>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</si>
  <si>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</si>
  <si>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</si>
  <si>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</si>
  <si>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</si>
  <si>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</si>
  <si>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</si>
  <si>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</si>
  <si>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</si>
  <si>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</si>
  <si>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</si>
  <si>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</si>
  <si>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</si>
  <si>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</si>
  <si>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</si>
  <si>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</si>
  <si>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</si>
  <si>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</si>
  <si>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</si>
  <si>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</si>
  <si>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</si>
  <si>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</si>
  <si>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</si>
  <si>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</si>
  <si>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</si>
  <si>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</si>
  <si>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</si>
  <si>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</si>
  <si>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</si>
  <si>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</si>
  <si>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</si>
  <si>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</si>
  <si>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</si>
  <si>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</si>
  <si>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</si>
  <si>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</si>
  <si>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</si>
  <si>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</si>
  <si>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</si>
  <si>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</si>
  <si>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</si>
  <si>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</si>
  <si>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</si>
  <si>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</si>
  <si>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</si>
  <si>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</si>
  <si>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</si>
  <si>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</si>
  <si>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</si>
  <si>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</si>
  <si>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</si>
  <si>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</si>
  <si>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</si>
  <si>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</si>
  <si>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</si>
  <si>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</si>
  <si>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</si>
  <si>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</si>
  <si>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</si>
  <si>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</si>
  <si>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</si>
  <si>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</si>
  <si>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</si>
  <si>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</si>
  <si>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</si>
  <si>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</si>
  <si>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</si>
  <si>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</si>
  <si>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</si>
  <si>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</si>
  <si>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</si>
  <si>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</si>
  <si>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</si>
  <si>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</si>
  <si>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</si>
  <si>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</si>
  <si>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</si>
  <si>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</si>
  <si>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</si>
  <si>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</si>
  <si>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</si>
  <si>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</si>
  <si>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</si>
  <si>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</si>
  <si>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</si>
  <si>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</si>
  <si>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</si>
  <si>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</si>
  <si>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</si>
  <si>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</si>
  <si>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</si>
  <si>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</si>
  <si>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</si>
  <si>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</si>
  <si>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</si>
  <si>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</si>
  <si>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</si>
  <si>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</si>
  <si>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</si>
  <si>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</si>
  <si>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</si>
  <si>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</si>
  <si>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</si>
  <si>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</si>
  <si>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</si>
  <si>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</si>
  <si>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</si>
  <si>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</si>
  <si>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</si>
  <si>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</si>
  <si>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</si>
  <si>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</si>
  <si>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</si>
  <si>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</si>
  <si>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</si>
  <si>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</si>
  <si>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</si>
  <si>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</si>
  <si>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</si>
  <si>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</si>
  <si>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</si>
  <si>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</si>
  <si>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</si>
  <si>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</si>
  <si>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</si>
  <si>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</si>
  <si>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</si>
  <si>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</si>
  <si>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</si>
  <si>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</si>
  <si>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</si>
  <si>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</si>
  <si>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</si>
  <si>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</si>
  <si>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</si>
  <si>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</si>
  <si>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</si>
  <si>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</si>
  <si>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</si>
  <si>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</si>
  <si>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</si>
  <si>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</si>
  <si>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</si>
  <si>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</si>
  <si>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</si>
  <si>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</si>
  <si>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</si>
  <si>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</si>
  <si>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</si>
  <si>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</si>
  <si>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</si>
  <si>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</si>
  <si>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</si>
  <si>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</si>
  <si>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</si>
  <si>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</si>
  <si>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</si>
  <si>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</si>
  <si>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</si>
  <si>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</si>
  <si>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</si>
  <si>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</si>
  <si>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</si>
  <si>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</si>
  <si>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</si>
  <si>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</si>
  <si>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</si>
  <si>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</si>
  <si>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</si>
  <si>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</si>
  <si>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</si>
  <si>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</si>
  <si>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</si>
  <si>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</si>
  <si>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</si>
  <si>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</si>
  <si>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</si>
  <si>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</si>
  <si>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</si>
  <si>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</si>
  <si>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</si>
  <si>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</si>
  <si>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</si>
  <si>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</si>
  <si>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</si>
  <si>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</si>
  <si>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</si>
  <si>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</si>
  <si>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</si>
  <si>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</si>
  <si>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</si>
  <si>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</si>
  <si>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</si>
  <si>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</si>
  <si>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</si>
  <si>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</si>
  <si>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</si>
  <si>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</si>
  <si>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</si>
  <si>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</si>
  <si>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</si>
  <si>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</si>
  <si>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</si>
  <si>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</si>
  <si>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</si>
  <si>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</si>
  <si>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</si>
  <si>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</si>
  <si>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</si>
  <si>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</si>
  <si>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</si>
  <si>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</si>
  <si>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</si>
  <si>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</si>
  <si>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</si>
  <si>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</si>
  <si>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</si>
  <si>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</si>
  <si>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</si>
  <si>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</si>
  <si>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</si>
  <si>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</si>
  <si>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</si>
  <si>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</si>
  <si>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</si>
  <si>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</si>
  <si>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</si>
  <si>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</si>
  <si>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</si>
  <si>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</si>
  <si>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</si>
  <si>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</si>
  <si>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</si>
  <si>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</si>
  <si>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</si>
  <si>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</si>
  <si>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</si>
  <si>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</si>
  <si>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</si>
  <si>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</si>
  <si>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</si>
  <si>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</si>
  <si>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</si>
  <si>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</si>
  <si>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</si>
  <si>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</si>
  <si>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</si>
  <si>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</si>
  <si>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</si>
  <si>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</si>
  <si>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</si>
  <si>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</si>
  <si>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</si>
  <si>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</si>
  <si>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</si>
  <si>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</si>
  <si>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</si>
  <si>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</si>
  <si>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</si>
  <si>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</si>
  <si>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</si>
  <si>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</si>
  <si>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</si>
  <si>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</si>
  <si>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</si>
  <si>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</si>
  <si>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</si>
  <si>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</si>
  <si>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</si>
  <si>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</si>
  <si>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</si>
  <si>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</si>
  <si>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</si>
  <si>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</si>
  <si>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</si>
  <si>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</si>
  <si>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</si>
  <si>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</si>
  <si>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</si>
  <si>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</si>
  <si>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</si>
  <si>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</si>
  <si>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</si>
  <si>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</si>
  <si>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</si>
  <si>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</si>
  <si>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</si>
  <si>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</si>
  <si>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</si>
  <si>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</si>
  <si>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</si>
  <si>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</si>
  <si>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</si>
  <si>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</si>
  <si>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</si>
  <si>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</si>
  <si>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</si>
  <si>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</si>
  <si>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</si>
  <si>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</si>
  <si>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</si>
  <si>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</si>
  <si>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</si>
  <si>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</si>
  <si>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</si>
  <si>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</si>
  <si>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</si>
  <si>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</si>
  <si>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</si>
  <si>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</si>
  <si>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</si>
  <si>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</si>
  <si>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</si>
  <si>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</si>
  <si>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</si>
  <si>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</si>
  <si>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</si>
  <si>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</si>
  <si>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</si>
  <si>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</si>
  <si>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</si>
  <si>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</si>
  <si>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</si>
  <si>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</si>
  <si>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</si>
  <si>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</si>
  <si>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</si>
  <si>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</si>
  <si>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</si>
  <si>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</si>
  <si>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</si>
  <si>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</si>
  <si>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</si>
  <si>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</si>
  <si>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</si>
  <si>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</si>
  <si>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</si>
  <si>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</si>
  <si>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</si>
  <si>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</si>
  <si>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</si>
  <si>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</si>
  <si>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</si>
  <si>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</si>
  <si>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</si>
  <si>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</si>
  <si>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</si>
  <si>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</si>
  <si>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</si>
  <si>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</si>
  <si>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</si>
  <si>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</si>
  <si>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</si>
  <si>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</si>
  <si>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</si>
  <si>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</si>
  <si>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</si>
  <si>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</si>
  <si>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</si>
  <si>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</si>
  <si>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</si>
  <si>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</si>
  <si>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</si>
  <si>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</si>
  <si>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</si>
  <si>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</si>
  <si>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</si>
  <si>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</si>
  <si>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</si>
  <si>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</si>
  <si>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</si>
  <si>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</si>
  <si>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</si>
  <si>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</si>
  <si>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</si>
  <si>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</si>
  <si>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</si>
  <si>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</si>
  <si>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</si>
  <si>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</si>
  <si>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</si>
  <si>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</si>
  <si>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</si>
  <si>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</si>
  <si>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</si>
  <si>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</si>
  <si>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</si>
  <si>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</si>
  <si>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</si>
  <si>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</si>
  <si>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</si>
  <si>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</si>
  <si>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</si>
  <si>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</si>
  <si>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</si>
  <si>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</si>
  <si>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</si>
  <si>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</si>
  <si>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</si>
  <si>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</si>
  <si>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</si>
  <si>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</si>
  <si>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</si>
  <si>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</si>
  <si>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</si>
  <si>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</si>
  <si>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</si>
  <si>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</si>
  <si>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</si>
  <si>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</si>
  <si>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</si>
  <si>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</si>
  <si>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</si>
  <si>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</si>
  <si>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</si>
  <si>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</si>
  <si>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</si>
  <si>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</si>
  <si>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</si>
  <si>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</si>
  <si>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</si>
  <si>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</si>
  <si>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</si>
  <si>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</si>
  <si>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</si>
  <si>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</si>
  <si>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</si>
  <si>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</si>
  <si>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</si>
  <si>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</si>
  <si>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</si>
  <si>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</si>
  <si>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</si>
  <si>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</si>
  <si>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</si>
  <si>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</si>
  <si>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</si>
  <si>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</si>
  <si>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</si>
  <si>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</si>
  <si>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</si>
  <si>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</si>
  <si>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</si>
  <si>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</si>
  <si>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</si>
  <si>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</si>
  <si>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</si>
  <si>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</si>
  <si>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</si>
  <si>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</si>
  <si>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</si>
  <si>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</si>
  <si>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</si>
  <si>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</si>
  <si>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</si>
  <si>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</si>
  <si>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</si>
  <si>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</si>
  <si>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</si>
  <si>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</si>
  <si>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</si>
  <si>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</si>
  <si>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</si>
  <si>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</si>
  <si>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</si>
  <si>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</si>
  <si>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</si>
  <si>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</si>
  <si>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</si>
  <si>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</si>
  <si>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</si>
  <si>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</si>
  <si>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</si>
  <si>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</si>
  <si>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</si>
  <si>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</si>
  <si>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</si>
  <si>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</si>
  <si>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</si>
  <si>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</si>
  <si>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</si>
  <si>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</si>
  <si>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</si>
  <si>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</si>
  <si>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</si>
  <si>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</si>
  <si>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</si>
  <si>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</si>
  <si>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</si>
  <si>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</si>
  <si>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</si>
  <si>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</si>
  <si>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</si>
  <si>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</si>
  <si>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</si>
  <si>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</si>
  <si>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</si>
  <si>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</si>
  <si>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</si>
  <si>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</si>
  <si>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</si>
  <si>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</si>
  <si>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</si>
  <si>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</si>
  <si>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</si>
  <si>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</si>
  <si>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</si>
  <si>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</si>
  <si>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</si>
  <si>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</si>
  <si>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</si>
  <si>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</si>
  <si>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</si>
  <si>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</si>
  <si>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</si>
  <si>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</si>
  <si>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</si>
  <si>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</si>
  <si>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</si>
  <si>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</si>
  <si>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</si>
  <si>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</si>
  <si>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</si>
  <si>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</si>
  <si>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</si>
  <si>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</si>
  <si>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</si>
  <si>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</si>
  <si>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</si>
  <si>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</si>
  <si>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</si>
  <si>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</si>
  <si>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</si>
  <si>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</si>
  <si>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</si>
  <si>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</si>
  <si>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</si>
  <si>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</si>
  <si>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</si>
  <si>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</si>
  <si>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</si>
  <si>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</si>
  <si>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</si>
  <si>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</si>
  <si>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</si>
  <si>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</si>
  <si>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</si>
  <si>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</si>
  <si>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</si>
  <si>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</si>
  <si>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</si>
  <si>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</si>
  <si>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</si>
  <si>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</si>
  <si>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</si>
  <si>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</si>
  <si>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</si>
  <si>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</si>
  <si>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</si>
  <si>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</si>
  <si>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</si>
  <si>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</si>
  <si>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</si>
  <si>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</si>
  <si>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</si>
  <si>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</si>
  <si>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</si>
  <si>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</si>
  <si>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</si>
  <si>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</si>
  <si>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</si>
  <si>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</si>
  <si>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</si>
  <si>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</si>
  <si>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</si>
  <si>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</si>
  <si>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</si>
  <si>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</si>
  <si>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</si>
  <si>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</si>
  <si>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</si>
  <si>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</si>
  <si>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</si>
  <si>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</si>
  <si>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</si>
  <si>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</si>
  <si>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</si>
  <si>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</si>
  <si>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</si>
  <si>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</si>
  <si>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</si>
  <si>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</si>
  <si>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</si>
  <si>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</si>
  <si>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</si>
  <si>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</si>
  <si>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</si>
  <si>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</si>
  <si>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</si>
  <si>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</si>
  <si>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</si>
  <si>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</si>
  <si>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</si>
  <si>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</si>
  <si>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</si>
  <si>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</si>
  <si>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</si>
  <si>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</si>
  <si>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</si>
  <si>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</si>
  <si>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</si>
  <si>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</si>
  <si>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</si>
  <si>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</si>
  <si>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</si>
  <si>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</si>
  <si>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</si>
  <si>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</si>
  <si>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</si>
  <si>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</si>
  <si>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</si>
  <si>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</si>
  <si>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</si>
  <si>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</si>
  <si>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</si>
  <si>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</si>
  <si>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</si>
  <si>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</si>
  <si>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</si>
  <si>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</si>
  <si>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</si>
  <si>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</si>
  <si>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</si>
  <si>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</si>
  <si>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</si>
  <si>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</si>
  <si>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</si>
  <si>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</si>
  <si>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</si>
  <si>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</si>
  <si>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</si>
  <si>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</si>
  <si>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</si>
  <si>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</si>
  <si>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</si>
  <si>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</si>
  <si>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</si>
  <si>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</si>
  <si>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</si>
  <si>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</si>
  <si>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</si>
  <si>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</si>
  <si>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</si>
  <si>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</si>
  <si>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</si>
  <si>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</si>
  <si>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</si>
  <si>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</si>
  <si>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</si>
  <si>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</si>
  <si>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</si>
  <si>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</si>
  <si>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</si>
  <si>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</si>
  <si>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BMP</t>
  </si>
  <si>
    <t>2246.4</t>
  </si>
  <si>
    <t>5</t>
  </si>
  <si>
    <t>CTG</t>
  </si>
  <si>
    <t>2246.5</t>
  </si>
  <si>
    <t>6</t>
  </si>
  <si>
    <t>DXG</t>
  </si>
  <si>
    <t>2246.6</t>
  </si>
  <si>
    <t>7</t>
  </si>
  <si>
    <t>EIB</t>
  </si>
  <si>
    <t>2246.7</t>
  </si>
  <si>
    <t>8</t>
  </si>
  <si>
    <t>FPT</t>
  </si>
  <si>
    <t>2246.8</t>
  </si>
  <si>
    <t>9</t>
  </si>
  <si>
    <t>GAS</t>
  </si>
  <si>
    <t>2246.9</t>
  </si>
  <si>
    <t>10</t>
  </si>
  <si>
    <t>GIL</t>
  </si>
  <si>
    <t>2246.10</t>
  </si>
  <si>
    <t>11</t>
  </si>
  <si>
    <t>HDB</t>
  </si>
  <si>
    <t>2246.11</t>
  </si>
  <si>
    <t>12</t>
  </si>
  <si>
    <t>HPG</t>
  </si>
  <si>
    <t>2246.12</t>
  </si>
  <si>
    <t>13</t>
  </si>
  <si>
    <t>KBC</t>
  </si>
  <si>
    <t>2246.13</t>
  </si>
  <si>
    <t>14</t>
  </si>
  <si>
    <t>KDH</t>
  </si>
  <si>
    <t>2246.14</t>
  </si>
  <si>
    <t>15</t>
  </si>
  <si>
    <t>KSB</t>
  </si>
  <si>
    <t>2246.15</t>
  </si>
  <si>
    <t>16</t>
  </si>
  <si>
    <t>MBB</t>
  </si>
  <si>
    <t>2246.16</t>
  </si>
  <si>
    <t>17</t>
  </si>
  <si>
    <t>MSN</t>
  </si>
  <si>
    <t>2246.17</t>
  </si>
  <si>
    <t>18</t>
  </si>
  <si>
    <t>MWG</t>
  </si>
  <si>
    <t>2246.18</t>
  </si>
  <si>
    <t>19</t>
  </si>
  <si>
    <t>NLG</t>
  </si>
  <si>
    <t>2246.19</t>
  </si>
  <si>
    <t>20</t>
  </si>
  <si>
    <t>NTC</t>
  </si>
  <si>
    <t>2246.20</t>
  </si>
  <si>
    <t>21</t>
  </si>
  <si>
    <t>NVL</t>
  </si>
  <si>
    <t>2246.21</t>
  </si>
  <si>
    <t>22</t>
  </si>
  <si>
    <t>PHR</t>
  </si>
  <si>
    <t>2246.22</t>
  </si>
  <si>
    <t>23</t>
  </si>
  <si>
    <t>PLX</t>
  </si>
  <si>
    <t>2246.23</t>
  </si>
  <si>
    <t>24</t>
  </si>
  <si>
    <t>PNJ</t>
  </si>
  <si>
    <t>2246.24</t>
  </si>
  <si>
    <t>25</t>
  </si>
  <si>
    <t>POW</t>
  </si>
  <si>
    <t>2246.25</t>
  </si>
  <si>
    <t>26</t>
  </si>
  <si>
    <t>PTB</t>
  </si>
  <si>
    <t>2246.26</t>
  </si>
  <si>
    <t>27</t>
  </si>
  <si>
    <t>REE</t>
  </si>
  <si>
    <t>2246.27</t>
  </si>
  <si>
    <t>28</t>
  </si>
  <si>
    <t>ROS</t>
  </si>
  <si>
    <t>2246.28</t>
  </si>
  <si>
    <t>29</t>
  </si>
  <si>
    <t>SAB</t>
  </si>
  <si>
    <t>2246.29</t>
  </si>
  <si>
    <t>30</t>
  </si>
  <si>
    <t>SBT</t>
  </si>
  <si>
    <t>2246.30</t>
  </si>
  <si>
    <t>31</t>
  </si>
  <si>
    <t>SSI</t>
  </si>
  <si>
    <t>2246.31</t>
  </si>
  <si>
    <t>32</t>
  </si>
  <si>
    <t>STB</t>
  </si>
  <si>
    <t>2246.32</t>
  </si>
  <si>
    <t>33</t>
  </si>
  <si>
    <t>SZC</t>
  </si>
  <si>
    <t>2246.33</t>
  </si>
  <si>
    <t>34</t>
  </si>
  <si>
    <t>TCB</t>
  </si>
  <si>
    <t>2246.34</t>
  </si>
  <si>
    <t>35</t>
  </si>
  <si>
    <t>TCH</t>
  </si>
  <si>
    <t>2246.35</t>
  </si>
  <si>
    <t>36</t>
  </si>
  <si>
    <t>TIP</t>
  </si>
  <si>
    <t>2246.36</t>
  </si>
  <si>
    <t>37</t>
  </si>
  <si>
    <t>VCB</t>
  </si>
  <si>
    <t>2246.37</t>
  </si>
  <si>
    <t>38</t>
  </si>
  <si>
    <t>VHC</t>
  </si>
  <si>
    <t>2246.38</t>
  </si>
  <si>
    <t>39</t>
  </si>
  <si>
    <t>VHM</t>
  </si>
  <si>
    <t>2246.39</t>
  </si>
  <si>
    <t>40</t>
  </si>
  <si>
    <t>VIC</t>
  </si>
  <si>
    <t>2246.40</t>
  </si>
  <si>
    <t>41</t>
  </si>
  <si>
    <t>VJC</t>
  </si>
  <si>
    <t>2246.41</t>
  </si>
  <si>
    <t>42</t>
  </si>
  <si>
    <t>VNM</t>
  </si>
  <si>
    <t>2246.42</t>
  </si>
  <si>
    <t>43</t>
  </si>
  <si>
    <t>VPB</t>
  </si>
  <si>
    <t>2246.43</t>
  </si>
  <si>
    <t>44</t>
  </si>
  <si>
    <t>VRE</t>
  </si>
  <si>
    <t>2246.44</t>
  </si>
  <si>
    <t>45</t>
  </si>
  <si>
    <t>VTP</t>
  </si>
  <si>
    <t>2246.45</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</si>
  <si>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</si>
  <si>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</si>
  <si>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</si>
  <si>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</si>
  <si>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</si>
  <si>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</si>
  <si>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</si>
  <si>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</si>
  <si>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</si>
  <si>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</si>
  <si>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</si>
  <si>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</si>
  <si>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</si>
  <si>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</si>
  <si>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</si>
  <si>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</si>
  <si>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</si>
  <si>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</si>
  <si>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</si>
  <si>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</si>
  <si>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</si>
  <si>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</si>
  <si>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</si>
  <si>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</si>
  <si>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</si>
  <si>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</si>
  <si>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</si>
  <si>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</si>
  <si>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</si>
  <si>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</si>
  <si>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</si>
  <si>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</si>
  <si>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</si>
  <si>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</si>
  <si>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</si>
  <si>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</si>
  <si>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</si>
  <si>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</si>
  <si>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</si>
  <si>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</si>
  <si>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</si>
  <si>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</si>
  <si>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</si>
  <si>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</si>
  <si>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</si>
  <si>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</si>
  <si>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</si>
  <si>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</si>
  <si>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</si>
  <si>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</si>
  <si>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</si>
  <si>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</si>
  <si>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</si>
  <si>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</si>
  <si>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</si>
  <si>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</si>
  <si>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</si>
  <si>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</si>
  <si>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</si>
  <si>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</si>
  <si>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</si>
  <si>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</si>
  <si>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</si>
  <si>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</si>
  <si>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</si>
  <si>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</si>
  <si>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</si>
  <si>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</si>
  <si>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</si>
  <si>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</si>
  <si>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</si>
  <si>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</si>
  <si>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</si>
  <si>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</si>
  <si>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</si>
  <si>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</si>
  <si>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</si>
  <si>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</si>
  <si>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</si>
  <si>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</si>
  <si>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</si>
  <si>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</si>
  <si>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</si>
  <si>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</si>
  <si>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</si>
  <si>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10 năm 2020
/ As at 31 Oct 2020</t>
  </si>
  <si>
    <t>Tháng 10 năm 2020
/ Oct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</si>
  <si>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</si>
  <si>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</si>
  <si>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</si>
  <si>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</si>
  <si>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</si>
  <si>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02 tháng 11 năm 2020</t>
  </si>
  <si>
    <t>02 Nov 2020</t>
  </si>
  <si>
    <t>Bùi Thị Huyền Trang</t>
  </si>
  <si>
    <t>Trần Thanh Tân</t>
  </si>
  <si>
    <t>Cán bộ Quản lý Nghiệp vụ Dịch vụ Chứng khoán</t>
  </si>
  <si>
    <t>Ngày 31 tháng 10 năm 2020
 As at 31 Oct 2020</t>
  </si>
  <si>
    <t>Ngày 30 tháng 09 năm 2020
 As at 30 Sep 2020</t>
  </si>
  <si>
    <t>Tháng 10 năm 2020
Oct 2020</t>
  </si>
  <si>
    <t>Tháng 09 năm 2020
Sep 2020</t>
  </si>
  <si>
    <t>Năm 2020
Year 2020</t>
  </si>
  <si>
    <t>Tháng 10 năm 2019
Oct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</si>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</sst>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2">
    <xf numFmtId="0" fontId="0" fillId="0" borderId="0"/>
    <xf numFmtId="0" fontId="3" fillId="0" borderId="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8" borderId="0"/>
    <xf numFmtId="0" fontId="4" fillId="18" borderId="0" applyNumberFormat="0" applyFill="0" applyBorder="0" applyAlignment="0" applyProtection="0"/>
    <xf numFmtId="0" fontId="2" fillId="18" borderId="0"/>
    <xf numFmtId="0" fontId="2" fillId="18" borderId="0"/>
    <xf numFmtId="0" fontId="2" fillId="18" borderId="0"/>
    <xf numFmtId="0" fontId="2" fillId="18" borderId="0"/>
    <xf numFmtId="0" fontId="2" fillId="18" borderId="0"/>
    <xf numFmtId="0" fontId="2" fillId="18" borderId="0"/>
  </cellStyleXfs>
  <cellXfs count="291">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2" fillId="3" borderId="0" xfId="0" applyFont="1" applyFill="1" applyAlignment="1">
      <alignment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2"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2"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2"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0"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5" applyNumberFormat="1" applyFont="1" applyFill="1" applyBorder="1" applyAlignment="1" applyProtection="1">
      <alignment horizontal="right" vertical="center" wrapText="1"/>
      <protection locked="0"/>
    </xf>
    <xf numFmtId="164" fontId="23" fillId="3" borderId="9" xfId="5"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 fillId="5" borderId="0" xfId="12" applyFill="1" applyAlignment="1">
      <alignment vertical="center"/>
    </xf>
    <xf numFmtId="0" fontId="2" fillId="5" borderId="0" xfId="12" applyFill="1"/>
    <xf numFmtId="0" fontId="24" fillId="3" borderId="0" xfId="11" applyFont="1" applyFill="1" applyAlignment="1">
      <alignment horizontal="center" vertical="center"/>
    </xf>
    <xf numFmtId="0" fontId="22" fillId="3" borderId="0" xfId="11" applyFont="1" applyFill="1"/>
    <xf numFmtId="0" fontId="2" fillId="3" borderId="0" xfId="12" applyFill="1"/>
    <xf numFmtId="0" fontId="2"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2"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2" fillId="3" borderId="8" xfId="12" applyFill="1" applyBorder="1"/>
    <xf numFmtId="0" fontId="2"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9" fontId="22" fillId="3" borderId="9" xfId="12"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7" fillId="2" borderId="9" xfId="14" applyFont="1" applyFill="1" applyBorder="1" applyAlignment="1">
      <alignment horizontal="left" vertical="top"/>
    </xf>
    <xf numFmtId="49" fontId="7" fillId="2" borderId="9" xfId="14" applyNumberFormat="1" applyFont="1" applyFill="1" applyBorder="1" applyAlignment="1">
      <alignment horizontal="left" vertical="top"/>
    </xf>
    <xf numFmtId="0" fontId="8" fillId="2" borderId="9" xfId="14" applyFont="1" applyFill="1" applyBorder="1" applyAlignment="1">
      <alignment horizontal="left" vertical="top"/>
    </xf>
    <xf numFmtId="0" fontId="8" fillId="2" borderId="9" xfId="14" applyFont="1" applyFill="1" applyBorder="1" applyAlignment="1">
      <alignment horizontal="left" vertical="top" wrapText="1"/>
    </xf>
    <xf numFmtId="49" fontId="17" fillId="2" borderId="9" xfId="15" applyNumberFormat="1" applyFont="1" applyFill="1" applyBorder="1" applyAlignment="1">
      <alignment horizontal="left" vertical="top"/>
    </xf>
    <xf numFmtId="0" fontId="8" fillId="2" borderId="9" xfId="14" applyFont="1" applyFill="1" applyBorder="1" applyAlignment="1">
      <alignment horizontal="left"/>
    </xf>
    <xf numFmtId="0" fontId="8" fillId="2" borderId="9" xfId="14" applyFont="1" applyFill="1" applyBorder="1"/>
    <xf numFmtId="49" fontId="8" fillId="2" borderId="9" xfId="14" applyNumberFormat="1" applyFont="1" applyFill="1" applyBorder="1"/>
    <xf numFmtId="0" fontId="34" fillId="3" borderId="0" xfId="16" applyFont="1" applyFill="1" applyAlignment="1">
      <alignment horizontal="center" vertical="center"/>
    </xf>
    <xf numFmtId="0" fontId="34" fillId="3" borderId="0" xfId="16" applyFont="1" applyFill="1" applyAlignment="1">
      <alignment vertical="center"/>
    </xf>
    <xf numFmtId="0" fontId="21" fillId="3" borderId="0" xfId="17" applyFont="1" applyFill="1" applyAlignment="1">
      <alignment vertical="center"/>
    </xf>
    <xf numFmtId="0" fontId="23" fillId="3" borderId="0" xfId="16" applyFont="1" applyFill="1" applyAlignment="1">
      <alignment horizontal="center" vertical="center"/>
    </xf>
    <xf numFmtId="0" fontId="23" fillId="3" borderId="0" xfId="16" applyFont="1" applyFill="1" applyAlignment="1">
      <alignment vertical="center"/>
    </xf>
    <xf numFmtId="0" fontId="34" fillId="3" borderId="0" xfId="18" applyFont="1" applyFill="1" applyAlignment="1">
      <alignment horizontal="center" vertical="center"/>
    </xf>
    <xf numFmtId="0" fontId="34" fillId="3" borderId="0" xfId="18" applyFont="1" applyFill="1" applyAlignment="1">
      <alignment vertical="center"/>
    </xf>
    <xf numFmtId="0" fontId="21" fillId="3" borderId="0" xfId="19" applyFont="1" applyFill="1" applyAlignment="1">
      <alignment vertical="center"/>
    </xf>
    <xf numFmtId="0" fontId="21" fillId="18" borderId="0" xfId="0" applyFont="1" applyFill="1" applyAlignment="1">
      <alignment vertical="center"/>
    </xf>
    <xf numFmtId="0" fontId="21" fillId="3" borderId="0" xfId="20" applyFont="1" applyFill="1" applyAlignment="1">
      <alignment vertical="center"/>
    </xf>
    <xf numFmtId="0" fontId="1" fillId="18" borderId="0" xfId="0" applyFont="1" applyFill="1"/>
    <xf numFmtId="0" fontId="34" fillId="3" borderId="0" xfId="18" applyFont="1" applyFill="1" applyAlignment="1">
      <alignment horizontal="center"/>
    </xf>
    <xf numFmtId="0" fontId="34" fillId="3" borderId="0" xfId="18" applyFont="1" applyFill="1"/>
    <xf numFmtId="0" fontId="2" fillId="3" borderId="0" xfId="18" applyFill="1"/>
    <xf numFmtId="0" fontId="21" fillId="3" borderId="0" xfId="21" applyFont="1" applyFill="1" applyAlignment="1">
      <alignment vertical="center"/>
    </xf>
    <xf numFmtId="0" fontId="1" fillId="18" borderId="0" xfId="21" applyFont="1"/>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25" fillId="3" borderId="0" xfId="11" applyFont="1" applyFill="1" applyAlignment="1">
      <alignment horizontal="left" vertical="top" wrapText="1"/>
    </xf>
    <xf numFmtId="0" fontId="37" fillId="3" borderId="0" xfId="11" applyFont="1" applyFill="1" applyAlignment="1">
      <alignment horizontal="left" vertical="top" wrapText="1"/>
    </xf>
    <xf numFmtId="0" fontId="40" fillId="3" borderId="0" xfId="11" applyFont="1" applyFill="1" applyAlignment="1">
      <alignment horizontal="left" vertical="center" wrapText="1"/>
    </xf>
    <xf numFmtId="0" fontId="41" fillId="3" borderId="0" xfId="11" applyFont="1" applyFill="1" applyAlignment="1">
      <alignment horizontal="left" vertical="center" wrapText="1"/>
    </xf>
    <xf numFmtId="37"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2" fillId="3" borderId="0" xfId="11" applyFont="1" applyFill="1" applyAlignment="1">
      <alignment horizontal="left" vertical="center"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8" fillId="0" borderId="0" xfId="11" applyFont="1" applyFill="1" applyAlignment="1">
      <alignment horizontal="right" vertical="center" wrapText="1"/>
    </xf>
    <xf numFmtId="0" fontId="39" fillId="3"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cellXfs>
  <cellStyles count="22">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5" xr:uid="{C3899CC7-2414-4146-ABF8-D29E60BFFE4C}"/>
    <cellStyle name="Normal" xfId="0" builtinId="0"/>
    <cellStyle name="Normal 10" xfId="14" xr:uid="{3DE4E577-F363-40B3-905C-9D8DCB234E74}"/>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8" xr:uid="{7A2E160D-B3A4-4505-AE66-065FED5A6ED7}"/>
    <cellStyle name="Normal 3 3" xfId="16" xr:uid="{80201FE0-AF78-4009-A0A2-99F28F9DC214}"/>
    <cellStyle name="Normal 4" xfId="11" xr:uid="{6387CE64-05F5-4E96-A2BE-F6E39976BB37}"/>
    <cellStyle name="Normal 5" xfId="17" xr:uid="{4923DF42-4460-4EED-AEB2-F7E0D45A42A1}"/>
    <cellStyle name="Normal 6" xfId="19" xr:uid="{2D593897-D133-4266-B135-78C4E08F26CF}"/>
    <cellStyle name="Normal 7" xfId="20" xr:uid="{1B06AEC8-1E33-485D-A16F-4AF114DBB5C9}"/>
    <cellStyle name="Normal 9" xfId="21" xr:uid="{1789A837-BA8C-414E-A1A2-5C1D7D931477}"/>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64" zoomScaleSheetLayoutView="100" workbookViewId="0">
      <selection activeCell="D69" sqref="D69"/>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38" t="s">
        <v>1100</v>
      </c>
      <c r="D1" s="239"/>
    </row>
    <row r="2" spans="1:11">
      <c r="C2" s="4" t="s">
        <v>1101</v>
      </c>
      <c r="D2" s="5"/>
    </row>
    <row r="3" spans="1:11">
      <c r="D3" s="6"/>
    </row>
    <row r="4" spans="1:11">
      <c r="A4" s="1" t="s">
        <v>1</v>
      </c>
      <c r="D4" s="6"/>
    </row>
    <row r="5" spans="1:11" ht="15" customHeight="1">
      <c r="C5" s="7" t="s">
        <v>2</v>
      </c>
      <c r="D5" s="241" t="s">
        <v>1102</v>
      </c>
      <c r="E5" s="241"/>
      <c r="F5" s="241"/>
      <c r="G5" s="241"/>
      <c r="H5" s="241"/>
      <c r="I5" s="241"/>
    </row>
    <row r="6" spans="1:11" ht="31">
      <c r="C6" s="9" t="s">
        <v>41</v>
      </c>
      <c r="D6" s="240" t="s">
        <v>1103</v>
      </c>
      <c r="E6" s="240"/>
      <c r="F6" s="240"/>
      <c r="G6" s="240"/>
      <c r="H6" s="240"/>
      <c r="I6" s="240"/>
    </row>
    <row r="7" spans="1:11">
      <c r="C7" s="10" t="s">
        <v>3</v>
      </c>
      <c r="D7" s="241" t="s">
        <v>1104</v>
      </c>
      <c r="E7" s="241"/>
      <c r="F7" s="241"/>
      <c r="G7" s="241"/>
      <c r="H7" s="241"/>
      <c r="I7" s="241"/>
    </row>
    <row r="8" spans="1:11" ht="15" customHeight="1">
      <c r="C8" s="11" t="s">
        <v>4</v>
      </c>
      <c r="D8" s="240" t="s">
        <v>1105</v>
      </c>
      <c r="E8" s="240"/>
      <c r="F8" s="240"/>
      <c r="G8" s="240"/>
      <c r="H8" s="240"/>
      <c r="I8" s="240"/>
    </row>
    <row r="9" spans="1:11" ht="15" customHeight="1">
      <c r="C9" s="10" t="s">
        <v>5</v>
      </c>
      <c r="D9" s="241" t="s">
        <v>305</v>
      </c>
      <c r="E9" s="241"/>
      <c r="F9" s="241"/>
      <c r="G9" s="241"/>
      <c r="H9" s="241"/>
      <c r="I9" s="241"/>
    </row>
    <row r="10" spans="1:11" ht="15" customHeight="1">
      <c r="C10" s="8" t="s">
        <v>6</v>
      </c>
      <c r="D10" s="240" t="s">
        <v>1106</v>
      </c>
      <c r="E10" s="240"/>
      <c r="F10" s="240"/>
      <c r="G10" s="240"/>
      <c r="H10" s="240"/>
      <c r="I10" s="240"/>
    </row>
    <row r="11" spans="1:11">
      <c r="C11" s="12" t="s">
        <v>7</v>
      </c>
      <c r="D11" s="241" t="s">
        <v>1107</v>
      </c>
      <c r="E11" s="241"/>
      <c r="F11" s="241"/>
      <c r="G11" s="241"/>
      <c r="H11" s="241"/>
      <c r="I11" s="241"/>
    </row>
    <row r="12" spans="1:11">
      <c r="C12" s="13" t="s">
        <v>8</v>
      </c>
      <c r="D12" s="240" t="s">
        <v>1108</v>
      </c>
      <c r="E12" s="240"/>
      <c r="F12" s="240"/>
      <c r="G12" s="240"/>
      <c r="H12" s="240"/>
      <c r="I12" s="240"/>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Việt Nam</v>
      </c>
      <c r="G19" s="19"/>
      <c r="H19" s="19"/>
      <c r="I19" s="19"/>
      <c r="J19" s="19"/>
      <c r="K19" s="20"/>
    </row>
    <row r="20" spans="3:11">
      <c r="C20" s="23" t="s">
        <v>1109</v>
      </c>
      <c r="D20" s="18"/>
      <c r="F20" s="22" t="s">
        <v>1110</v>
      </c>
      <c r="G20" s="19"/>
      <c r="H20" s="19"/>
      <c r="I20" s="19"/>
      <c r="J20" s="19"/>
      <c r="K20" s="20"/>
    </row>
    <row r="21" spans="3:11">
      <c r="C21" s="24" t="s">
        <v>1111</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14" t="s">
        <v>15</v>
      </c>
      <c r="C34" s="214" t="s">
        <v>16</v>
      </c>
      <c r="D34" s="215" t="s">
        <v>17</v>
      </c>
    </row>
    <row r="35" spans="2:12" s="28" customFormat="1" ht="46.5">
      <c r="B35" s="216" t="s">
        <v>624</v>
      </c>
      <c r="C35" s="217" t="s">
        <v>1122</v>
      </c>
      <c r="D35" s="218"/>
    </row>
    <row r="36" spans="2:12" s="28" customFormat="1">
      <c r="B36" s="216" t="s">
        <v>1123</v>
      </c>
      <c r="C36" s="217" t="s">
        <v>1124</v>
      </c>
      <c r="D36" s="218" t="s">
        <v>25</v>
      </c>
    </row>
    <row r="37" spans="2:12" s="28" customFormat="1">
      <c r="B37" s="216" t="s">
        <v>1125</v>
      </c>
      <c r="C37" s="217" t="s">
        <v>22</v>
      </c>
      <c r="D37" s="218" t="s">
        <v>26</v>
      </c>
      <c r="J37" s="29"/>
      <c r="K37" s="30"/>
      <c r="L37" s="31"/>
    </row>
    <row r="38" spans="2:12">
      <c r="B38" s="216" t="s">
        <v>1126</v>
      </c>
      <c r="C38" s="216" t="s">
        <v>34</v>
      </c>
      <c r="D38" s="218" t="s">
        <v>27</v>
      </c>
      <c r="J38" s="32"/>
      <c r="K38" s="33"/>
      <c r="L38" s="34"/>
    </row>
    <row r="39" spans="2:12" ht="31">
      <c r="B39" s="216" t="s">
        <v>1127</v>
      </c>
      <c r="C39" s="217" t="s">
        <v>1128</v>
      </c>
      <c r="D39" s="218" t="s">
        <v>1129</v>
      </c>
    </row>
    <row r="40" spans="2:12">
      <c r="B40" s="216" t="s">
        <v>1130</v>
      </c>
      <c r="C40" s="216" t="s">
        <v>23</v>
      </c>
      <c r="D40" s="218" t="s">
        <v>28</v>
      </c>
    </row>
    <row r="41" spans="2:12">
      <c r="B41" s="216" t="s">
        <v>1131</v>
      </c>
      <c r="C41" s="216" t="s">
        <v>1132</v>
      </c>
      <c r="D41" s="218" t="s">
        <v>1133</v>
      </c>
    </row>
    <row r="42" spans="2:12" ht="46.5">
      <c r="B42" s="216">
        <v>5</v>
      </c>
      <c r="C42" s="217" t="s">
        <v>24</v>
      </c>
      <c r="D42" s="218" t="s">
        <v>29</v>
      </c>
    </row>
    <row r="43" spans="2:12">
      <c r="B43" s="216">
        <v>6</v>
      </c>
      <c r="C43" s="216" t="s">
        <v>18</v>
      </c>
      <c r="D43" s="218" t="s">
        <v>30</v>
      </c>
    </row>
    <row r="44" spans="2:12">
      <c r="B44" s="219">
        <v>7</v>
      </c>
      <c r="C44" s="220" t="s">
        <v>19</v>
      </c>
      <c r="D44" s="221" t="s">
        <v>31</v>
      </c>
    </row>
    <row r="45" spans="2:12">
      <c r="B45" s="216">
        <v>8</v>
      </c>
      <c r="C45" s="220" t="s">
        <v>32</v>
      </c>
      <c r="D45" s="221" t="s">
        <v>33</v>
      </c>
    </row>
    <row r="46" spans="2:12">
      <c r="B46" s="219">
        <v>9</v>
      </c>
      <c r="C46" s="220" t="s">
        <v>34</v>
      </c>
      <c r="D46" s="221" t="s">
        <v>35</v>
      </c>
    </row>
    <row r="47" spans="2:12">
      <c r="B47" s="216">
        <v>10</v>
      </c>
      <c r="C47" s="220" t="s">
        <v>20</v>
      </c>
      <c r="D47" s="221" t="s">
        <v>36</v>
      </c>
    </row>
    <row r="48" spans="2:12">
      <c r="B48" s="216">
        <v>11</v>
      </c>
      <c r="C48" s="216" t="s">
        <v>37</v>
      </c>
      <c r="D48" s="216" t="s">
        <v>38</v>
      </c>
    </row>
    <row r="49" spans="2:4">
      <c r="B49" s="216">
        <v>12</v>
      </c>
      <c r="C49" s="216" t="s">
        <v>21</v>
      </c>
      <c r="D49" s="216" t="s">
        <v>39</v>
      </c>
    </row>
    <row r="50" spans="2:4" ht="46.5">
      <c r="B50" s="216" t="s">
        <v>630</v>
      </c>
      <c r="C50" s="217" t="s">
        <v>1134</v>
      </c>
      <c r="D50" s="216" t="s">
        <v>1135</v>
      </c>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FFACBFAF-D0EC-42F4-B185-A511B740FC9F}"/>
    <hyperlink ref="D36" location="BCTinhHinhTaiChinh_06105!A1" display="BCTinhHinhTaiChinh_06105" xr:uid="{80DDE38A-7792-4868-AA4B-6488A184B299}"/>
    <hyperlink ref="D37" location="BCLCGT_06262!A1" display="BCLCGT_06262" xr:uid="{01BAA467-A025-4D2D-9DEF-25779CC6160F}"/>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116" zoomScale="99" zoomScaleNormal="100" zoomScaleSheetLayoutView="86" workbookViewId="0">
      <selection activeCell="B116" sqref="B116"/>
    </sheetView>
  </sheetViews>
  <sheetFormatPr defaultColWidth="8.7265625" defaultRowHeight="12.5"/>
  <cols>
    <col min="1" max="1" width="53.1796875" style="49" customWidth="1"/>
    <col min="2" max="3" width="8.7265625" style="49"/>
    <col min="4" max="4" width="20.26953125" style="49" customWidth="1"/>
    <col min="5" max="5" width="20.7265625" style="49" customWidth="1"/>
    <col min="6" max="6" width="21.1796875" style="49" customWidth="1"/>
    <col min="7" max="7" width="21.26953125" style="49" customWidth="1"/>
    <col min="8" max="16384" width="8.7265625" style="93"/>
  </cols>
  <sheetData>
    <row r="1" spans="1:7" ht="22.5" customHeight="1">
      <c r="A1" s="255" t="s">
        <v>211</v>
      </c>
      <c r="B1" s="255"/>
      <c r="C1" s="255"/>
      <c r="D1" s="255"/>
      <c r="E1" s="255"/>
      <c r="F1" s="255"/>
      <c r="G1" s="255"/>
    </row>
    <row r="2" spans="1:7" ht="22.5" customHeight="1">
      <c r="A2" s="256" t="s">
        <v>212</v>
      </c>
      <c r="B2" s="256"/>
      <c r="C2" s="256"/>
      <c r="D2" s="256"/>
      <c r="E2" s="256"/>
      <c r="F2" s="256"/>
      <c r="G2" s="256"/>
    </row>
    <row r="3" spans="1:7" ht="43.9" customHeight="1">
      <c r="A3" s="257" t="s">
        <v>213</v>
      </c>
      <c r="B3" s="257"/>
      <c r="C3" s="257"/>
      <c r="D3" s="257"/>
      <c r="E3" s="257"/>
      <c r="F3" s="257"/>
      <c r="G3" s="257"/>
    </row>
    <row r="4" spans="1:7" ht="9.4" customHeight="1"/>
    <row r="5" spans="1:7">
      <c r="A5" s="258" t="str">
        <f>TONGQUAN!C2</f>
        <v>Tháng 10 năm 2020
/ Oct 2020</v>
      </c>
      <c r="B5" s="258"/>
      <c r="C5" s="258"/>
      <c r="D5" s="258"/>
      <c r="E5" s="258"/>
      <c r="F5" s="258"/>
      <c r="G5" s="258"/>
    </row>
    <row r="7" spans="1:7" ht="16.899999999999999" customHeight="1">
      <c r="A7" s="50" t="s">
        <v>2</v>
      </c>
      <c r="D7" s="253" t="str">
        <f>TONGQUAN!D5</f>
        <v>Công ty Cổ phần Quản lý Quỹ Đầu tư Việt Nam</v>
      </c>
      <c r="E7" s="253"/>
      <c r="F7" s="253"/>
      <c r="G7" s="253"/>
    </row>
    <row r="8" spans="1:7" ht="16.899999999999999" customHeight="1">
      <c r="A8" s="124" t="s">
        <v>41</v>
      </c>
      <c r="D8" s="254" t="str">
        <f>TONGQUAN!D6</f>
        <v>Vietnam Investment Fund Management Joint Stock Company</v>
      </c>
      <c r="E8" s="254"/>
      <c r="F8" s="254"/>
      <c r="G8" s="254"/>
    </row>
    <row r="9" spans="1:7" ht="16.899999999999999" customHeight="1">
      <c r="A9" s="50" t="s">
        <v>3</v>
      </c>
      <c r="D9" s="253" t="str">
        <f>TONGQUAN!D7</f>
        <v>Ngân hàng TNHH Một thành viên Standard Chartered (Việt Nam)</v>
      </c>
      <c r="E9" s="253"/>
      <c r="F9" s="253"/>
      <c r="G9" s="253"/>
    </row>
    <row r="10" spans="1:7" ht="16.899999999999999" customHeight="1">
      <c r="A10" s="124" t="s">
        <v>4</v>
      </c>
      <c r="D10" s="254" t="str">
        <f>TONGQUAN!D8</f>
        <v>Standard Chartered Bank (Vietnam) Limited</v>
      </c>
      <c r="E10" s="254"/>
      <c r="F10" s="254"/>
      <c r="G10" s="254"/>
    </row>
    <row r="11" spans="1:7" ht="16.899999999999999" customHeight="1">
      <c r="A11" s="50" t="s">
        <v>5</v>
      </c>
      <c r="D11" s="253" t="str">
        <f>TONGQUAN!D9</f>
        <v>Quỹ Đầu tư Doanh nghiệp hàng đầu Việt Nam</v>
      </c>
      <c r="E11" s="253"/>
      <c r="F11" s="253"/>
      <c r="G11" s="253"/>
    </row>
    <row r="12" spans="1:7" ht="16.899999999999999" customHeight="1">
      <c r="A12" s="124" t="s">
        <v>6</v>
      </c>
      <c r="D12" s="254" t="str">
        <f>TONGQUAN!D10</f>
        <v>Vietnam Blue Chip Fund(VFMVF4)</v>
      </c>
      <c r="E12" s="254"/>
      <c r="F12" s="254"/>
      <c r="G12" s="254"/>
    </row>
    <row r="13" spans="1:7" ht="16.899999999999999" customHeight="1">
      <c r="A13" s="50" t="s">
        <v>7</v>
      </c>
      <c r="D13" s="253" t="str">
        <f>TONGQUAN!D11</f>
        <v>Ngày 02 tháng 11 năm 2020</v>
      </c>
      <c r="E13" s="253"/>
      <c r="F13" s="253"/>
      <c r="G13" s="253"/>
    </row>
    <row r="14" spans="1:7" ht="16.899999999999999" customHeight="1">
      <c r="A14" s="124" t="s">
        <v>8</v>
      </c>
      <c r="D14" s="254" t="str">
        <f>TONGQUAN!D12</f>
        <v>02 Nov 2020</v>
      </c>
      <c r="E14" s="254"/>
      <c r="F14" s="254"/>
      <c r="G14" s="254"/>
    </row>
    <row r="16" spans="1:7" ht="39" customHeight="1">
      <c r="A16" s="245" t="s">
        <v>214</v>
      </c>
      <c r="B16" s="247" t="s">
        <v>215</v>
      </c>
      <c r="C16" s="247" t="s">
        <v>216</v>
      </c>
      <c r="D16" s="250" t="s">
        <v>1116</v>
      </c>
      <c r="E16" s="251"/>
      <c r="F16" s="250" t="s">
        <v>654</v>
      </c>
      <c r="G16" s="251"/>
    </row>
    <row r="17" spans="1:10" ht="39" customHeight="1">
      <c r="A17" s="246"/>
      <c r="B17" s="248"/>
      <c r="C17" s="249"/>
      <c r="D17" s="125" t="str">
        <f>BCKetQuaHoatDong_06028!D18</f>
        <v>Tháng 10 năm 2020
Oct 2020</v>
      </c>
      <c r="E17" s="126" t="s">
        <v>217</v>
      </c>
      <c r="F17" s="46" t="s">
        <v>1117</v>
      </c>
      <c r="G17" s="126" t="s">
        <v>217</v>
      </c>
    </row>
    <row r="18" spans="1:10" s="107" customFormat="1" ht="39" customHeight="1">
      <c r="A18" s="127" t="s">
        <v>377</v>
      </c>
      <c r="B18" s="128" t="s">
        <v>218</v>
      </c>
      <c r="C18" s="129"/>
      <c r="D18" s="70">
        <v>5649805551</v>
      </c>
      <c r="E18" s="70">
        <v>-33089316149</v>
      </c>
      <c r="F18" s="70">
        <v>2435565849</v>
      </c>
      <c r="G18" s="70">
        <v>108488881746</v>
      </c>
    </row>
    <row r="19" spans="1:10" ht="39" customHeight="1">
      <c r="A19" s="130" t="s">
        <v>378</v>
      </c>
      <c r="B19" s="131" t="s">
        <v>219</v>
      </c>
      <c r="C19" s="132"/>
      <c r="D19" s="75">
        <v>1696005000</v>
      </c>
      <c r="E19" s="75">
        <v>7476216000</v>
      </c>
      <c r="F19" s="75">
        <v>370000000</v>
      </c>
      <c r="G19" s="75">
        <v>11787746400</v>
      </c>
      <c r="J19" s="107"/>
    </row>
    <row r="20" spans="1:10" ht="39" customHeight="1">
      <c r="A20" s="130" t="s">
        <v>379</v>
      </c>
      <c r="B20" s="131" t="s">
        <v>220</v>
      </c>
      <c r="C20" s="133"/>
      <c r="D20" s="75">
        <v>8952951</v>
      </c>
      <c r="E20" s="75">
        <v>503990751</v>
      </c>
      <c r="F20" s="75">
        <v>96920349</v>
      </c>
      <c r="G20" s="75">
        <v>1684618903</v>
      </c>
      <c r="J20" s="107"/>
    </row>
    <row r="21" spans="1:10" ht="39" customHeight="1">
      <c r="A21" s="130" t="s">
        <v>310</v>
      </c>
      <c r="B21" s="131" t="s">
        <v>221</v>
      </c>
      <c r="C21" s="133"/>
      <c r="D21" s="75">
        <v>8952951</v>
      </c>
      <c r="E21" s="75">
        <v>503990751</v>
      </c>
      <c r="F21" s="75">
        <v>96920349</v>
      </c>
      <c r="G21" s="75">
        <v>431259999</v>
      </c>
      <c r="J21" s="107"/>
    </row>
    <row r="22" spans="1:10" ht="39" customHeight="1">
      <c r="A22" s="130" t="s">
        <v>318</v>
      </c>
      <c r="B22" s="131" t="s">
        <v>222</v>
      </c>
      <c r="C22" s="133"/>
      <c r="D22" s="75">
        <v>0</v>
      </c>
      <c r="E22" s="75">
        <v>0</v>
      </c>
      <c r="F22" s="75">
        <v>0</v>
      </c>
      <c r="G22" s="75">
        <v>929523288</v>
      </c>
      <c r="J22" s="107"/>
    </row>
    <row r="23" spans="1:10" ht="39" customHeight="1">
      <c r="A23" s="130" t="s">
        <v>380</v>
      </c>
      <c r="B23" s="131" t="s">
        <v>303</v>
      </c>
      <c r="C23" s="133"/>
      <c r="D23" s="75">
        <v>0</v>
      </c>
      <c r="E23" s="75">
        <v>0</v>
      </c>
      <c r="F23" s="75">
        <v>0</v>
      </c>
      <c r="G23" s="75">
        <v>323835616</v>
      </c>
      <c r="J23" s="107"/>
    </row>
    <row r="24" spans="1:10" ht="39" customHeight="1">
      <c r="A24" s="130" t="s">
        <v>309</v>
      </c>
      <c r="B24" s="131" t="s">
        <v>308</v>
      </c>
      <c r="C24" s="133"/>
      <c r="D24" s="75">
        <v>0</v>
      </c>
      <c r="E24" s="75">
        <v>0</v>
      </c>
      <c r="F24" s="75">
        <v>0</v>
      </c>
      <c r="G24" s="75">
        <v>0</v>
      </c>
      <c r="J24" s="107"/>
    </row>
    <row r="25" spans="1:10" ht="39" customHeight="1">
      <c r="A25" s="130" t="s">
        <v>311</v>
      </c>
      <c r="B25" s="134" t="s">
        <v>223</v>
      </c>
      <c r="C25" s="133"/>
      <c r="D25" s="75">
        <v>-3831917178</v>
      </c>
      <c r="E25" s="75">
        <v>-53467707234</v>
      </c>
      <c r="F25" s="75">
        <v>-3170448466</v>
      </c>
      <c r="G25" s="75">
        <v>-52981964265</v>
      </c>
      <c r="J25" s="107"/>
    </row>
    <row r="26" spans="1:10" ht="46.15" customHeight="1">
      <c r="A26" s="130" t="s">
        <v>312</v>
      </c>
      <c r="B26" s="134" t="s">
        <v>224</v>
      </c>
      <c r="C26" s="133"/>
      <c r="D26" s="75">
        <v>7776764778</v>
      </c>
      <c r="E26" s="75">
        <v>12398184334</v>
      </c>
      <c r="F26" s="75">
        <v>5139093966</v>
      </c>
      <c r="G26" s="75">
        <v>147998480708</v>
      </c>
      <c r="J26" s="107"/>
    </row>
    <row r="27" spans="1:10" ht="39" customHeight="1">
      <c r="A27" s="130" t="s">
        <v>381</v>
      </c>
      <c r="B27" s="134" t="s">
        <v>225</v>
      </c>
      <c r="C27" s="133"/>
      <c r="D27" s="75">
        <v>0</v>
      </c>
      <c r="E27" s="75">
        <v>0</v>
      </c>
      <c r="F27" s="75">
        <v>0</v>
      </c>
      <c r="G27" s="75">
        <v>0</v>
      </c>
      <c r="J27" s="107"/>
    </row>
    <row r="28" spans="1:10" ht="49.15" customHeight="1">
      <c r="A28" s="130" t="s">
        <v>313</v>
      </c>
      <c r="B28" s="134" t="s">
        <v>226</v>
      </c>
      <c r="C28" s="133"/>
      <c r="D28" s="75">
        <v>0</v>
      </c>
      <c r="E28" s="75">
        <v>0</v>
      </c>
      <c r="F28" s="75">
        <v>0</v>
      </c>
      <c r="G28" s="75">
        <v>0</v>
      </c>
      <c r="J28" s="107"/>
    </row>
    <row r="29" spans="1:10" ht="39" customHeight="1">
      <c r="A29" s="130" t="s">
        <v>382</v>
      </c>
      <c r="B29" s="134" t="s">
        <v>227</v>
      </c>
      <c r="C29" s="133"/>
      <c r="D29" s="75">
        <v>0</v>
      </c>
      <c r="E29" s="75">
        <v>0</v>
      </c>
      <c r="F29" s="75">
        <v>0</v>
      </c>
      <c r="G29" s="75">
        <v>0</v>
      </c>
      <c r="J29" s="107"/>
    </row>
    <row r="30" spans="1:10" ht="76.900000000000006" customHeight="1">
      <c r="A30" s="130" t="s">
        <v>383</v>
      </c>
      <c r="B30" s="134" t="s">
        <v>228</v>
      </c>
      <c r="C30" s="133"/>
      <c r="D30" s="75">
        <v>0</v>
      </c>
      <c r="E30" s="75">
        <v>0</v>
      </c>
      <c r="F30" s="75">
        <v>0</v>
      </c>
      <c r="G30" s="75">
        <v>0</v>
      </c>
      <c r="J30" s="107"/>
    </row>
    <row r="31" spans="1:10" s="107" customFormat="1" ht="39" customHeight="1">
      <c r="A31" s="127" t="s">
        <v>335</v>
      </c>
      <c r="B31" s="128" t="s">
        <v>229</v>
      </c>
      <c r="C31" s="129"/>
      <c r="D31" s="70">
        <v>50596208</v>
      </c>
      <c r="E31" s="70">
        <v>789072795</v>
      </c>
      <c r="F31" s="70">
        <v>72982304</v>
      </c>
      <c r="G31" s="70">
        <v>1255914643</v>
      </c>
    </row>
    <row r="32" spans="1:10" ht="39" customHeight="1">
      <c r="A32" s="130" t="s">
        <v>230</v>
      </c>
      <c r="B32" s="134" t="s">
        <v>231</v>
      </c>
      <c r="C32" s="133"/>
      <c r="D32" s="75">
        <v>50596208</v>
      </c>
      <c r="E32" s="75">
        <v>789072795</v>
      </c>
      <c r="F32" s="75">
        <v>72982304</v>
      </c>
      <c r="G32" s="75">
        <v>1255914643</v>
      </c>
      <c r="J32" s="107"/>
    </row>
    <row r="33" spans="1:10" ht="39" customHeight="1">
      <c r="A33" s="135" t="s">
        <v>232</v>
      </c>
      <c r="B33" s="131" t="s">
        <v>233</v>
      </c>
      <c r="C33" s="132"/>
      <c r="D33" s="75">
        <v>50385435</v>
      </c>
      <c r="E33" s="75">
        <v>785477999</v>
      </c>
      <c r="F33" s="75">
        <v>72436979</v>
      </c>
      <c r="G33" s="75">
        <v>1249401883</v>
      </c>
      <c r="J33" s="107"/>
    </row>
    <row r="34" spans="1:10" ht="39" customHeight="1">
      <c r="A34" s="135" t="s">
        <v>71</v>
      </c>
      <c r="B34" s="131" t="s">
        <v>234</v>
      </c>
      <c r="C34" s="132"/>
      <c r="D34" s="75">
        <v>210773</v>
      </c>
      <c r="E34" s="75">
        <v>3594796</v>
      </c>
      <c r="F34" s="75">
        <v>545325</v>
      </c>
      <c r="G34" s="75">
        <v>6512760</v>
      </c>
      <c r="J34" s="107"/>
    </row>
    <row r="35" spans="1:10" ht="42" customHeight="1">
      <c r="A35" s="135" t="s">
        <v>235</v>
      </c>
      <c r="B35" s="131" t="s">
        <v>236</v>
      </c>
      <c r="C35" s="133"/>
      <c r="D35" s="75">
        <v>0</v>
      </c>
      <c r="E35" s="75">
        <v>0</v>
      </c>
      <c r="F35" s="75">
        <v>0</v>
      </c>
      <c r="G35" s="75">
        <v>0</v>
      </c>
      <c r="J35" s="107"/>
    </row>
    <row r="36" spans="1:10" ht="39" customHeight="1">
      <c r="A36" s="135" t="s">
        <v>237</v>
      </c>
      <c r="B36" s="131" t="s">
        <v>238</v>
      </c>
      <c r="C36" s="133"/>
      <c r="D36" s="75">
        <v>0</v>
      </c>
      <c r="E36" s="75">
        <v>0</v>
      </c>
      <c r="F36" s="75">
        <v>0</v>
      </c>
      <c r="G36" s="75">
        <v>0</v>
      </c>
      <c r="J36" s="107"/>
    </row>
    <row r="37" spans="1:10" ht="70.900000000000006" customHeight="1">
      <c r="A37" s="135" t="s">
        <v>239</v>
      </c>
      <c r="B37" s="131" t="s">
        <v>240</v>
      </c>
      <c r="C37" s="133"/>
      <c r="D37" s="75">
        <v>0</v>
      </c>
      <c r="E37" s="75">
        <v>0</v>
      </c>
      <c r="F37" s="75">
        <v>0</v>
      </c>
      <c r="G37" s="75">
        <v>0</v>
      </c>
      <c r="J37" s="107"/>
    </row>
    <row r="38" spans="1:10" ht="39" customHeight="1">
      <c r="A38" s="135" t="s">
        <v>336</v>
      </c>
      <c r="B38" s="131" t="s">
        <v>241</v>
      </c>
      <c r="C38" s="133"/>
      <c r="D38" s="75">
        <v>0</v>
      </c>
      <c r="E38" s="75">
        <v>0</v>
      </c>
      <c r="F38" s="75">
        <v>0</v>
      </c>
      <c r="G38" s="75">
        <v>0</v>
      </c>
      <c r="J38" s="107"/>
    </row>
    <row r="39" spans="1:10" s="107" customFormat="1" ht="39" customHeight="1">
      <c r="A39" s="127" t="s">
        <v>337</v>
      </c>
      <c r="B39" s="128" t="s">
        <v>242</v>
      </c>
      <c r="C39" s="129"/>
      <c r="D39" s="70">
        <v>880579489</v>
      </c>
      <c r="E39" s="70">
        <v>8767896581</v>
      </c>
      <c r="F39" s="70">
        <v>1272536178</v>
      </c>
      <c r="G39" s="70">
        <v>14620472326</v>
      </c>
    </row>
    <row r="40" spans="1:10" ht="39" customHeight="1">
      <c r="A40" s="135" t="s">
        <v>384</v>
      </c>
      <c r="B40" s="131" t="s">
        <v>243</v>
      </c>
      <c r="C40" s="133"/>
      <c r="D40" s="75">
        <v>750815411</v>
      </c>
      <c r="E40" s="75">
        <v>7597438761</v>
      </c>
      <c r="F40" s="75">
        <v>1143109262</v>
      </c>
      <c r="G40" s="75">
        <v>13191978541</v>
      </c>
      <c r="J40" s="107"/>
    </row>
    <row r="41" spans="1:10" ht="39" customHeight="1">
      <c r="A41" s="135" t="s">
        <v>244</v>
      </c>
      <c r="B41" s="131" t="s">
        <v>245</v>
      </c>
      <c r="C41" s="132"/>
      <c r="D41" s="75">
        <v>27690753</v>
      </c>
      <c r="E41" s="75">
        <v>339559568</v>
      </c>
      <c r="F41" s="75">
        <v>32370236</v>
      </c>
      <c r="G41" s="75">
        <v>382767174</v>
      </c>
      <c r="J41" s="107"/>
    </row>
    <row r="42" spans="1:10" ht="39" customHeight="1">
      <c r="A42" s="55" t="s">
        <v>51</v>
      </c>
      <c r="B42" s="136" t="s">
        <v>246</v>
      </c>
      <c r="C42" s="132"/>
      <c r="D42" s="75">
        <v>22000000</v>
      </c>
      <c r="E42" s="75">
        <v>220000000</v>
      </c>
      <c r="F42" s="75">
        <v>23691385</v>
      </c>
      <c r="G42" s="75">
        <v>273408885</v>
      </c>
      <c r="J42" s="107"/>
    </row>
    <row r="43" spans="1:10" ht="39" customHeight="1">
      <c r="A43" s="55" t="s">
        <v>52</v>
      </c>
      <c r="B43" s="136" t="s">
        <v>247</v>
      </c>
      <c r="C43" s="132"/>
      <c r="D43" s="75">
        <v>2400000</v>
      </c>
      <c r="E43" s="75">
        <v>38700000</v>
      </c>
      <c r="F43" s="75">
        <v>3800000</v>
      </c>
      <c r="G43" s="75">
        <v>50200000</v>
      </c>
      <c r="J43" s="107"/>
    </row>
    <row r="44" spans="1:10" ht="60" customHeight="1">
      <c r="A44" s="55" t="s">
        <v>350</v>
      </c>
      <c r="B44" s="136" t="s">
        <v>248</v>
      </c>
      <c r="C44" s="132"/>
      <c r="D44" s="75">
        <v>3290753</v>
      </c>
      <c r="E44" s="75">
        <v>80859568</v>
      </c>
      <c r="F44" s="75">
        <v>4878851</v>
      </c>
      <c r="G44" s="75">
        <v>59158289</v>
      </c>
      <c r="J44" s="107"/>
    </row>
    <row r="45" spans="1:10" ht="39" customHeight="1">
      <c r="A45" s="135" t="s">
        <v>249</v>
      </c>
      <c r="B45" s="131" t="s">
        <v>250</v>
      </c>
      <c r="C45" s="132"/>
      <c r="D45" s="75">
        <v>25300000</v>
      </c>
      <c r="E45" s="75">
        <v>253000000</v>
      </c>
      <c r="F45" s="75">
        <v>26060523</v>
      </c>
      <c r="G45" s="75">
        <v>300749773</v>
      </c>
      <c r="J45" s="107"/>
    </row>
    <row r="46" spans="1:10" ht="39" customHeight="1">
      <c r="A46" s="135" t="s">
        <v>251</v>
      </c>
      <c r="B46" s="131" t="s">
        <v>252</v>
      </c>
      <c r="C46" s="132"/>
      <c r="D46" s="75">
        <v>12837777</v>
      </c>
      <c r="E46" s="75">
        <v>129904401</v>
      </c>
      <c r="F46" s="75">
        <v>19545391</v>
      </c>
      <c r="G46" s="75">
        <v>225562325</v>
      </c>
      <c r="J46" s="107"/>
    </row>
    <row r="47" spans="1:10" ht="39" customHeight="1">
      <c r="A47" s="135" t="s">
        <v>253</v>
      </c>
      <c r="B47" s="131" t="s">
        <v>254</v>
      </c>
      <c r="C47" s="132"/>
      <c r="D47" s="75">
        <v>11000000</v>
      </c>
      <c r="E47" s="75">
        <v>110000000</v>
      </c>
      <c r="F47" s="75">
        <v>11000000</v>
      </c>
      <c r="G47" s="75">
        <v>110000000</v>
      </c>
      <c r="J47" s="107"/>
    </row>
    <row r="48" spans="1:10" ht="39" customHeight="1">
      <c r="A48" s="135" t="s">
        <v>255</v>
      </c>
      <c r="B48" s="131" t="s">
        <v>256</v>
      </c>
      <c r="C48" s="132"/>
      <c r="D48" s="75">
        <v>0</v>
      </c>
      <c r="E48" s="75">
        <v>0</v>
      </c>
      <c r="F48" s="75">
        <v>0</v>
      </c>
      <c r="G48" s="75">
        <v>0</v>
      </c>
      <c r="J48" s="107"/>
    </row>
    <row r="49" spans="1:10" ht="43.9" customHeight="1">
      <c r="A49" s="56" t="s">
        <v>385</v>
      </c>
      <c r="B49" s="136" t="s">
        <v>257</v>
      </c>
      <c r="C49" s="132"/>
      <c r="D49" s="75">
        <v>0</v>
      </c>
      <c r="E49" s="75">
        <v>0</v>
      </c>
      <c r="F49" s="75">
        <v>0</v>
      </c>
      <c r="G49" s="75">
        <v>0</v>
      </c>
      <c r="J49" s="107"/>
    </row>
    <row r="50" spans="1:10" ht="39" customHeight="1">
      <c r="A50" s="56" t="s">
        <v>386</v>
      </c>
      <c r="B50" s="136" t="s">
        <v>258</v>
      </c>
      <c r="C50" s="132"/>
      <c r="D50" s="75">
        <v>0</v>
      </c>
      <c r="E50" s="75">
        <v>0</v>
      </c>
      <c r="F50" s="75">
        <v>0</v>
      </c>
      <c r="G50" s="75">
        <v>0</v>
      </c>
      <c r="J50" s="107"/>
    </row>
    <row r="51" spans="1:10" ht="39" customHeight="1">
      <c r="A51" s="135" t="s">
        <v>259</v>
      </c>
      <c r="B51" s="131" t="s">
        <v>260</v>
      </c>
      <c r="C51" s="132"/>
      <c r="D51" s="75">
        <v>0</v>
      </c>
      <c r="E51" s="75">
        <v>0</v>
      </c>
      <c r="F51" s="75">
        <v>3120735</v>
      </c>
      <c r="G51" s="75">
        <v>30603328</v>
      </c>
      <c r="J51" s="107"/>
    </row>
    <row r="52" spans="1:10" ht="39" customHeight="1">
      <c r="A52" s="135" t="s">
        <v>338</v>
      </c>
      <c r="B52" s="131" t="s">
        <v>261</v>
      </c>
      <c r="C52" s="132"/>
      <c r="D52" s="75">
        <v>14441256</v>
      </c>
      <c r="E52" s="75">
        <v>145332772</v>
      </c>
      <c r="F52" s="75">
        <v>14480817</v>
      </c>
      <c r="G52" s="75">
        <v>142775437</v>
      </c>
      <c r="J52" s="107"/>
    </row>
    <row r="53" spans="1:10" ht="39" customHeight="1">
      <c r="A53" s="135" t="s">
        <v>262</v>
      </c>
      <c r="B53" s="131" t="s">
        <v>263</v>
      </c>
      <c r="C53" s="132"/>
      <c r="D53" s="75">
        <v>0</v>
      </c>
      <c r="E53" s="75">
        <v>0</v>
      </c>
      <c r="F53" s="75">
        <v>0</v>
      </c>
      <c r="G53" s="75">
        <v>0</v>
      </c>
      <c r="J53" s="107"/>
    </row>
    <row r="54" spans="1:10" ht="39" customHeight="1">
      <c r="A54" s="135" t="s">
        <v>339</v>
      </c>
      <c r="B54" s="137" t="s">
        <v>264</v>
      </c>
      <c r="C54" s="132"/>
      <c r="D54" s="75">
        <v>38494292</v>
      </c>
      <c r="E54" s="75">
        <v>192661079</v>
      </c>
      <c r="F54" s="75">
        <v>22849214</v>
      </c>
      <c r="G54" s="75">
        <v>236035748</v>
      </c>
      <c r="J54" s="107"/>
    </row>
    <row r="55" spans="1:10" ht="39" customHeight="1">
      <c r="A55" s="56" t="s">
        <v>67</v>
      </c>
      <c r="B55" s="138" t="s">
        <v>265</v>
      </c>
      <c r="C55" s="132"/>
      <c r="D55" s="75">
        <v>13016393</v>
      </c>
      <c r="E55" s="75">
        <v>130000000</v>
      </c>
      <c r="F55" s="75">
        <v>13019183</v>
      </c>
      <c r="G55" s="75">
        <v>142575199</v>
      </c>
      <c r="J55" s="107"/>
    </row>
    <row r="56" spans="1:10" ht="39" customHeight="1">
      <c r="A56" s="56" t="s">
        <v>266</v>
      </c>
      <c r="B56" s="138" t="s">
        <v>267</v>
      </c>
      <c r="C56" s="132"/>
      <c r="D56" s="75">
        <v>0</v>
      </c>
      <c r="E56" s="75">
        <v>0</v>
      </c>
      <c r="F56" s="75">
        <v>5989328</v>
      </c>
      <c r="G56" s="75">
        <v>37647530</v>
      </c>
      <c r="J56" s="107"/>
    </row>
    <row r="57" spans="1:10" ht="39" customHeight="1">
      <c r="A57" s="56" t="s">
        <v>268</v>
      </c>
      <c r="B57" s="138" t="s">
        <v>269</v>
      </c>
      <c r="C57" s="133"/>
      <c r="D57" s="75">
        <v>0</v>
      </c>
      <c r="E57" s="75">
        <v>0</v>
      </c>
      <c r="F57" s="75">
        <v>2808348</v>
      </c>
      <c r="G57" s="75">
        <v>27539926</v>
      </c>
      <c r="J57" s="107"/>
    </row>
    <row r="58" spans="1:10" ht="39" customHeight="1">
      <c r="A58" s="56" t="s">
        <v>340</v>
      </c>
      <c r="B58" s="138" t="s">
        <v>270</v>
      </c>
      <c r="C58" s="132"/>
      <c r="D58" s="75">
        <v>24500000</v>
      </c>
      <c r="E58" s="75">
        <v>43400000</v>
      </c>
      <c r="F58" s="75">
        <v>0</v>
      </c>
      <c r="G58" s="75">
        <v>11045000</v>
      </c>
      <c r="J58" s="107"/>
    </row>
    <row r="59" spans="1:10" ht="39" customHeight="1">
      <c r="A59" s="56" t="s">
        <v>68</v>
      </c>
      <c r="B59" s="138" t="s">
        <v>271</v>
      </c>
      <c r="C59" s="133"/>
      <c r="D59" s="75">
        <v>0</v>
      </c>
      <c r="E59" s="75">
        <v>0</v>
      </c>
      <c r="F59" s="75">
        <v>0</v>
      </c>
      <c r="G59" s="75">
        <v>0</v>
      </c>
      <c r="J59" s="107"/>
    </row>
    <row r="60" spans="1:10" ht="39" customHeight="1">
      <c r="A60" s="56" t="s">
        <v>341</v>
      </c>
      <c r="B60" s="138" t="s">
        <v>272</v>
      </c>
      <c r="C60" s="133"/>
      <c r="D60" s="75">
        <v>0</v>
      </c>
      <c r="E60" s="75">
        <v>0</v>
      </c>
      <c r="F60" s="75">
        <v>0</v>
      </c>
      <c r="G60" s="75">
        <v>0</v>
      </c>
      <c r="J60" s="107"/>
    </row>
    <row r="61" spans="1:10" ht="39" customHeight="1">
      <c r="A61" s="56" t="s">
        <v>342</v>
      </c>
      <c r="B61" s="138" t="s">
        <v>273</v>
      </c>
      <c r="C61" s="133"/>
      <c r="D61" s="75">
        <v>0</v>
      </c>
      <c r="E61" s="75">
        <v>0</v>
      </c>
      <c r="F61" s="75">
        <v>0</v>
      </c>
      <c r="G61" s="75">
        <v>0</v>
      </c>
      <c r="J61" s="107"/>
    </row>
    <row r="62" spans="1:10" ht="39" customHeight="1">
      <c r="A62" s="56" t="s">
        <v>76</v>
      </c>
      <c r="B62" s="138" t="s">
        <v>274</v>
      </c>
      <c r="C62" s="133"/>
      <c r="D62" s="75">
        <v>977899</v>
      </c>
      <c r="E62" s="75">
        <v>18161079</v>
      </c>
      <c r="F62" s="75">
        <v>1032355</v>
      </c>
      <c r="G62" s="75">
        <v>16128093</v>
      </c>
      <c r="J62" s="107"/>
    </row>
    <row r="63" spans="1:10" ht="39" customHeight="1">
      <c r="A63" s="56" t="s">
        <v>69</v>
      </c>
      <c r="B63" s="138" t="s">
        <v>275</v>
      </c>
      <c r="C63" s="133"/>
      <c r="D63" s="75">
        <v>0</v>
      </c>
      <c r="E63" s="75">
        <v>0</v>
      </c>
      <c r="F63" s="75">
        <v>0</v>
      </c>
      <c r="G63" s="75">
        <v>0</v>
      </c>
      <c r="J63" s="107"/>
    </row>
    <row r="64" spans="1:10" ht="39" customHeight="1">
      <c r="A64" s="56" t="s">
        <v>326</v>
      </c>
      <c r="B64" s="138" t="s">
        <v>276</v>
      </c>
      <c r="C64" s="132"/>
      <c r="D64" s="75">
        <v>0</v>
      </c>
      <c r="E64" s="75">
        <v>0</v>
      </c>
      <c r="F64" s="75">
        <v>0</v>
      </c>
      <c r="G64" s="75">
        <v>0</v>
      </c>
      <c r="J64" s="107"/>
    </row>
    <row r="65" spans="1:10" ht="39" customHeight="1">
      <c r="A65" s="56" t="s">
        <v>360</v>
      </c>
      <c r="B65" s="138" t="s">
        <v>277</v>
      </c>
      <c r="C65" s="132"/>
      <c r="D65" s="75">
        <v>0</v>
      </c>
      <c r="E65" s="75">
        <v>1100000</v>
      </c>
      <c r="F65" s="75">
        <v>0</v>
      </c>
      <c r="G65" s="75">
        <v>1100000</v>
      </c>
      <c r="J65" s="107"/>
    </row>
    <row r="66" spans="1:10" ht="39" customHeight="1">
      <c r="A66" s="56" t="s">
        <v>343</v>
      </c>
      <c r="B66" s="138" t="s">
        <v>278</v>
      </c>
      <c r="C66" s="132"/>
      <c r="D66" s="75">
        <v>0</v>
      </c>
      <c r="E66" s="75">
        <v>0</v>
      </c>
      <c r="F66" s="75">
        <v>0</v>
      </c>
      <c r="G66" s="75">
        <v>0</v>
      </c>
      <c r="J66" s="107"/>
    </row>
    <row r="67" spans="1:10" ht="39" customHeight="1">
      <c r="A67" s="56" t="s">
        <v>344</v>
      </c>
      <c r="B67" s="138" t="s">
        <v>279</v>
      </c>
      <c r="C67" s="132"/>
      <c r="D67" s="75">
        <v>0</v>
      </c>
      <c r="E67" s="75">
        <v>0</v>
      </c>
      <c r="F67" s="75">
        <v>0</v>
      </c>
      <c r="G67" s="75">
        <v>0</v>
      </c>
      <c r="J67" s="107"/>
    </row>
    <row r="68" spans="1:10" ht="39" customHeight="1">
      <c r="A68" s="56" t="s">
        <v>280</v>
      </c>
      <c r="B68" s="138" t="s">
        <v>281</v>
      </c>
      <c r="C68" s="132"/>
      <c r="D68" s="75">
        <v>0</v>
      </c>
      <c r="E68" s="75">
        <v>0</v>
      </c>
      <c r="F68" s="75">
        <v>0</v>
      </c>
      <c r="G68" s="75">
        <v>0</v>
      </c>
      <c r="J68" s="107"/>
    </row>
    <row r="69" spans="1:10" s="107" customFormat="1" ht="45" customHeight="1">
      <c r="A69" s="127" t="s">
        <v>282</v>
      </c>
      <c r="B69" s="128" t="s">
        <v>283</v>
      </c>
      <c r="C69" s="129"/>
      <c r="D69" s="70">
        <v>4718629854</v>
      </c>
      <c r="E69" s="70">
        <v>-42646285525</v>
      </c>
      <c r="F69" s="70">
        <v>1090047367</v>
      </c>
      <c r="G69" s="70">
        <v>92612494777</v>
      </c>
    </row>
    <row r="70" spans="1:10" s="107" customFormat="1" ht="39" customHeight="1">
      <c r="A70" s="127" t="s">
        <v>284</v>
      </c>
      <c r="B70" s="128" t="s">
        <v>285</v>
      </c>
      <c r="C70" s="129"/>
      <c r="D70" s="70">
        <v>0</v>
      </c>
      <c r="E70" s="70">
        <v>0</v>
      </c>
      <c r="F70" s="70">
        <v>0</v>
      </c>
      <c r="G70" s="70">
        <v>0</v>
      </c>
    </row>
    <row r="71" spans="1:10" ht="39" customHeight="1">
      <c r="A71" s="130" t="s">
        <v>387</v>
      </c>
      <c r="B71" s="134" t="s">
        <v>286</v>
      </c>
      <c r="C71" s="133"/>
      <c r="D71" s="75">
        <v>0</v>
      </c>
      <c r="E71" s="75">
        <v>0</v>
      </c>
      <c r="F71" s="75">
        <v>0</v>
      </c>
      <c r="G71" s="75">
        <v>0</v>
      </c>
      <c r="J71" s="107"/>
    </row>
    <row r="72" spans="1:10" ht="39" customHeight="1">
      <c r="A72" s="130" t="s">
        <v>345</v>
      </c>
      <c r="B72" s="134" t="s">
        <v>287</v>
      </c>
      <c r="C72" s="133"/>
      <c r="D72" s="75">
        <v>0</v>
      </c>
      <c r="E72" s="75">
        <v>0</v>
      </c>
      <c r="F72" s="75">
        <v>0</v>
      </c>
      <c r="G72" s="75">
        <v>0</v>
      </c>
      <c r="J72" s="107"/>
    </row>
    <row r="73" spans="1:10" s="107" customFormat="1" ht="48" customHeight="1">
      <c r="A73" s="127" t="s">
        <v>288</v>
      </c>
      <c r="B73" s="128" t="s">
        <v>289</v>
      </c>
      <c r="C73" s="129"/>
      <c r="D73" s="70">
        <v>4718629854</v>
      </c>
      <c r="E73" s="70">
        <v>-42646285525</v>
      </c>
      <c r="F73" s="70">
        <v>1090047367</v>
      </c>
      <c r="G73" s="70">
        <v>92612494777</v>
      </c>
    </row>
    <row r="74" spans="1:10" ht="39" customHeight="1">
      <c r="A74" s="135" t="s">
        <v>290</v>
      </c>
      <c r="B74" s="131" t="s">
        <v>291</v>
      </c>
      <c r="C74" s="133"/>
      <c r="D74" s="75">
        <v>-3058134924</v>
      </c>
      <c r="E74" s="75">
        <v>-55044469859</v>
      </c>
      <c r="F74" s="75">
        <v>-4049046599</v>
      </c>
      <c r="G74" s="75">
        <v>-55385985931</v>
      </c>
      <c r="J74" s="107"/>
    </row>
    <row r="75" spans="1:10" ht="39" customHeight="1">
      <c r="A75" s="135" t="s">
        <v>292</v>
      </c>
      <c r="B75" s="131" t="s">
        <v>293</v>
      </c>
      <c r="C75" s="133"/>
      <c r="D75" s="75">
        <v>7776764778</v>
      </c>
      <c r="E75" s="75">
        <v>12398184334</v>
      </c>
      <c r="F75" s="75">
        <v>5139093966</v>
      </c>
      <c r="G75" s="75">
        <v>147998480708</v>
      </c>
      <c r="J75" s="107"/>
    </row>
    <row r="76" spans="1:10" s="107" customFormat="1" ht="39" customHeight="1">
      <c r="A76" s="127" t="s">
        <v>294</v>
      </c>
      <c r="B76" s="128" t="s">
        <v>295</v>
      </c>
      <c r="C76" s="129"/>
      <c r="D76" s="70">
        <v>0</v>
      </c>
      <c r="E76" s="70">
        <v>0</v>
      </c>
      <c r="F76" s="70">
        <v>0</v>
      </c>
      <c r="G76" s="70">
        <v>0</v>
      </c>
    </row>
    <row r="77" spans="1:10" s="107" customFormat="1" ht="43.5" customHeight="1">
      <c r="A77" s="127" t="s">
        <v>296</v>
      </c>
      <c r="B77" s="128" t="s">
        <v>297</v>
      </c>
      <c r="C77" s="129"/>
      <c r="D77" s="70">
        <v>4718629854</v>
      </c>
      <c r="E77" s="70">
        <v>-42646285525</v>
      </c>
      <c r="F77" s="70">
        <v>1090047367</v>
      </c>
      <c r="G77" s="70">
        <v>92612494777</v>
      </c>
    </row>
    <row r="80" spans="1:10" s="107" customFormat="1" ht="16.899999999999999" customHeight="1">
      <c r="A80" s="115" t="s">
        <v>298</v>
      </c>
      <c r="B80" s="252" t="s">
        <v>299</v>
      </c>
      <c r="C80" s="252"/>
      <c r="D80" s="252"/>
      <c r="E80" s="252"/>
      <c r="F80" s="252"/>
      <c r="G80" s="252"/>
    </row>
    <row r="93" spans="1:7">
      <c r="A93" s="96" t="s">
        <v>632</v>
      </c>
      <c r="B93" s="242" t="s">
        <v>633</v>
      </c>
      <c r="C93" s="242"/>
      <c r="D93" s="242"/>
      <c r="E93" s="242"/>
      <c r="F93" s="242" t="s">
        <v>634</v>
      </c>
      <c r="G93" s="242"/>
    </row>
    <row r="94" spans="1:7" ht="16.899999999999999" customHeight="1">
      <c r="A94" s="200" t="s">
        <v>1118</v>
      </c>
      <c r="B94" s="243" t="s">
        <v>1119</v>
      </c>
      <c r="C94" s="243"/>
      <c r="D94" s="243"/>
      <c r="E94" s="243"/>
      <c r="F94" s="243" t="s">
        <v>1110</v>
      </c>
      <c r="G94" s="243"/>
    </row>
    <row r="95" spans="1:7" ht="16.899999999999999" customHeight="1">
      <c r="A95" s="139" t="s">
        <v>1120</v>
      </c>
      <c r="B95" s="244" t="s">
        <v>1121</v>
      </c>
      <c r="C95" s="244"/>
      <c r="D95" s="244"/>
      <c r="E95" s="244"/>
      <c r="F95" s="244" t="s">
        <v>653</v>
      </c>
      <c r="G95" s="24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40" zoomScale="98" zoomScaleNormal="100" zoomScaleSheetLayoutView="98" workbookViewId="0">
      <selection activeCell="F140" sqref="F140"/>
    </sheetView>
  </sheetViews>
  <sheetFormatPr defaultColWidth="8.7265625" defaultRowHeight="12.5"/>
  <cols>
    <col min="1" max="1" width="7.1796875" style="49" customWidth="1"/>
    <col min="2" max="2" width="45.453125" style="49" customWidth="1"/>
    <col min="3" max="3" width="10.54296875" style="49" customWidth="1"/>
    <col min="4" max="4" width="8.7265625" style="49"/>
    <col min="5" max="6" width="22.26953125" style="49" customWidth="1"/>
    <col min="7" max="7" width="8.7265625" style="35"/>
    <col min="8" max="16384" width="8.7265625" style="93"/>
  </cols>
  <sheetData>
    <row r="1" spans="1:6" ht="23.65" customHeight="1">
      <c r="A1" s="255" t="s">
        <v>300</v>
      </c>
      <c r="B1" s="255"/>
      <c r="C1" s="255"/>
      <c r="D1" s="255"/>
      <c r="E1" s="255"/>
      <c r="F1" s="255"/>
    </row>
    <row r="2" spans="1:6" ht="32.65" customHeight="1">
      <c r="A2" s="256" t="s">
        <v>212</v>
      </c>
      <c r="B2" s="256"/>
      <c r="C2" s="256"/>
      <c r="D2" s="256"/>
      <c r="E2" s="256"/>
      <c r="F2" s="256"/>
    </row>
    <row r="3" spans="1:6" ht="31.15" customHeight="1">
      <c r="A3" s="257" t="s">
        <v>301</v>
      </c>
      <c r="B3" s="257"/>
      <c r="C3" s="257"/>
      <c r="D3" s="257"/>
      <c r="E3" s="257"/>
      <c r="F3" s="257"/>
    </row>
    <row r="4" spans="1:6" ht="6" customHeight="1"/>
    <row r="5" spans="1:6" ht="16.899999999999999" customHeight="1">
      <c r="A5" s="258" t="str">
        <f>TONGQUAN!C1</f>
        <v>Tại ngày 31 tháng 10 năm 2020
/ As at 31 Oct 2020</v>
      </c>
      <c r="B5" s="258"/>
      <c r="C5" s="258"/>
      <c r="D5" s="258"/>
      <c r="E5" s="258"/>
      <c r="F5" s="258"/>
    </row>
    <row r="6" spans="1:6" ht="16.899999999999999" customHeight="1"/>
    <row r="7" spans="1:6" ht="16.899999999999999" customHeight="1">
      <c r="A7" s="140" t="s">
        <v>2</v>
      </c>
      <c r="C7" s="253" t="str">
        <f>TONGQUAN!D5</f>
        <v>Công ty Cổ phần Quản lý Quỹ Đầu tư Việt Nam</v>
      </c>
      <c r="D7" s="253"/>
      <c r="E7" s="253"/>
      <c r="F7" s="253"/>
    </row>
    <row r="8" spans="1:6" ht="16.899999999999999" customHeight="1">
      <c r="A8" s="49" t="s">
        <v>41</v>
      </c>
      <c r="C8" s="254" t="str">
        <f>TONGQUAN!D6</f>
        <v>Vietnam Investment Fund Management Joint Stock Company</v>
      </c>
      <c r="D8" s="254"/>
      <c r="E8" s="254"/>
      <c r="F8" s="254"/>
    </row>
    <row r="9" spans="1:6" ht="16.899999999999999" customHeight="1">
      <c r="A9" s="140" t="s">
        <v>3</v>
      </c>
      <c r="C9" s="253" t="str">
        <f>TONGQUAN!D7</f>
        <v>Ngân hàng TNHH Một thành viên Standard Chartered (Việt Nam)</v>
      </c>
      <c r="D9" s="253"/>
      <c r="E9" s="253"/>
      <c r="F9" s="253"/>
    </row>
    <row r="10" spans="1:6" ht="16.899999999999999" customHeight="1">
      <c r="A10" s="49" t="s">
        <v>4</v>
      </c>
      <c r="C10" s="254" t="str">
        <f>TONGQUAN!D8</f>
        <v>Standard Chartered Bank (Vietnam) Limited</v>
      </c>
      <c r="D10" s="254"/>
      <c r="E10" s="254"/>
      <c r="F10" s="254"/>
    </row>
    <row r="11" spans="1:6" ht="16.899999999999999" customHeight="1">
      <c r="A11" s="140" t="s">
        <v>5</v>
      </c>
      <c r="C11" s="253" t="str">
        <f>TONGQUAN!D9</f>
        <v>Quỹ Đầu tư Doanh nghiệp hàng đầu Việt Nam</v>
      </c>
      <c r="D11" s="253"/>
      <c r="E11" s="253"/>
      <c r="F11" s="253"/>
    </row>
    <row r="12" spans="1:6" ht="16.899999999999999" customHeight="1">
      <c r="A12" s="49" t="s">
        <v>6</v>
      </c>
      <c r="C12" s="254" t="str">
        <f>TONGQUAN!D10</f>
        <v>Vietnam Blue Chip Fund(VFMVF4)</v>
      </c>
      <c r="D12" s="254"/>
      <c r="E12" s="254"/>
      <c r="F12" s="254"/>
    </row>
    <row r="13" spans="1:6" ht="16.899999999999999" customHeight="1">
      <c r="A13" s="140" t="s">
        <v>7</v>
      </c>
      <c r="C13" s="253" t="str">
        <f>TONGQUAN!D11</f>
        <v>Ngày 02 tháng 11 năm 2020</v>
      </c>
      <c r="D13" s="253"/>
      <c r="E13" s="253"/>
      <c r="F13" s="253"/>
    </row>
    <row r="14" spans="1:6" ht="16.899999999999999" customHeight="1">
      <c r="A14" s="49" t="s">
        <v>8</v>
      </c>
      <c r="C14" s="254" t="str">
        <f>TONGQUAN!D12</f>
        <v>02 Nov 2020</v>
      </c>
      <c r="D14" s="254"/>
      <c r="E14" s="254"/>
      <c r="F14" s="254"/>
    </row>
    <row r="15" spans="1:6" ht="16.899999999999999" customHeight="1"/>
    <row r="16" spans="1:6" ht="46.9" customHeight="1">
      <c r="A16" s="94" t="s">
        <v>302</v>
      </c>
      <c r="B16" s="94" t="s">
        <v>214</v>
      </c>
      <c r="C16" s="94" t="s">
        <v>215</v>
      </c>
      <c r="D16" s="94" t="s">
        <v>216</v>
      </c>
      <c r="E16" s="94" t="str">
        <f>BCTaiSan_06027!D18</f>
        <v>Ngày 31 tháng 10 năm 2020
 As at 31 Oct 2020</v>
      </c>
      <c r="F16" s="94" t="str">
        <f>BCTaiSan_06027!E18</f>
        <v>Ngày 30 tháng 09 năm 2020
 As at 30 Sep 2020</v>
      </c>
    </row>
    <row r="17" spans="1:7" ht="39" customHeight="1">
      <c r="A17" s="51" t="s">
        <v>42</v>
      </c>
      <c r="B17" s="141" t="s">
        <v>401</v>
      </c>
      <c r="C17" s="45" t="s">
        <v>42</v>
      </c>
      <c r="D17" s="70"/>
      <c r="E17" s="70"/>
      <c r="F17" s="70"/>
    </row>
    <row r="18" spans="1:7" ht="39" customHeight="1">
      <c r="A18" s="143" t="s">
        <v>402</v>
      </c>
      <c r="B18" s="144" t="s">
        <v>403</v>
      </c>
      <c r="C18" s="145" t="s">
        <v>404</v>
      </c>
      <c r="D18" s="143"/>
      <c r="E18" s="142">
        <v>9082304459</v>
      </c>
      <c r="F18" s="142">
        <v>7475064261</v>
      </c>
    </row>
    <row r="19" spans="1:7" ht="39" customHeight="1">
      <c r="A19" s="143" t="s">
        <v>405</v>
      </c>
      <c r="B19" s="144" t="s">
        <v>406</v>
      </c>
      <c r="C19" s="145" t="s">
        <v>407</v>
      </c>
      <c r="D19" s="143"/>
      <c r="E19" s="142">
        <v>9082304459</v>
      </c>
      <c r="F19" s="142">
        <v>2475064261</v>
      </c>
    </row>
    <row r="20" spans="1:7" s="149" customFormat="1" ht="49.15" customHeight="1">
      <c r="A20" s="143" t="s">
        <v>408</v>
      </c>
      <c r="B20" s="146" t="s">
        <v>409</v>
      </c>
      <c r="C20" s="147" t="s">
        <v>410</v>
      </c>
      <c r="D20" s="143"/>
      <c r="E20" s="142">
        <v>0</v>
      </c>
      <c r="F20" s="142">
        <v>0</v>
      </c>
      <c r="G20" s="148"/>
    </row>
    <row r="21" spans="1:7" s="149" customFormat="1" ht="46.5" customHeight="1">
      <c r="A21" s="143" t="s">
        <v>408</v>
      </c>
      <c r="B21" s="146" t="s">
        <v>411</v>
      </c>
      <c r="C21" s="147" t="s">
        <v>412</v>
      </c>
      <c r="D21" s="143"/>
      <c r="E21" s="142">
        <v>14789498</v>
      </c>
      <c r="F21" s="142">
        <v>14789498</v>
      </c>
      <c r="G21" s="148"/>
    </row>
    <row r="22" spans="1:7" s="149" customFormat="1" ht="39" customHeight="1">
      <c r="A22" s="143" t="s">
        <v>408</v>
      </c>
      <c r="B22" s="146" t="s">
        <v>413</v>
      </c>
      <c r="C22" s="147" t="s">
        <v>414</v>
      </c>
      <c r="D22" s="143"/>
      <c r="E22" s="142">
        <v>9067514961</v>
      </c>
      <c r="F22" s="142">
        <v>2460274763</v>
      </c>
      <c r="G22" s="148"/>
    </row>
    <row r="23" spans="1:7" ht="47.65" customHeight="1">
      <c r="A23" s="143" t="s">
        <v>408</v>
      </c>
      <c r="B23" s="146" t="s">
        <v>47</v>
      </c>
      <c r="C23" s="147" t="s">
        <v>415</v>
      </c>
      <c r="D23" s="143"/>
      <c r="E23" s="142">
        <v>0</v>
      </c>
      <c r="F23" s="142">
        <v>0</v>
      </c>
    </row>
    <row r="24" spans="1:7" ht="39" customHeight="1">
      <c r="A24" s="143" t="s">
        <v>416</v>
      </c>
      <c r="B24" s="144" t="s">
        <v>417</v>
      </c>
      <c r="C24" s="145" t="s">
        <v>418</v>
      </c>
      <c r="D24" s="143"/>
      <c r="E24" s="142">
        <v>0</v>
      </c>
      <c r="F24" s="142">
        <v>5000000000</v>
      </c>
    </row>
    <row r="25" spans="1:7" ht="39" customHeight="1">
      <c r="A25" s="143" t="s">
        <v>419</v>
      </c>
      <c r="B25" s="144" t="s">
        <v>420</v>
      </c>
      <c r="C25" s="145" t="s">
        <v>421</v>
      </c>
      <c r="D25" s="143"/>
      <c r="E25" s="142">
        <v>444278791500</v>
      </c>
      <c r="F25" s="142">
        <v>447130354900</v>
      </c>
    </row>
    <row r="26" spans="1:7" ht="39" customHeight="1">
      <c r="A26" s="143" t="s">
        <v>422</v>
      </c>
      <c r="B26" s="144" t="s">
        <v>423</v>
      </c>
      <c r="C26" s="145" t="s">
        <v>424</v>
      </c>
      <c r="D26" s="143"/>
      <c r="E26" s="142">
        <v>444278791500</v>
      </c>
      <c r="F26" s="142">
        <v>447130354900</v>
      </c>
    </row>
    <row r="27" spans="1:7" ht="39" customHeight="1">
      <c r="A27" s="143" t="s">
        <v>408</v>
      </c>
      <c r="B27" s="146" t="s">
        <v>425</v>
      </c>
      <c r="C27" s="147" t="s">
        <v>426</v>
      </c>
      <c r="D27" s="143"/>
      <c r="E27" s="142">
        <v>444278791500</v>
      </c>
      <c r="F27" s="142">
        <v>447130354900</v>
      </c>
    </row>
    <row r="28" spans="1:7" ht="39" customHeight="1">
      <c r="A28" s="143" t="s">
        <v>408</v>
      </c>
      <c r="B28" s="146" t="s">
        <v>427</v>
      </c>
      <c r="C28" s="147" t="s">
        <v>428</v>
      </c>
      <c r="D28" s="143"/>
      <c r="E28" s="142">
        <v>0</v>
      </c>
      <c r="F28" s="142">
        <v>0</v>
      </c>
    </row>
    <row r="29" spans="1:7" ht="39" customHeight="1">
      <c r="A29" s="143" t="s">
        <v>408</v>
      </c>
      <c r="B29" s="146" t="s">
        <v>429</v>
      </c>
      <c r="C29" s="147" t="s">
        <v>430</v>
      </c>
      <c r="D29" s="143"/>
      <c r="E29" s="142">
        <v>0</v>
      </c>
      <c r="F29" s="142">
        <v>0</v>
      </c>
    </row>
    <row r="30" spans="1:7" ht="39" customHeight="1">
      <c r="A30" s="143" t="s">
        <v>408</v>
      </c>
      <c r="B30" s="146" t="s">
        <v>431</v>
      </c>
      <c r="C30" s="147" t="s">
        <v>432</v>
      </c>
      <c r="D30" s="143"/>
      <c r="E30" s="142">
        <v>0</v>
      </c>
      <c r="F30" s="142">
        <v>0</v>
      </c>
    </row>
    <row r="31" spans="1:7" ht="39" customHeight="1">
      <c r="A31" s="143" t="s">
        <v>408</v>
      </c>
      <c r="B31" s="146" t="s">
        <v>433</v>
      </c>
      <c r="C31" s="147" t="s">
        <v>434</v>
      </c>
      <c r="D31" s="143"/>
      <c r="E31" s="142">
        <v>0</v>
      </c>
      <c r="F31" s="142">
        <v>0</v>
      </c>
    </row>
    <row r="32" spans="1:7" ht="39" customHeight="1">
      <c r="A32" s="143" t="s">
        <v>408</v>
      </c>
      <c r="B32" s="146" t="s">
        <v>388</v>
      </c>
      <c r="C32" s="147" t="s">
        <v>435</v>
      </c>
      <c r="D32" s="143"/>
      <c r="E32" s="142">
        <v>0</v>
      </c>
      <c r="F32" s="142">
        <v>0</v>
      </c>
    </row>
    <row r="33" spans="1:6" ht="39" customHeight="1">
      <c r="A33" s="143" t="s">
        <v>408</v>
      </c>
      <c r="B33" s="146" t="s">
        <v>389</v>
      </c>
      <c r="C33" s="147" t="s">
        <v>436</v>
      </c>
      <c r="D33" s="143"/>
      <c r="E33" s="142">
        <v>0</v>
      </c>
      <c r="F33" s="142">
        <v>0</v>
      </c>
    </row>
    <row r="34" spans="1:6" ht="39" customHeight="1">
      <c r="A34" s="143" t="s">
        <v>408</v>
      </c>
      <c r="B34" s="146" t="s">
        <v>390</v>
      </c>
      <c r="C34" s="147" t="s">
        <v>437</v>
      </c>
      <c r="D34" s="143"/>
      <c r="E34" s="142">
        <v>0</v>
      </c>
      <c r="F34" s="142">
        <v>0</v>
      </c>
    </row>
    <row r="35" spans="1:6" ht="39" customHeight="1">
      <c r="A35" s="143" t="s">
        <v>408</v>
      </c>
      <c r="B35" s="146" t="s">
        <v>438</v>
      </c>
      <c r="C35" s="147" t="s">
        <v>439</v>
      </c>
      <c r="D35" s="143"/>
      <c r="E35" s="142">
        <v>0</v>
      </c>
      <c r="F35" s="142">
        <v>0</v>
      </c>
    </row>
    <row r="36" spans="1:6" ht="39" customHeight="1">
      <c r="A36" s="143" t="s">
        <v>408</v>
      </c>
      <c r="B36" s="146" t="s">
        <v>391</v>
      </c>
      <c r="C36" s="147" t="s">
        <v>440</v>
      </c>
      <c r="D36" s="143"/>
      <c r="E36" s="142">
        <v>0</v>
      </c>
      <c r="F36" s="142">
        <v>0</v>
      </c>
    </row>
    <row r="37" spans="1:6" ht="39" customHeight="1">
      <c r="A37" s="143" t="s">
        <v>441</v>
      </c>
      <c r="B37" s="144" t="s">
        <v>442</v>
      </c>
      <c r="C37" s="145" t="s">
        <v>443</v>
      </c>
      <c r="D37" s="143"/>
      <c r="E37" s="142">
        <v>0</v>
      </c>
      <c r="F37" s="142">
        <v>0</v>
      </c>
    </row>
    <row r="38" spans="1:6" ht="39" customHeight="1">
      <c r="A38" s="143" t="s">
        <v>444</v>
      </c>
      <c r="B38" s="144" t="s">
        <v>445</v>
      </c>
      <c r="C38" s="145" t="s">
        <v>446</v>
      </c>
      <c r="D38" s="143"/>
      <c r="E38" s="142">
        <v>5000</v>
      </c>
      <c r="F38" s="142">
        <v>2236097548</v>
      </c>
    </row>
    <row r="39" spans="1:6" ht="39" customHeight="1">
      <c r="A39" s="143" t="s">
        <v>447</v>
      </c>
      <c r="B39" s="144" t="s">
        <v>448</v>
      </c>
      <c r="C39" s="145" t="s">
        <v>449</v>
      </c>
      <c r="D39" s="143"/>
      <c r="E39" s="142">
        <v>0</v>
      </c>
      <c r="F39" s="142">
        <v>1089577000</v>
      </c>
    </row>
    <row r="40" spans="1:6" ht="43.15" customHeight="1">
      <c r="A40" s="143" t="s">
        <v>408</v>
      </c>
      <c r="B40" s="146" t="s">
        <v>450</v>
      </c>
      <c r="C40" s="147" t="s">
        <v>451</v>
      </c>
      <c r="D40" s="143"/>
      <c r="E40" s="142">
        <v>0</v>
      </c>
      <c r="F40" s="142">
        <v>0</v>
      </c>
    </row>
    <row r="41" spans="1:6" ht="46.9" customHeight="1">
      <c r="A41" s="143" t="s">
        <v>452</v>
      </c>
      <c r="B41" s="144" t="s">
        <v>453</v>
      </c>
      <c r="C41" s="145" t="s">
        <v>454</v>
      </c>
      <c r="D41" s="143"/>
      <c r="E41" s="142">
        <v>5000</v>
      </c>
      <c r="F41" s="142">
        <v>1146520548</v>
      </c>
    </row>
    <row r="42" spans="1:6" ht="43.9" customHeight="1">
      <c r="A42" s="143" t="s">
        <v>455</v>
      </c>
      <c r="B42" s="144" t="s">
        <v>456</v>
      </c>
      <c r="C42" s="145" t="s">
        <v>457</v>
      </c>
      <c r="D42" s="143"/>
      <c r="E42" s="142">
        <v>0</v>
      </c>
      <c r="F42" s="142">
        <v>0</v>
      </c>
    </row>
    <row r="43" spans="1:6" ht="39" customHeight="1">
      <c r="A43" s="143" t="s">
        <v>408</v>
      </c>
      <c r="B43" s="146" t="s">
        <v>392</v>
      </c>
      <c r="C43" s="147" t="s">
        <v>458</v>
      </c>
      <c r="D43" s="143"/>
      <c r="E43" s="142">
        <v>0</v>
      </c>
      <c r="F43" s="142">
        <v>0</v>
      </c>
    </row>
    <row r="44" spans="1:6" ht="39" customHeight="1">
      <c r="A44" s="143" t="s">
        <v>408</v>
      </c>
      <c r="B44" s="146" t="s">
        <v>393</v>
      </c>
      <c r="C44" s="147" t="s">
        <v>459</v>
      </c>
      <c r="D44" s="143"/>
      <c r="E44" s="142">
        <v>0</v>
      </c>
      <c r="F44" s="142">
        <v>0</v>
      </c>
    </row>
    <row r="45" spans="1:6" ht="46.15" customHeight="1">
      <c r="A45" s="143" t="s">
        <v>408</v>
      </c>
      <c r="B45" s="146" t="s">
        <v>460</v>
      </c>
      <c r="C45" s="147" t="s">
        <v>461</v>
      </c>
      <c r="D45" s="143"/>
      <c r="E45" s="142">
        <v>0</v>
      </c>
      <c r="F45" s="142">
        <v>0</v>
      </c>
    </row>
    <row r="46" spans="1:6" ht="44.65" customHeight="1">
      <c r="A46" s="143" t="s">
        <v>408</v>
      </c>
      <c r="B46" s="146" t="s">
        <v>462</v>
      </c>
      <c r="C46" s="147" t="s">
        <v>463</v>
      </c>
      <c r="D46" s="143"/>
      <c r="E46" s="142">
        <v>0</v>
      </c>
      <c r="F46" s="142">
        <v>0</v>
      </c>
    </row>
    <row r="47" spans="1:6" ht="39" customHeight="1">
      <c r="A47" s="143" t="s">
        <v>408</v>
      </c>
      <c r="B47" s="146" t="s">
        <v>464</v>
      </c>
      <c r="C47" s="147" t="s">
        <v>465</v>
      </c>
      <c r="D47" s="143"/>
      <c r="E47" s="142">
        <v>0</v>
      </c>
      <c r="F47" s="142">
        <v>0</v>
      </c>
    </row>
    <row r="48" spans="1:6" ht="55.9" customHeight="1">
      <c r="A48" s="143" t="s">
        <v>408</v>
      </c>
      <c r="B48" s="144" t="s">
        <v>466</v>
      </c>
      <c r="C48" s="145" t="s">
        <v>467</v>
      </c>
      <c r="D48" s="143"/>
      <c r="E48" s="142">
        <v>0</v>
      </c>
      <c r="F48" s="142">
        <v>0</v>
      </c>
    </row>
    <row r="49" spans="1:7" ht="39" customHeight="1">
      <c r="A49" s="143" t="s">
        <v>468</v>
      </c>
      <c r="B49" s="144" t="s">
        <v>469</v>
      </c>
      <c r="C49" s="145" t="s">
        <v>470</v>
      </c>
      <c r="D49" s="143"/>
      <c r="E49" s="142">
        <v>5000</v>
      </c>
      <c r="F49" s="142">
        <v>1146520548</v>
      </c>
    </row>
    <row r="50" spans="1:7" ht="39" customHeight="1">
      <c r="A50" s="143" t="s">
        <v>408</v>
      </c>
      <c r="B50" s="146" t="s">
        <v>471</v>
      </c>
      <c r="C50" s="147" t="s">
        <v>472</v>
      </c>
      <c r="D50" s="143"/>
      <c r="E50" s="142">
        <v>5000</v>
      </c>
      <c r="F50" s="142">
        <v>1140000000</v>
      </c>
    </row>
    <row r="51" spans="1:7" ht="39" customHeight="1">
      <c r="A51" s="143" t="s">
        <v>408</v>
      </c>
      <c r="B51" s="146" t="s">
        <v>473</v>
      </c>
      <c r="C51" s="147" t="s">
        <v>474</v>
      </c>
      <c r="D51" s="143"/>
      <c r="E51" s="142">
        <v>0</v>
      </c>
      <c r="F51" s="142">
        <v>0</v>
      </c>
    </row>
    <row r="52" spans="1:7" ht="46.15" customHeight="1">
      <c r="A52" s="143" t="s">
        <v>408</v>
      </c>
      <c r="B52" s="146" t="s">
        <v>475</v>
      </c>
      <c r="C52" s="147" t="s">
        <v>476</v>
      </c>
      <c r="D52" s="143"/>
      <c r="E52" s="142">
        <v>0</v>
      </c>
      <c r="F52" s="142">
        <v>6520548</v>
      </c>
    </row>
    <row r="53" spans="1:7" ht="42" customHeight="1">
      <c r="A53" s="143" t="s">
        <v>408</v>
      </c>
      <c r="B53" s="146" t="s">
        <v>477</v>
      </c>
      <c r="C53" s="147" t="s">
        <v>478</v>
      </c>
      <c r="D53" s="143"/>
      <c r="E53" s="142">
        <v>0</v>
      </c>
      <c r="F53" s="142">
        <v>0</v>
      </c>
    </row>
    <row r="54" spans="1:7" ht="39" customHeight="1">
      <c r="A54" s="143" t="s">
        <v>408</v>
      </c>
      <c r="B54" s="146" t="s">
        <v>479</v>
      </c>
      <c r="C54" s="147" t="s">
        <v>480</v>
      </c>
      <c r="D54" s="143"/>
      <c r="E54" s="142">
        <v>0</v>
      </c>
      <c r="F54" s="142">
        <v>0</v>
      </c>
    </row>
    <row r="55" spans="1:7" ht="39" customHeight="1">
      <c r="A55" s="143" t="s">
        <v>408</v>
      </c>
      <c r="B55" s="146" t="s">
        <v>481</v>
      </c>
      <c r="C55" s="147" t="s">
        <v>482</v>
      </c>
      <c r="D55" s="143"/>
      <c r="E55" s="142">
        <v>0</v>
      </c>
      <c r="F55" s="142">
        <v>0</v>
      </c>
    </row>
    <row r="56" spans="1:7" ht="39" customHeight="1">
      <c r="A56" s="143" t="s">
        <v>483</v>
      </c>
      <c r="B56" s="144" t="s">
        <v>484</v>
      </c>
      <c r="C56" s="145" t="s">
        <v>485</v>
      </c>
      <c r="D56" s="143"/>
      <c r="E56" s="142">
        <v>0</v>
      </c>
      <c r="F56" s="142">
        <v>0</v>
      </c>
    </row>
    <row r="57" spans="1:7" s="149" customFormat="1" ht="46.9" customHeight="1">
      <c r="A57" s="143" t="s">
        <v>408</v>
      </c>
      <c r="B57" s="146" t="s">
        <v>486</v>
      </c>
      <c r="C57" s="147" t="s">
        <v>487</v>
      </c>
      <c r="D57" s="143"/>
      <c r="E57" s="142">
        <v>0</v>
      </c>
      <c r="F57" s="142">
        <v>0</v>
      </c>
      <c r="G57" s="148"/>
    </row>
    <row r="58" spans="1:7" ht="39" customHeight="1">
      <c r="A58" s="143" t="s">
        <v>408</v>
      </c>
      <c r="B58" s="146" t="s">
        <v>488</v>
      </c>
      <c r="C58" s="147" t="s">
        <v>489</v>
      </c>
      <c r="D58" s="143"/>
      <c r="E58" s="142">
        <v>0</v>
      </c>
      <c r="F58" s="142">
        <v>0</v>
      </c>
    </row>
    <row r="59" spans="1:7" ht="39" customHeight="1">
      <c r="A59" s="143" t="s">
        <v>408</v>
      </c>
      <c r="B59" s="146" t="s">
        <v>490</v>
      </c>
      <c r="C59" s="147" t="s">
        <v>491</v>
      </c>
      <c r="D59" s="143"/>
      <c r="E59" s="142">
        <v>0</v>
      </c>
      <c r="F59" s="142">
        <v>0</v>
      </c>
    </row>
    <row r="60" spans="1:7" ht="39" customHeight="1">
      <c r="A60" s="143" t="s">
        <v>492</v>
      </c>
      <c r="B60" s="144" t="s">
        <v>493</v>
      </c>
      <c r="C60" s="145" t="s">
        <v>494</v>
      </c>
      <c r="D60" s="143"/>
      <c r="E60" s="142">
        <v>0</v>
      </c>
      <c r="F60" s="142">
        <v>0</v>
      </c>
    </row>
    <row r="61" spans="1:7" ht="39" customHeight="1">
      <c r="A61" s="51" t="s">
        <v>408</v>
      </c>
      <c r="B61" s="141" t="s">
        <v>394</v>
      </c>
      <c r="C61" s="45" t="s">
        <v>495</v>
      </c>
      <c r="D61" s="70"/>
      <c r="E61" s="70">
        <v>453361100959</v>
      </c>
      <c r="F61" s="70">
        <v>456841516709</v>
      </c>
    </row>
    <row r="62" spans="1:7" ht="39" customHeight="1">
      <c r="A62" s="51" t="s">
        <v>48</v>
      </c>
      <c r="B62" s="141" t="s">
        <v>496</v>
      </c>
      <c r="C62" s="45" t="s">
        <v>48</v>
      </c>
      <c r="D62" s="70"/>
      <c r="E62" s="70"/>
      <c r="F62" s="70"/>
    </row>
    <row r="63" spans="1:7" ht="39" customHeight="1">
      <c r="A63" s="143" t="s">
        <v>402</v>
      </c>
      <c r="B63" s="144" t="s">
        <v>497</v>
      </c>
      <c r="C63" s="145" t="s">
        <v>498</v>
      </c>
      <c r="D63" s="143"/>
      <c r="E63" s="142">
        <v>0</v>
      </c>
      <c r="F63" s="142">
        <v>0</v>
      </c>
    </row>
    <row r="64" spans="1:7" ht="39" customHeight="1">
      <c r="A64" s="143" t="s">
        <v>408</v>
      </c>
      <c r="B64" s="146" t="s">
        <v>499</v>
      </c>
      <c r="C64" s="147" t="s">
        <v>500</v>
      </c>
      <c r="D64" s="143"/>
      <c r="E64" s="142">
        <v>0</v>
      </c>
      <c r="F64" s="142">
        <v>0</v>
      </c>
    </row>
    <row r="65" spans="1:6" ht="39" customHeight="1">
      <c r="A65" s="143" t="s">
        <v>408</v>
      </c>
      <c r="B65" s="146" t="s">
        <v>501</v>
      </c>
      <c r="C65" s="147" t="s">
        <v>502</v>
      </c>
      <c r="D65" s="143"/>
      <c r="E65" s="142">
        <v>0</v>
      </c>
      <c r="F65" s="142">
        <v>0</v>
      </c>
    </row>
    <row r="66" spans="1:6" ht="39" customHeight="1">
      <c r="A66" s="143" t="s">
        <v>419</v>
      </c>
      <c r="B66" s="144" t="s">
        <v>503</v>
      </c>
      <c r="C66" s="145" t="s">
        <v>504</v>
      </c>
      <c r="D66" s="143"/>
      <c r="E66" s="142">
        <v>0</v>
      </c>
      <c r="F66" s="142">
        <v>0</v>
      </c>
    </row>
    <row r="67" spans="1:6" ht="60" customHeight="1">
      <c r="A67" s="143" t="s">
        <v>444</v>
      </c>
      <c r="B67" s="144" t="s">
        <v>505</v>
      </c>
      <c r="C67" s="145" t="s">
        <v>506</v>
      </c>
      <c r="D67" s="143"/>
      <c r="E67" s="142">
        <v>114230652</v>
      </c>
      <c r="F67" s="142">
        <v>59112687</v>
      </c>
    </row>
    <row r="68" spans="1:6" ht="57.4" customHeight="1">
      <c r="A68" s="143" t="s">
        <v>408</v>
      </c>
      <c r="B68" s="146" t="s">
        <v>507</v>
      </c>
      <c r="C68" s="147" t="s">
        <v>508</v>
      </c>
      <c r="D68" s="143"/>
      <c r="E68" s="142">
        <v>18163000</v>
      </c>
      <c r="F68" s="142">
        <v>11697200</v>
      </c>
    </row>
    <row r="69" spans="1:6" ht="60" customHeight="1">
      <c r="A69" s="143" t="s">
        <v>408</v>
      </c>
      <c r="B69" s="146" t="s">
        <v>509</v>
      </c>
      <c r="C69" s="147" t="s">
        <v>510</v>
      </c>
      <c r="D69" s="143"/>
      <c r="E69" s="142">
        <v>96067652</v>
      </c>
      <c r="F69" s="142">
        <v>47415487</v>
      </c>
    </row>
    <row r="70" spans="1:6" ht="39" customHeight="1">
      <c r="A70" s="143" t="s">
        <v>511</v>
      </c>
      <c r="B70" s="144" t="s">
        <v>512</v>
      </c>
      <c r="C70" s="145" t="s">
        <v>513</v>
      </c>
      <c r="D70" s="143"/>
      <c r="E70" s="142">
        <v>16195546</v>
      </c>
      <c r="F70" s="142">
        <v>19009606</v>
      </c>
    </row>
    <row r="71" spans="1:6" ht="39" customHeight="1">
      <c r="A71" s="143" t="s">
        <v>514</v>
      </c>
      <c r="B71" s="144" t="s">
        <v>515</v>
      </c>
      <c r="C71" s="145" t="s">
        <v>516</v>
      </c>
      <c r="D71" s="143"/>
      <c r="E71" s="142">
        <v>83000000</v>
      </c>
      <c r="F71" s="142">
        <v>83000000</v>
      </c>
    </row>
    <row r="72" spans="1:6" ht="39" customHeight="1">
      <c r="A72" s="143" t="s">
        <v>517</v>
      </c>
      <c r="B72" s="144" t="s">
        <v>518</v>
      </c>
      <c r="C72" s="145" t="s">
        <v>519</v>
      </c>
      <c r="D72" s="143"/>
      <c r="E72" s="142">
        <v>144535646</v>
      </c>
      <c r="F72" s="142">
        <v>130712363</v>
      </c>
    </row>
    <row r="73" spans="1:6" ht="39" customHeight="1">
      <c r="A73" s="143" t="s">
        <v>408</v>
      </c>
      <c r="B73" s="146" t="s">
        <v>397</v>
      </c>
      <c r="C73" s="147" t="s">
        <v>520</v>
      </c>
      <c r="D73" s="143"/>
      <c r="E73" s="142">
        <v>0</v>
      </c>
      <c r="F73" s="142">
        <v>1634366</v>
      </c>
    </row>
    <row r="74" spans="1:6" ht="39" customHeight="1">
      <c r="A74" s="143" t="s">
        <v>408</v>
      </c>
      <c r="B74" s="146" t="s">
        <v>521</v>
      </c>
      <c r="C74" s="147" t="s">
        <v>522</v>
      </c>
      <c r="D74" s="143"/>
      <c r="E74" s="142">
        <v>0</v>
      </c>
      <c r="F74" s="142">
        <v>1634366</v>
      </c>
    </row>
    <row r="75" spans="1:6" ht="39" customHeight="1">
      <c r="A75" s="143" t="s">
        <v>408</v>
      </c>
      <c r="B75" s="146" t="s">
        <v>523</v>
      </c>
      <c r="C75" s="147" t="s">
        <v>524</v>
      </c>
      <c r="D75" s="143"/>
      <c r="E75" s="142">
        <v>0</v>
      </c>
      <c r="F75" s="142">
        <v>0</v>
      </c>
    </row>
    <row r="76" spans="1:6" ht="39" customHeight="1">
      <c r="A76" s="143" t="s">
        <v>408</v>
      </c>
      <c r="B76" s="146" t="s">
        <v>525</v>
      </c>
      <c r="C76" s="147" t="s">
        <v>526</v>
      </c>
      <c r="D76" s="143"/>
      <c r="E76" s="142">
        <v>54083333</v>
      </c>
      <c r="F76" s="142">
        <v>39642077</v>
      </c>
    </row>
    <row r="77" spans="1:6" ht="39" customHeight="1">
      <c r="A77" s="143" t="s">
        <v>408</v>
      </c>
      <c r="B77" s="146" t="s">
        <v>527</v>
      </c>
      <c r="C77" s="147" t="s">
        <v>528</v>
      </c>
      <c r="D77" s="143"/>
      <c r="E77" s="142">
        <v>35386313</v>
      </c>
      <c r="F77" s="142">
        <v>35386313</v>
      </c>
    </row>
    <row r="78" spans="1:6" ht="39" customHeight="1">
      <c r="A78" s="143" t="s">
        <v>408</v>
      </c>
      <c r="B78" s="146" t="s">
        <v>529</v>
      </c>
      <c r="C78" s="147" t="s">
        <v>530</v>
      </c>
      <c r="D78" s="143"/>
      <c r="E78" s="142">
        <v>33066000</v>
      </c>
      <c r="F78" s="142">
        <v>33066000</v>
      </c>
    </row>
    <row r="79" spans="1:6" ht="45.4" customHeight="1">
      <c r="A79" s="143" t="s">
        <v>408</v>
      </c>
      <c r="B79" s="146" t="s">
        <v>531</v>
      </c>
      <c r="C79" s="147" t="s">
        <v>532</v>
      </c>
      <c r="D79" s="143"/>
      <c r="E79" s="142">
        <v>22000000</v>
      </c>
      <c r="F79" s="142">
        <v>20983607</v>
      </c>
    </row>
    <row r="80" spans="1:6" ht="48.4" customHeight="1">
      <c r="A80" s="143" t="s">
        <v>408</v>
      </c>
      <c r="B80" s="146" t="s">
        <v>533</v>
      </c>
      <c r="C80" s="147" t="s">
        <v>534</v>
      </c>
      <c r="D80" s="143"/>
      <c r="E80" s="142">
        <v>0</v>
      </c>
      <c r="F80" s="142">
        <v>0</v>
      </c>
    </row>
    <row r="81" spans="1:6" ht="56.65" customHeight="1">
      <c r="A81" s="143" t="s">
        <v>408</v>
      </c>
      <c r="B81" s="146" t="s">
        <v>535</v>
      </c>
      <c r="C81" s="147" t="s">
        <v>536</v>
      </c>
      <c r="D81" s="143"/>
      <c r="E81" s="142">
        <v>0</v>
      </c>
      <c r="F81" s="142">
        <v>0</v>
      </c>
    </row>
    <row r="82" spans="1:6" ht="39" customHeight="1">
      <c r="A82" s="143" t="s">
        <v>537</v>
      </c>
      <c r="B82" s="144" t="s">
        <v>538</v>
      </c>
      <c r="C82" s="145" t="s">
        <v>539</v>
      </c>
      <c r="D82" s="143"/>
      <c r="E82" s="142">
        <v>2583195900</v>
      </c>
      <c r="F82" s="142">
        <v>97595900</v>
      </c>
    </row>
    <row r="83" spans="1:6" ht="39" customHeight="1">
      <c r="A83" s="143" t="s">
        <v>408</v>
      </c>
      <c r="B83" s="146" t="s">
        <v>395</v>
      </c>
      <c r="C83" s="147" t="s">
        <v>540</v>
      </c>
      <c r="D83" s="143"/>
      <c r="E83" s="142">
        <v>2583195900</v>
      </c>
      <c r="F83" s="142">
        <v>97595900</v>
      </c>
    </row>
    <row r="84" spans="1:6" ht="45" customHeight="1">
      <c r="A84" s="143" t="s">
        <v>408</v>
      </c>
      <c r="B84" s="146" t="s">
        <v>396</v>
      </c>
      <c r="C84" s="147" t="s">
        <v>541</v>
      </c>
      <c r="D84" s="143"/>
      <c r="E84" s="142">
        <v>0</v>
      </c>
      <c r="F84" s="142">
        <v>0</v>
      </c>
    </row>
    <row r="85" spans="1:6" ht="39" customHeight="1">
      <c r="A85" s="143" t="s">
        <v>542</v>
      </c>
      <c r="B85" s="144" t="s">
        <v>543</v>
      </c>
      <c r="C85" s="145" t="s">
        <v>544</v>
      </c>
      <c r="D85" s="143"/>
      <c r="E85" s="142">
        <v>1789310273</v>
      </c>
      <c r="F85" s="142">
        <v>1101885813</v>
      </c>
    </row>
    <row r="86" spans="1:6" ht="39" customHeight="1">
      <c r="A86" s="143" t="s">
        <v>545</v>
      </c>
      <c r="B86" s="144" t="s">
        <v>546</v>
      </c>
      <c r="C86" s="145" t="s">
        <v>547</v>
      </c>
      <c r="D86" s="143"/>
      <c r="E86" s="142">
        <v>824453188</v>
      </c>
      <c r="F86" s="142">
        <v>798940268</v>
      </c>
    </row>
    <row r="87" spans="1:6" ht="39" customHeight="1">
      <c r="A87" s="143" t="s">
        <v>408</v>
      </c>
      <c r="B87" s="146" t="s">
        <v>548</v>
      </c>
      <c r="C87" s="147" t="s">
        <v>549</v>
      </c>
      <c r="D87" s="143"/>
      <c r="E87" s="142">
        <v>750815411</v>
      </c>
      <c r="F87" s="142">
        <v>725239795</v>
      </c>
    </row>
    <row r="88" spans="1:6" ht="39" customHeight="1">
      <c r="A88" s="143" t="s">
        <v>408</v>
      </c>
      <c r="B88" s="146" t="s">
        <v>550</v>
      </c>
      <c r="C88" s="147" t="s">
        <v>551</v>
      </c>
      <c r="D88" s="143"/>
      <c r="E88" s="142">
        <v>24500000</v>
      </c>
      <c r="F88" s="142">
        <v>25000000</v>
      </c>
    </row>
    <row r="89" spans="1:6" ht="39" customHeight="1">
      <c r="A89" s="143" t="s">
        <v>408</v>
      </c>
      <c r="B89" s="146" t="s">
        <v>51</v>
      </c>
      <c r="C89" s="147" t="s">
        <v>552</v>
      </c>
      <c r="D89" s="143"/>
      <c r="E89" s="142">
        <v>22000000</v>
      </c>
      <c r="F89" s="142">
        <v>22000000</v>
      </c>
    </row>
    <row r="90" spans="1:6" ht="39" customHeight="1">
      <c r="A90" s="143" t="s">
        <v>408</v>
      </c>
      <c r="B90" s="146" t="s">
        <v>63</v>
      </c>
      <c r="C90" s="147" t="s">
        <v>553</v>
      </c>
      <c r="D90" s="143"/>
      <c r="E90" s="142">
        <v>2500000</v>
      </c>
      <c r="F90" s="142">
        <v>3000000</v>
      </c>
    </row>
    <row r="91" spans="1:6" ht="57" customHeight="1">
      <c r="A91" s="143" t="s">
        <v>408</v>
      </c>
      <c r="B91" s="146" t="s">
        <v>350</v>
      </c>
      <c r="C91" s="147" t="s">
        <v>554</v>
      </c>
      <c r="D91" s="143"/>
      <c r="E91" s="142">
        <v>0</v>
      </c>
      <c r="F91" s="142">
        <v>0</v>
      </c>
    </row>
    <row r="92" spans="1:6" ht="39" customHeight="1">
      <c r="A92" s="143" t="s">
        <v>408</v>
      </c>
      <c r="B92" s="146" t="s">
        <v>555</v>
      </c>
      <c r="C92" s="147" t="s">
        <v>556</v>
      </c>
      <c r="D92" s="143"/>
      <c r="E92" s="142">
        <v>12837777</v>
      </c>
      <c r="F92" s="142">
        <v>12400473</v>
      </c>
    </row>
    <row r="93" spans="1:6" ht="39" customHeight="1">
      <c r="A93" s="143" t="s">
        <v>408</v>
      </c>
      <c r="B93" s="146" t="s">
        <v>557</v>
      </c>
      <c r="C93" s="147" t="s">
        <v>558</v>
      </c>
      <c r="D93" s="143"/>
      <c r="E93" s="142">
        <v>25300000</v>
      </c>
      <c r="F93" s="142">
        <v>25300000</v>
      </c>
    </row>
    <row r="94" spans="1:6" ht="39" customHeight="1">
      <c r="A94" s="143" t="s">
        <v>408</v>
      </c>
      <c r="B94" s="146" t="s">
        <v>559</v>
      </c>
      <c r="C94" s="147" t="s">
        <v>560</v>
      </c>
      <c r="D94" s="143"/>
      <c r="E94" s="142">
        <v>11000000</v>
      </c>
      <c r="F94" s="142">
        <v>11000000</v>
      </c>
    </row>
    <row r="95" spans="1:6" ht="57.4" customHeight="1">
      <c r="A95" s="143" t="s">
        <v>408</v>
      </c>
      <c r="B95" s="146" t="s">
        <v>561</v>
      </c>
      <c r="C95" s="147" t="s">
        <v>562</v>
      </c>
      <c r="D95" s="143"/>
      <c r="E95" s="142">
        <v>0</v>
      </c>
      <c r="F95" s="142">
        <v>0</v>
      </c>
    </row>
    <row r="96" spans="1:6" ht="47.65" customHeight="1">
      <c r="A96" s="143" t="s">
        <v>408</v>
      </c>
      <c r="B96" s="146" t="s">
        <v>563</v>
      </c>
      <c r="C96" s="147" t="s">
        <v>564</v>
      </c>
      <c r="D96" s="143"/>
      <c r="E96" s="142">
        <v>0</v>
      </c>
      <c r="F96" s="142">
        <v>0</v>
      </c>
    </row>
    <row r="97" spans="1:6" ht="39" customHeight="1">
      <c r="A97" s="143" t="s">
        <v>229</v>
      </c>
      <c r="B97" s="144" t="s">
        <v>565</v>
      </c>
      <c r="C97" s="145" t="s">
        <v>566</v>
      </c>
      <c r="D97" s="143"/>
      <c r="E97" s="142">
        <v>37054239</v>
      </c>
      <c r="F97" s="142">
        <v>37054239</v>
      </c>
    </row>
    <row r="98" spans="1:6" ht="39" customHeight="1">
      <c r="A98" s="143" t="s">
        <v>408</v>
      </c>
      <c r="B98" s="146" t="s">
        <v>399</v>
      </c>
      <c r="C98" s="147" t="s">
        <v>567</v>
      </c>
      <c r="D98" s="143"/>
      <c r="E98" s="142">
        <v>0</v>
      </c>
      <c r="F98" s="142">
        <v>0</v>
      </c>
    </row>
    <row r="99" spans="1:6" ht="45.4" customHeight="1">
      <c r="A99" s="143" t="s">
        <v>408</v>
      </c>
      <c r="B99" s="146" t="s">
        <v>400</v>
      </c>
      <c r="C99" s="147" t="s">
        <v>568</v>
      </c>
      <c r="D99" s="143"/>
      <c r="E99" s="142">
        <v>37054239</v>
      </c>
      <c r="F99" s="142">
        <v>37054239</v>
      </c>
    </row>
    <row r="100" spans="1:6" ht="39" customHeight="1">
      <c r="A100" s="143" t="s">
        <v>408</v>
      </c>
      <c r="B100" s="146" t="s">
        <v>569</v>
      </c>
      <c r="C100" s="147" t="s">
        <v>570</v>
      </c>
      <c r="D100" s="143"/>
      <c r="E100" s="142">
        <v>0</v>
      </c>
      <c r="F100" s="142">
        <v>0</v>
      </c>
    </row>
    <row r="101" spans="1:6" ht="39" customHeight="1">
      <c r="A101" s="143" t="s">
        <v>408</v>
      </c>
      <c r="B101" s="146" t="s">
        <v>571</v>
      </c>
      <c r="C101" s="147" t="s">
        <v>572</v>
      </c>
      <c r="D101" s="143"/>
      <c r="E101" s="142">
        <v>0</v>
      </c>
      <c r="F101" s="142">
        <v>0</v>
      </c>
    </row>
    <row r="102" spans="1:6" ht="39" customHeight="1">
      <c r="A102" s="143" t="s">
        <v>408</v>
      </c>
      <c r="B102" s="146" t="s">
        <v>398</v>
      </c>
      <c r="C102" s="147" t="s">
        <v>573</v>
      </c>
      <c r="D102" s="143"/>
      <c r="E102" s="142">
        <v>0</v>
      </c>
      <c r="F102" s="142">
        <v>0</v>
      </c>
    </row>
    <row r="103" spans="1:6" ht="39" customHeight="1">
      <c r="A103" s="51" t="s">
        <v>408</v>
      </c>
      <c r="B103" s="141" t="s">
        <v>574</v>
      </c>
      <c r="C103" s="45" t="s">
        <v>575</v>
      </c>
      <c r="D103" s="70"/>
      <c r="E103" s="70">
        <v>5591975444</v>
      </c>
      <c r="F103" s="70">
        <v>2327310876</v>
      </c>
    </row>
    <row r="104" spans="1:6" ht="59.65" customHeight="1">
      <c r="A104" s="51" t="s">
        <v>54</v>
      </c>
      <c r="B104" s="141" t="s">
        <v>576</v>
      </c>
      <c r="C104" s="45" t="s">
        <v>577</v>
      </c>
      <c r="D104" s="70"/>
      <c r="E104" s="70">
        <v>447769125515</v>
      </c>
      <c r="F104" s="70">
        <v>454514205833</v>
      </c>
    </row>
    <row r="105" spans="1:6" ht="39" customHeight="1">
      <c r="A105" s="143" t="s">
        <v>402</v>
      </c>
      <c r="B105" s="144" t="s">
        <v>578</v>
      </c>
      <c r="C105" s="145" t="s">
        <v>579</v>
      </c>
      <c r="D105" s="143"/>
      <c r="E105" s="142">
        <v>261106160100</v>
      </c>
      <c r="F105" s="142">
        <v>267728893200</v>
      </c>
    </row>
    <row r="106" spans="1:6" ht="39" customHeight="1">
      <c r="A106" s="143" t="s">
        <v>405</v>
      </c>
      <c r="B106" s="144" t="s">
        <v>580</v>
      </c>
      <c r="C106" s="145" t="s">
        <v>581</v>
      </c>
      <c r="D106" s="143"/>
      <c r="E106" s="142">
        <v>2640542610700</v>
      </c>
      <c r="F106" s="142">
        <v>2637849889300</v>
      </c>
    </row>
    <row r="107" spans="1:6" ht="39" customHeight="1">
      <c r="A107" s="143" t="s">
        <v>416</v>
      </c>
      <c r="B107" s="144" t="s">
        <v>582</v>
      </c>
      <c r="C107" s="145" t="s">
        <v>583</v>
      </c>
      <c r="D107" s="143"/>
      <c r="E107" s="142">
        <v>-2379436450600</v>
      </c>
      <c r="F107" s="142">
        <v>-2370120996100</v>
      </c>
    </row>
    <row r="108" spans="1:6" ht="39" customHeight="1">
      <c r="A108" s="143" t="s">
        <v>419</v>
      </c>
      <c r="B108" s="144" t="s">
        <v>584</v>
      </c>
      <c r="C108" s="145" t="s">
        <v>585</v>
      </c>
      <c r="D108" s="143"/>
      <c r="E108" s="142">
        <v>203384524776</v>
      </c>
      <c r="F108" s="142">
        <v>208225501848</v>
      </c>
    </row>
    <row r="109" spans="1:6" ht="39" customHeight="1">
      <c r="A109" s="143" t="s">
        <v>444</v>
      </c>
      <c r="B109" s="144" t="s">
        <v>586</v>
      </c>
      <c r="C109" s="145" t="s">
        <v>587</v>
      </c>
      <c r="D109" s="143"/>
      <c r="E109" s="142">
        <v>-16721559361</v>
      </c>
      <c r="F109" s="142">
        <v>-21440189215</v>
      </c>
    </row>
    <row r="110" spans="1:6" ht="39" customHeight="1">
      <c r="A110" s="143" t="s">
        <v>447</v>
      </c>
      <c r="B110" s="144" t="s">
        <v>588</v>
      </c>
      <c r="C110" s="145" t="s">
        <v>589</v>
      </c>
      <c r="D110" s="143"/>
      <c r="E110" s="142">
        <v>-21440189215</v>
      </c>
      <c r="F110" s="142">
        <v>-38542457359</v>
      </c>
    </row>
    <row r="111" spans="1:6" ht="39" customHeight="1">
      <c r="A111" s="143" t="s">
        <v>452</v>
      </c>
      <c r="B111" s="144" t="s">
        <v>590</v>
      </c>
      <c r="C111" s="145" t="s">
        <v>591</v>
      </c>
      <c r="D111" s="143"/>
      <c r="E111" s="142">
        <v>4718629854</v>
      </c>
      <c r="F111" s="142">
        <v>17102268144</v>
      </c>
    </row>
    <row r="112" spans="1:6" ht="47.65" customHeight="1">
      <c r="A112" s="51" t="s">
        <v>55</v>
      </c>
      <c r="B112" s="141" t="s">
        <v>592</v>
      </c>
      <c r="C112" s="45" t="s">
        <v>593</v>
      </c>
      <c r="D112" s="70"/>
      <c r="E112" s="153">
        <v>17148.919999999998</v>
      </c>
      <c r="F112" s="153">
        <v>16976.650000000001</v>
      </c>
    </row>
    <row r="113" spans="1:7" ht="45.4" customHeight="1">
      <c r="A113" s="51" t="s">
        <v>56</v>
      </c>
      <c r="B113" s="141" t="s">
        <v>594</v>
      </c>
      <c r="C113" s="45" t="s">
        <v>595</v>
      </c>
      <c r="D113" s="70"/>
      <c r="E113" s="70">
        <v>0</v>
      </c>
      <c r="F113" s="70">
        <v>0</v>
      </c>
    </row>
    <row r="114" spans="1:7" ht="54" customHeight="1">
      <c r="A114" s="143" t="s">
        <v>402</v>
      </c>
      <c r="B114" s="144" t="s">
        <v>596</v>
      </c>
      <c r="C114" s="145" t="s">
        <v>597</v>
      </c>
      <c r="D114" s="143"/>
      <c r="E114" s="142">
        <v>0</v>
      </c>
      <c r="F114" s="142">
        <v>0</v>
      </c>
    </row>
    <row r="115" spans="1:7" ht="51.65" customHeight="1">
      <c r="A115" s="143" t="s">
        <v>419</v>
      </c>
      <c r="B115" s="144" t="s">
        <v>598</v>
      </c>
      <c r="C115" s="145" t="s">
        <v>599</v>
      </c>
      <c r="D115" s="143"/>
      <c r="E115" s="142">
        <v>0</v>
      </c>
      <c r="F115" s="142">
        <v>0</v>
      </c>
    </row>
    <row r="116" spans="1:7" ht="46.5" customHeight="1">
      <c r="A116" s="51" t="s">
        <v>57</v>
      </c>
      <c r="B116" s="141" t="s">
        <v>600</v>
      </c>
      <c r="C116" s="45" t="s">
        <v>57</v>
      </c>
      <c r="D116" s="70"/>
      <c r="E116" s="70"/>
      <c r="F116" s="70"/>
    </row>
    <row r="117" spans="1:7" ht="39" customHeight="1">
      <c r="A117" s="143" t="s">
        <v>402</v>
      </c>
      <c r="B117" s="144" t="s">
        <v>601</v>
      </c>
      <c r="C117" s="145" t="s">
        <v>602</v>
      </c>
      <c r="D117" s="143"/>
      <c r="E117" s="142">
        <v>0</v>
      </c>
      <c r="F117" s="142">
        <v>0</v>
      </c>
    </row>
    <row r="118" spans="1:7" ht="39" customHeight="1">
      <c r="A118" s="143" t="s">
        <v>419</v>
      </c>
      <c r="B118" s="144" t="s">
        <v>603</v>
      </c>
      <c r="C118" s="145" t="s">
        <v>604</v>
      </c>
      <c r="D118" s="143"/>
      <c r="E118" s="142">
        <v>0</v>
      </c>
      <c r="F118" s="142">
        <v>0</v>
      </c>
    </row>
    <row r="119" spans="1:7" ht="39" customHeight="1">
      <c r="A119" s="143" t="s">
        <v>444</v>
      </c>
      <c r="B119" s="144" t="s">
        <v>605</v>
      </c>
      <c r="C119" s="145" t="s">
        <v>606</v>
      </c>
      <c r="D119" s="143"/>
      <c r="E119" s="142">
        <v>0</v>
      </c>
      <c r="F119" s="142">
        <v>0</v>
      </c>
    </row>
    <row r="120" spans="1:7" ht="39" customHeight="1">
      <c r="A120" s="150" t="s">
        <v>511</v>
      </c>
      <c r="B120" s="151" t="s">
        <v>607</v>
      </c>
      <c r="C120" s="145" t="s">
        <v>608</v>
      </c>
      <c r="D120" s="150"/>
      <c r="E120" s="152">
        <v>26110616.010000002</v>
      </c>
      <c r="F120" s="152">
        <v>26772889.32</v>
      </c>
    </row>
    <row r="121" spans="1:7" s="107" customFormat="1" ht="13">
      <c r="A121" s="49"/>
      <c r="B121" s="49"/>
      <c r="C121" s="49"/>
      <c r="D121" s="49"/>
      <c r="E121" s="49"/>
      <c r="F121" s="49"/>
      <c r="G121" s="36"/>
    </row>
    <row r="123" spans="1:7" ht="16.899999999999999" customHeight="1">
      <c r="A123" s="252" t="s">
        <v>298</v>
      </c>
      <c r="B123" s="252"/>
      <c r="C123" s="252" t="s">
        <v>299</v>
      </c>
      <c r="D123" s="252"/>
      <c r="E123" s="252"/>
      <c r="F123" s="252"/>
    </row>
    <row r="136" spans="1:6">
      <c r="A136" s="244" t="s">
        <v>634</v>
      </c>
      <c r="B136" s="244"/>
      <c r="C136" s="244" t="s">
        <v>635</v>
      </c>
      <c r="D136" s="244"/>
      <c r="E136" s="244"/>
      <c r="F136" s="49" t="s">
        <v>636</v>
      </c>
    </row>
    <row r="137" spans="1:6" ht="16.899999999999999" customHeight="1">
      <c r="A137" s="243" t="s">
        <v>1118</v>
      </c>
      <c r="B137" s="243"/>
      <c r="C137" s="243" t="s">
        <v>1119</v>
      </c>
      <c r="D137" s="243"/>
      <c r="E137" s="243"/>
      <c r="F137" s="200" t="s">
        <v>1110</v>
      </c>
    </row>
    <row r="138" spans="1:6" ht="16.899999999999999" customHeight="1">
      <c r="A138" s="244" t="s">
        <v>1120</v>
      </c>
      <c r="B138" s="244"/>
      <c r="C138" s="244" t="s">
        <v>1121</v>
      </c>
      <c r="D138" s="244"/>
      <c r="E138" s="244"/>
      <c r="F138" s="155" t="s">
        <v>653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159" zoomScale="98" zoomScaleNormal="100" zoomScaleSheetLayoutView="98" workbookViewId="0">
      <selection activeCell="A174" sqref="A174"/>
    </sheetView>
  </sheetViews>
  <sheetFormatPr defaultColWidth="8.7265625" defaultRowHeight="12.5"/>
  <cols>
    <col min="1" max="1" width="8.7265625" style="38"/>
    <col min="2" max="2" width="44.26953125" style="38" customWidth="1"/>
    <col min="3" max="3" width="10.26953125" style="38" customWidth="1"/>
    <col min="4" max="4" width="23.26953125" style="38" customWidth="1"/>
    <col min="5" max="5" width="26.1796875" style="38" customWidth="1"/>
    <col min="6" max="6" width="22.7265625" style="38" customWidth="1"/>
    <col min="7" max="14" width="8.7265625" style="38" hidden="1" customWidth="1"/>
    <col min="15" max="16384" width="8.7265625" style="38"/>
  </cols>
  <sheetData>
    <row r="1" spans="1:7" s="39" customFormat="1" ht="22.9" customHeight="1">
      <c r="A1" s="259" t="s">
        <v>637</v>
      </c>
      <c r="B1" s="259"/>
      <c r="C1" s="259"/>
      <c r="D1" s="259"/>
      <c r="E1" s="259"/>
      <c r="F1" s="259"/>
    </row>
    <row r="2" spans="1:7" s="39" customFormat="1" ht="50.5" customHeight="1">
      <c r="A2" s="260" t="s">
        <v>638</v>
      </c>
      <c r="B2" s="260"/>
      <c r="C2" s="260"/>
      <c r="D2" s="260"/>
      <c r="E2" s="260"/>
      <c r="F2" s="260"/>
    </row>
    <row r="3" spans="1:7" s="39" customFormat="1">
      <c r="A3" s="261" t="s">
        <v>639</v>
      </c>
      <c r="B3" s="261"/>
      <c r="C3" s="261"/>
      <c r="D3" s="261"/>
      <c r="E3" s="261"/>
      <c r="F3" s="261"/>
    </row>
    <row r="4" spans="1:7" s="39" customFormat="1" ht="32.65" customHeight="1">
      <c r="A4" s="261"/>
      <c r="B4" s="261"/>
      <c r="C4" s="261"/>
      <c r="D4" s="261"/>
      <c r="E4" s="261"/>
      <c r="F4" s="261"/>
    </row>
    <row r="5" spans="1:7" s="39" customFormat="1" ht="16.899999999999999" customHeight="1">
      <c r="A5" s="262" t="str">
        <f>TONGQUAN!C1</f>
        <v>Tại ngày 31 tháng 10 năm 2020
/ As at 31 Oct 2020</v>
      </c>
      <c r="B5" s="262"/>
      <c r="C5" s="262"/>
      <c r="D5" s="262"/>
      <c r="E5" s="262"/>
      <c r="F5" s="262"/>
    </row>
    <row r="6" spans="1:7">
      <c r="A6" s="49"/>
      <c r="B6" s="49"/>
      <c r="C6" s="49"/>
      <c r="D6" s="49"/>
      <c r="E6" s="49"/>
      <c r="F6" s="49"/>
    </row>
    <row r="7" spans="1:7" ht="16.899999999999999" customHeight="1">
      <c r="A7" s="253" t="s">
        <v>2</v>
      </c>
      <c r="B7" s="253"/>
      <c r="C7" s="253" t="str">
        <f>TONGQUAN!D5</f>
        <v>Công ty Cổ phần Quản lý Quỹ Đầu tư Việt Nam</v>
      </c>
      <c r="D7" s="253"/>
      <c r="E7" s="253"/>
      <c r="F7" s="253"/>
    </row>
    <row r="8" spans="1:7" s="39" customFormat="1" ht="16.899999999999999" customHeight="1">
      <c r="A8" s="263" t="s">
        <v>41</v>
      </c>
      <c r="B8" s="263"/>
      <c r="C8" s="263" t="str">
        <f>TONGQUAN!D6</f>
        <v>Vietnam Investment Fund Management Joint Stock Company</v>
      </c>
      <c r="D8" s="263"/>
      <c r="E8" s="263"/>
      <c r="F8" s="263"/>
    </row>
    <row r="9" spans="1:7" ht="16.899999999999999" customHeight="1">
      <c r="A9" s="253" t="s">
        <v>3</v>
      </c>
      <c r="B9" s="253"/>
      <c r="C9" s="253" t="str">
        <f>TONGQUAN!D7</f>
        <v>Ngân hàng TNHH Một thành viên Standard Chartered (Việt Nam)</v>
      </c>
      <c r="D9" s="253"/>
      <c r="E9" s="253"/>
      <c r="F9" s="253"/>
    </row>
    <row r="10" spans="1:7" s="39" customFormat="1" ht="16.899999999999999" customHeight="1">
      <c r="A10" s="263" t="s">
        <v>4</v>
      </c>
      <c r="B10" s="263"/>
      <c r="C10" s="263" t="str">
        <f>TONGQUAN!D8</f>
        <v>Standard Chartered Bank (Vietnam) Limited</v>
      </c>
      <c r="D10" s="263"/>
      <c r="E10" s="263"/>
      <c r="F10" s="263"/>
    </row>
    <row r="11" spans="1:7" ht="16.899999999999999" customHeight="1">
      <c r="A11" s="253" t="s">
        <v>5</v>
      </c>
      <c r="B11" s="253"/>
      <c r="C11" s="253" t="str">
        <f>TONGQUAN!D9</f>
        <v>Quỹ Đầu tư Doanh nghiệp hàng đầu Việt Nam</v>
      </c>
      <c r="D11" s="253"/>
      <c r="E11" s="253"/>
      <c r="F11" s="253"/>
    </row>
    <row r="12" spans="1:7" s="39" customFormat="1" ht="16.899999999999999" customHeight="1">
      <c r="A12" s="263" t="s">
        <v>6</v>
      </c>
      <c r="B12" s="263"/>
      <c r="C12" s="263" t="str">
        <f>TONGQUAN!D10</f>
        <v>Vietnam Blue Chip Fund(VFMVF4)</v>
      </c>
      <c r="D12" s="263"/>
      <c r="E12" s="263"/>
      <c r="F12" s="263"/>
    </row>
    <row r="13" spans="1:7" ht="16.899999999999999" customHeight="1">
      <c r="A13" s="253" t="s">
        <v>7</v>
      </c>
      <c r="B13" s="253"/>
      <c r="C13" s="253" t="str">
        <f>TONGQUAN!D11</f>
        <v>Ngày 02 tháng 11 năm 2020</v>
      </c>
      <c r="D13" s="253"/>
      <c r="E13" s="253"/>
      <c r="F13" s="253"/>
    </row>
    <row r="14" spans="1:7" s="39" customFormat="1" ht="16.899999999999999" customHeight="1">
      <c r="A14" s="263" t="s">
        <v>8</v>
      </c>
      <c r="B14" s="263"/>
      <c r="C14" s="263" t="str">
        <f>TONGQUAN!D12</f>
        <v>02 Nov 2020</v>
      </c>
      <c r="D14" s="263"/>
      <c r="E14" s="263"/>
      <c r="F14" s="263"/>
    </row>
    <row r="15" spans="1:7" s="39" customFormat="1" ht="7.5" customHeight="1">
      <c r="A15" s="48"/>
      <c r="B15" s="48"/>
      <c r="C15" s="48"/>
      <c r="D15" s="48"/>
      <c r="E15" s="48"/>
      <c r="F15" s="48"/>
    </row>
    <row r="16" spans="1:7" s="39" customFormat="1" ht="16.899999999999999" customHeight="1">
      <c r="A16" s="222" t="s">
        <v>1136</v>
      </c>
      <c r="B16" s="223" t="s">
        <v>1137</v>
      </c>
      <c r="C16" s="224"/>
      <c r="D16" s="224"/>
      <c r="E16" s="224"/>
      <c r="F16" s="224"/>
      <c r="G16" s="224"/>
    </row>
    <row r="17" spans="1:6" s="39" customFormat="1" ht="16.899999999999999" customHeight="1">
      <c r="A17" s="225" t="s">
        <v>42</v>
      </c>
      <c r="B17" s="226" t="s">
        <v>640</v>
      </c>
      <c r="C17" s="48"/>
      <c r="D17" s="48"/>
      <c r="E17" s="48"/>
      <c r="F17" s="48"/>
    </row>
    <row r="18" spans="1:6" s="39" customFormat="1" ht="50.65" customHeight="1">
      <c r="A18" s="47" t="s">
        <v>43</v>
      </c>
      <c r="B18" s="45" t="s">
        <v>44</v>
      </c>
      <c r="C18" s="47" t="s">
        <v>45</v>
      </c>
      <c r="D18" s="46" t="s">
        <v>1112</v>
      </c>
      <c r="E18" s="46" t="s">
        <v>1113</v>
      </c>
      <c r="F18" s="156" t="s">
        <v>46</v>
      </c>
    </row>
    <row r="19" spans="1:6" ht="39" customHeight="1">
      <c r="A19" s="209" t="s">
        <v>655</v>
      </c>
      <c r="B19" s="208" t="s">
        <v>656</v>
      </c>
      <c r="C19" s="209" t="s">
        <v>657</v>
      </c>
      <c r="D19" s="211"/>
      <c r="E19" s="211"/>
      <c r="F19" s="210"/>
    </row>
    <row r="20" spans="1:6" ht="39" customHeight="1">
      <c r="A20" s="204" t="s">
        <v>658</v>
      </c>
      <c r="B20" s="203" t="s">
        <v>659</v>
      </c>
      <c r="C20" s="204" t="s">
        <v>660</v>
      </c>
      <c r="D20" s="207">
        <v>9082304459</v>
      </c>
      <c r="E20" s="207">
        <v>7475064261</v>
      </c>
      <c r="F20" s="206">
        <v>0.22134607427015901</v>
      </c>
    </row>
    <row r="21" spans="1:6" ht="39" customHeight="1">
      <c r="A21" s="204" t="s">
        <v>661</v>
      </c>
      <c r="B21" s="203" t="s">
        <v>662</v>
      </c>
      <c r="C21" s="204" t="s">
        <v>663</v>
      </c>
      <c r="D21" s="207">
        <v>0</v>
      </c>
      <c r="E21" s="207">
        <v>0</v>
      </c>
      <c r="F21" s="206"/>
    </row>
    <row r="22" spans="1:6" ht="39" customHeight="1">
      <c r="A22" s="204" t="s">
        <v>664</v>
      </c>
      <c r="B22" s="203" t="s">
        <v>665</v>
      </c>
      <c r="C22" s="204" t="s">
        <v>666</v>
      </c>
      <c r="D22" s="207">
        <v>9082304459</v>
      </c>
      <c r="E22" s="207">
        <v>2475064261</v>
      </c>
      <c r="F22" s="206">
        <v>0.431829657995419</v>
      </c>
    </row>
    <row r="23" spans="1:6" ht="48" customHeight="1">
      <c r="A23" s="204" t="s">
        <v>667</v>
      </c>
      <c r="B23" s="203" t="s">
        <v>668</v>
      </c>
      <c r="C23" s="204" t="s">
        <v>669</v>
      </c>
      <c r="D23" s="207">
        <v>0</v>
      </c>
      <c r="E23" s="207">
        <v>0</v>
      </c>
      <c r="F23" s="206">
        <v>0</v>
      </c>
    </row>
    <row r="24" spans="1:6" ht="45" customHeight="1">
      <c r="A24" s="204" t="s">
        <v>670</v>
      </c>
      <c r="B24" s="203" t="s">
        <v>671</v>
      </c>
      <c r="C24" s="204" t="s">
        <v>672</v>
      </c>
      <c r="D24" s="207">
        <v>14789498</v>
      </c>
      <c r="E24" s="207">
        <v>14789498</v>
      </c>
      <c r="F24" s="206">
        <v>2.7360875832841002E-3</v>
      </c>
    </row>
    <row r="25" spans="1:6" ht="42" customHeight="1">
      <c r="A25" s="204" t="s">
        <v>673</v>
      </c>
      <c r="B25" s="203" t="s">
        <v>674</v>
      </c>
      <c r="C25" s="204" t="s">
        <v>675</v>
      </c>
      <c r="D25" s="207">
        <v>9067514961</v>
      </c>
      <c r="E25" s="207">
        <v>2460274763</v>
      </c>
      <c r="F25" s="206">
        <v>0.58215401194052596</v>
      </c>
    </row>
    <row r="26" spans="1:6" ht="48" customHeight="1">
      <c r="A26" s="204" t="s">
        <v>676</v>
      </c>
      <c r="B26" s="203" t="s">
        <v>677</v>
      </c>
      <c r="C26" s="204" t="s">
        <v>678</v>
      </c>
      <c r="D26" s="207">
        <v>0</v>
      </c>
      <c r="E26" s="207">
        <v>0</v>
      </c>
      <c r="F26" s="206"/>
    </row>
    <row r="27" spans="1:6" ht="39" customHeight="1">
      <c r="A27" s="204" t="s">
        <v>679</v>
      </c>
      <c r="B27" s="203" t="s">
        <v>680</v>
      </c>
      <c r="C27" s="204" t="s">
        <v>681</v>
      </c>
      <c r="D27" s="207">
        <v>0</v>
      </c>
      <c r="E27" s="207">
        <v>5000000000</v>
      </c>
      <c r="F27" s="206">
        <v>0</v>
      </c>
    </row>
    <row r="28" spans="1:6" ht="39" customHeight="1">
      <c r="A28" s="204" t="s">
        <v>682</v>
      </c>
      <c r="B28" s="203" t="s">
        <v>683</v>
      </c>
      <c r="C28" s="204" t="s">
        <v>684</v>
      </c>
      <c r="D28" s="207">
        <v>444278791500</v>
      </c>
      <c r="E28" s="207">
        <v>447130354900</v>
      </c>
      <c r="F28" s="206">
        <v>0.67983396979483202</v>
      </c>
    </row>
    <row r="29" spans="1:6" ht="39" customHeight="1">
      <c r="A29" s="204" t="s">
        <v>685</v>
      </c>
      <c r="B29" s="203" t="s">
        <v>686</v>
      </c>
      <c r="C29" s="204" t="s">
        <v>687</v>
      </c>
      <c r="D29" s="207">
        <v>444278791500</v>
      </c>
      <c r="E29" s="207">
        <v>447130354900</v>
      </c>
      <c r="F29" s="206">
        <v>0.67983396979483202</v>
      </c>
    </row>
    <row r="30" spans="1:6" ht="39" customHeight="1">
      <c r="A30" s="204" t="s">
        <v>688</v>
      </c>
      <c r="B30" s="203" t="s">
        <v>689</v>
      </c>
      <c r="C30" s="204" t="s">
        <v>690</v>
      </c>
      <c r="D30" s="207">
        <v>0</v>
      </c>
      <c r="E30" s="207">
        <v>0</v>
      </c>
      <c r="F30" s="206"/>
    </row>
    <row r="31" spans="1:6" ht="39" customHeight="1">
      <c r="A31" s="204" t="s">
        <v>691</v>
      </c>
      <c r="B31" s="203" t="s">
        <v>692</v>
      </c>
      <c r="C31" s="204" t="s">
        <v>693</v>
      </c>
      <c r="D31" s="207">
        <v>0</v>
      </c>
      <c r="E31" s="207">
        <v>0</v>
      </c>
      <c r="F31" s="206"/>
    </row>
    <row r="32" spans="1:6" ht="39" customHeight="1">
      <c r="A32" s="204" t="s">
        <v>694</v>
      </c>
      <c r="B32" s="203" t="s">
        <v>695</v>
      </c>
      <c r="C32" s="204" t="s">
        <v>696</v>
      </c>
      <c r="D32" s="207">
        <v>0</v>
      </c>
      <c r="E32" s="207">
        <v>0</v>
      </c>
      <c r="F32" s="206"/>
    </row>
    <row r="33" spans="1:6" ht="39" customHeight="1">
      <c r="A33" s="204" t="s">
        <v>697</v>
      </c>
      <c r="B33" s="203" t="s">
        <v>698</v>
      </c>
      <c r="C33" s="204" t="s">
        <v>699</v>
      </c>
      <c r="D33" s="207">
        <v>0</v>
      </c>
      <c r="E33" s="207">
        <v>0</v>
      </c>
      <c r="F33" s="206"/>
    </row>
    <row r="34" spans="1:6" ht="39" customHeight="1">
      <c r="A34" s="204" t="s">
        <v>700</v>
      </c>
      <c r="B34" s="203" t="s">
        <v>701</v>
      </c>
      <c r="C34" s="204" t="s">
        <v>702</v>
      </c>
      <c r="D34" s="207">
        <v>0</v>
      </c>
      <c r="E34" s="207">
        <v>0</v>
      </c>
      <c r="F34" s="206"/>
    </row>
    <row r="35" spans="1:6" ht="39" customHeight="1">
      <c r="A35" s="204" t="s">
        <v>703</v>
      </c>
      <c r="B35" s="203" t="s">
        <v>704</v>
      </c>
      <c r="C35" s="204" t="s">
        <v>705</v>
      </c>
      <c r="D35" s="207">
        <v>0</v>
      </c>
      <c r="E35" s="207">
        <v>0</v>
      </c>
      <c r="F35" s="206"/>
    </row>
    <row r="36" spans="1:6" ht="39" customHeight="1">
      <c r="A36" s="204" t="s">
        <v>706</v>
      </c>
      <c r="B36" s="203" t="s">
        <v>707</v>
      </c>
      <c r="C36" s="204" t="s">
        <v>708</v>
      </c>
      <c r="D36" s="207">
        <v>0</v>
      </c>
      <c r="E36" s="207">
        <v>0</v>
      </c>
      <c r="F36" s="206"/>
    </row>
    <row r="37" spans="1:6" ht="39" customHeight="1">
      <c r="A37" s="204" t="s">
        <v>709</v>
      </c>
      <c r="B37" s="203" t="s">
        <v>710</v>
      </c>
      <c r="C37" s="204" t="s">
        <v>711</v>
      </c>
      <c r="D37" s="207">
        <v>0</v>
      </c>
      <c r="E37" s="207">
        <v>0</v>
      </c>
      <c r="F37" s="206"/>
    </row>
    <row r="38" spans="1:6" ht="39" customHeight="1">
      <c r="A38" s="204" t="s">
        <v>712</v>
      </c>
      <c r="B38" s="203" t="s">
        <v>713</v>
      </c>
      <c r="C38" s="204" t="s">
        <v>714</v>
      </c>
      <c r="D38" s="207">
        <v>5000</v>
      </c>
      <c r="E38" s="207">
        <v>1140000000</v>
      </c>
      <c r="F38" s="206">
        <v>2.0000000000000002E-5</v>
      </c>
    </row>
    <row r="39" spans="1:6" ht="39" customHeight="1">
      <c r="A39" s="204" t="s">
        <v>715</v>
      </c>
      <c r="B39" s="203" t="s">
        <v>716</v>
      </c>
      <c r="C39" s="204" t="s">
        <v>717</v>
      </c>
      <c r="D39" s="207">
        <v>5000</v>
      </c>
      <c r="E39" s="207">
        <v>1140000000</v>
      </c>
      <c r="F39" s="206">
        <v>2.0000000000000002E-5</v>
      </c>
    </row>
    <row r="40" spans="1:6" ht="39" customHeight="1">
      <c r="A40" s="204" t="s">
        <v>718</v>
      </c>
      <c r="B40" s="203" t="s">
        <v>719</v>
      </c>
      <c r="C40" s="204" t="s">
        <v>720</v>
      </c>
      <c r="D40" s="207">
        <v>0</v>
      </c>
      <c r="E40" s="207">
        <v>0</v>
      </c>
      <c r="F40" s="206"/>
    </row>
    <row r="41" spans="1:6" ht="39" customHeight="1">
      <c r="A41" s="204" t="s">
        <v>721</v>
      </c>
      <c r="B41" s="203" t="s">
        <v>722</v>
      </c>
      <c r="C41" s="204" t="s">
        <v>723</v>
      </c>
      <c r="D41" s="207">
        <v>0</v>
      </c>
      <c r="E41" s="207">
        <v>6520548</v>
      </c>
      <c r="F41" s="206">
        <v>0</v>
      </c>
    </row>
    <row r="42" spans="1:6" ht="39" customHeight="1">
      <c r="A42" s="204" t="s">
        <v>724</v>
      </c>
      <c r="B42" s="203" t="s">
        <v>725</v>
      </c>
      <c r="C42" s="204" t="s">
        <v>726</v>
      </c>
      <c r="D42" s="207">
        <v>0</v>
      </c>
      <c r="E42" s="207">
        <v>6520548</v>
      </c>
      <c r="F42" s="206">
        <v>0</v>
      </c>
    </row>
    <row r="43" spans="1:6" ht="39" customHeight="1">
      <c r="A43" s="204" t="s">
        <v>727</v>
      </c>
      <c r="B43" s="203" t="s">
        <v>728</v>
      </c>
      <c r="C43" s="204" t="s">
        <v>729</v>
      </c>
      <c r="D43" s="207">
        <v>0</v>
      </c>
      <c r="E43" s="207">
        <v>0</v>
      </c>
      <c r="F43" s="206"/>
    </row>
    <row r="44" spans="1:6" ht="39" customHeight="1">
      <c r="A44" s="204" t="s">
        <v>730</v>
      </c>
      <c r="B44" s="203" t="s">
        <v>731</v>
      </c>
      <c r="C44" s="204" t="s">
        <v>732</v>
      </c>
      <c r="D44" s="207">
        <v>0</v>
      </c>
      <c r="E44" s="207">
        <v>0</v>
      </c>
      <c r="F44" s="206"/>
    </row>
    <row r="45" spans="1:6" ht="39" customHeight="1">
      <c r="A45" s="204" t="s">
        <v>733</v>
      </c>
      <c r="B45" s="203" t="s">
        <v>734</v>
      </c>
      <c r="C45" s="204" t="s">
        <v>735</v>
      </c>
      <c r="D45" s="207">
        <v>0</v>
      </c>
      <c r="E45" s="207">
        <v>1089577000</v>
      </c>
      <c r="F45" s="206">
        <v>0</v>
      </c>
    </row>
    <row r="46" spans="1:6" ht="39" customHeight="1">
      <c r="A46" s="204" t="s">
        <v>736</v>
      </c>
      <c r="B46" s="203" t="s">
        <v>737</v>
      </c>
      <c r="C46" s="204" t="s">
        <v>738</v>
      </c>
      <c r="D46" s="207">
        <v>0</v>
      </c>
      <c r="E46" s="207">
        <v>0</v>
      </c>
      <c r="F46" s="206"/>
    </row>
    <row r="47" spans="1:6" ht="39" customHeight="1">
      <c r="A47" s="204" t="s">
        <v>739</v>
      </c>
      <c r="B47" s="203" t="s">
        <v>740</v>
      </c>
      <c r="C47" s="204" t="s">
        <v>741</v>
      </c>
      <c r="D47" s="207">
        <v>0</v>
      </c>
      <c r="E47" s="207">
        <v>0</v>
      </c>
      <c r="F47" s="206"/>
    </row>
    <row r="48" spans="1:6" ht="39" customHeight="1">
      <c r="A48" s="204" t="s">
        <v>742</v>
      </c>
      <c r="B48" s="203" t="s">
        <v>743</v>
      </c>
      <c r="C48" s="204" t="s">
        <v>744</v>
      </c>
      <c r="D48" s="207">
        <v>0</v>
      </c>
      <c r="E48" s="207">
        <v>0</v>
      </c>
      <c r="F48" s="206"/>
    </row>
    <row r="49" spans="1:6" ht="39" customHeight="1">
      <c r="A49" s="204" t="s">
        <v>745</v>
      </c>
      <c r="B49" s="203" t="s">
        <v>746</v>
      </c>
      <c r="C49" s="204" t="s">
        <v>747</v>
      </c>
      <c r="D49" s="207">
        <v>0</v>
      </c>
      <c r="E49" s="207">
        <v>0</v>
      </c>
      <c r="F49" s="206"/>
    </row>
    <row r="50" spans="1:6" ht="39" customHeight="1">
      <c r="A50" s="204" t="s">
        <v>748</v>
      </c>
      <c r="B50" s="203" t="s">
        <v>749</v>
      </c>
      <c r="C50" s="204" t="s">
        <v>750</v>
      </c>
      <c r="D50" s="207">
        <v>0</v>
      </c>
      <c r="E50" s="207">
        <v>0</v>
      </c>
      <c r="F50" s="206"/>
    </row>
    <row r="51" spans="1:6" ht="39" customHeight="1">
      <c r="A51" s="209" t="s">
        <v>751</v>
      </c>
      <c r="B51" s="208" t="s">
        <v>752</v>
      </c>
      <c r="C51" s="209" t="s">
        <v>753</v>
      </c>
      <c r="D51" s="211">
        <v>453361100959</v>
      </c>
      <c r="E51" s="211">
        <v>456841516709</v>
      </c>
      <c r="F51" s="210">
        <v>0.65164251238715198</v>
      </c>
    </row>
    <row r="52" spans="1:6" ht="39" customHeight="1">
      <c r="A52" s="209" t="s">
        <v>754</v>
      </c>
      <c r="B52" s="208" t="s">
        <v>755</v>
      </c>
      <c r="C52" s="209" t="s">
        <v>756</v>
      </c>
      <c r="D52" s="211"/>
      <c r="E52" s="211"/>
      <c r="F52" s="210"/>
    </row>
    <row r="53" spans="1:6" ht="39" customHeight="1">
      <c r="A53" s="204" t="s">
        <v>757</v>
      </c>
      <c r="B53" s="203" t="s">
        <v>758</v>
      </c>
      <c r="C53" s="204" t="s">
        <v>759</v>
      </c>
      <c r="D53" s="207">
        <v>0</v>
      </c>
      <c r="E53" s="207">
        <v>0</v>
      </c>
      <c r="F53" s="206"/>
    </row>
    <row r="54" spans="1:6" ht="39" customHeight="1">
      <c r="A54" s="204" t="s">
        <v>760</v>
      </c>
      <c r="B54" s="203" t="s">
        <v>761</v>
      </c>
      <c r="C54" s="204" t="s">
        <v>762</v>
      </c>
      <c r="D54" s="207">
        <v>5591975444</v>
      </c>
      <c r="E54" s="207">
        <v>2327310876</v>
      </c>
      <c r="F54" s="206">
        <v>0.38369092542766597</v>
      </c>
    </row>
    <row r="55" spans="1:6" ht="39" customHeight="1">
      <c r="A55" s="204" t="s">
        <v>763</v>
      </c>
      <c r="B55" s="203" t="s">
        <v>764</v>
      </c>
      <c r="C55" s="204" t="s">
        <v>765</v>
      </c>
      <c r="D55" s="207">
        <v>4372506173</v>
      </c>
      <c r="E55" s="207">
        <v>1199481713</v>
      </c>
      <c r="F55" s="206">
        <v>0.344485666051835</v>
      </c>
    </row>
    <row r="56" spans="1:6" ht="39" customHeight="1">
      <c r="A56" s="204" t="s">
        <v>766</v>
      </c>
      <c r="B56" s="203" t="s">
        <v>767</v>
      </c>
      <c r="C56" s="204" t="s">
        <v>768</v>
      </c>
      <c r="D56" s="207">
        <v>2583195900</v>
      </c>
      <c r="E56" s="207">
        <v>97595900</v>
      </c>
      <c r="F56" s="206">
        <v>15.838509122546901</v>
      </c>
    </row>
    <row r="57" spans="1:6" ht="48" customHeight="1">
      <c r="A57" s="204" t="s">
        <v>769</v>
      </c>
      <c r="B57" s="203" t="s">
        <v>770</v>
      </c>
      <c r="C57" s="204" t="s">
        <v>771</v>
      </c>
      <c r="D57" s="207">
        <v>0</v>
      </c>
      <c r="E57" s="207">
        <v>0</v>
      </c>
      <c r="F57" s="206"/>
    </row>
    <row r="58" spans="1:6" ht="39" customHeight="1">
      <c r="A58" s="204" t="s">
        <v>772</v>
      </c>
      <c r="B58" s="203" t="s">
        <v>773</v>
      </c>
      <c r="C58" s="204" t="s">
        <v>774</v>
      </c>
      <c r="D58" s="207">
        <v>0</v>
      </c>
      <c r="E58" s="207">
        <v>0</v>
      </c>
      <c r="F58" s="206"/>
    </row>
    <row r="59" spans="1:6" ht="39" customHeight="1">
      <c r="A59" s="204" t="s">
        <v>775</v>
      </c>
      <c r="B59" s="203" t="s">
        <v>776</v>
      </c>
      <c r="C59" s="204" t="s">
        <v>777</v>
      </c>
      <c r="D59" s="207">
        <v>1789310273</v>
      </c>
      <c r="E59" s="207">
        <v>1101885813</v>
      </c>
      <c r="F59" s="206">
        <v>0.14280485677080099</v>
      </c>
    </row>
    <row r="60" spans="1:6" ht="39" customHeight="1">
      <c r="A60" s="204" t="s">
        <v>778</v>
      </c>
      <c r="B60" s="203" t="s">
        <v>779</v>
      </c>
      <c r="C60" s="204" t="s">
        <v>780</v>
      </c>
      <c r="D60" s="207">
        <v>16195546</v>
      </c>
      <c r="E60" s="207">
        <v>19009606</v>
      </c>
      <c r="F60" s="206">
        <v>0.35112791187855902</v>
      </c>
    </row>
    <row r="61" spans="1:6" ht="61" customHeight="1">
      <c r="A61" s="204" t="s">
        <v>781</v>
      </c>
      <c r="B61" s="203" t="s">
        <v>782</v>
      </c>
      <c r="C61" s="204" t="s">
        <v>783</v>
      </c>
      <c r="D61" s="207">
        <v>114230652</v>
      </c>
      <c r="E61" s="207">
        <v>59112687</v>
      </c>
      <c r="F61" s="206">
        <v>0.51218216051155696</v>
      </c>
    </row>
    <row r="62" spans="1:6" ht="39" customHeight="1">
      <c r="A62" s="204" t="s">
        <v>784</v>
      </c>
      <c r="B62" s="203" t="s">
        <v>785</v>
      </c>
      <c r="C62" s="204" t="s">
        <v>786</v>
      </c>
      <c r="D62" s="207">
        <v>83000000</v>
      </c>
      <c r="E62" s="207">
        <v>83000000</v>
      </c>
      <c r="F62" s="206">
        <v>1</v>
      </c>
    </row>
    <row r="63" spans="1:6" ht="39" customHeight="1">
      <c r="A63" s="204" t="s">
        <v>787</v>
      </c>
      <c r="B63" s="203" t="s">
        <v>788</v>
      </c>
      <c r="C63" s="204" t="s">
        <v>789</v>
      </c>
      <c r="D63" s="207">
        <v>22000000</v>
      </c>
      <c r="E63" s="207">
        <v>20983607</v>
      </c>
      <c r="F63" s="206">
        <v>1.00024760674847</v>
      </c>
    </row>
    <row r="64" spans="1:6" ht="39" customHeight="1">
      <c r="A64" s="204" t="s">
        <v>790</v>
      </c>
      <c r="B64" s="203" t="s">
        <v>791</v>
      </c>
      <c r="C64" s="204" t="s">
        <v>792</v>
      </c>
      <c r="D64" s="207">
        <v>750815411</v>
      </c>
      <c r="E64" s="207">
        <v>725239795</v>
      </c>
      <c r="F64" s="206">
        <v>0.65681858765308498</v>
      </c>
    </row>
    <row r="65" spans="1:6" ht="39" customHeight="1">
      <c r="A65" s="204" t="s">
        <v>793</v>
      </c>
      <c r="B65" s="203" t="s">
        <v>794</v>
      </c>
      <c r="C65" s="204" t="s">
        <v>795</v>
      </c>
      <c r="D65" s="207">
        <v>12837777</v>
      </c>
      <c r="E65" s="207">
        <v>12400473</v>
      </c>
      <c r="F65" s="206">
        <v>0.65681863309871902</v>
      </c>
    </row>
    <row r="66" spans="1:6" ht="39" customHeight="1">
      <c r="A66" s="204" t="s">
        <v>796</v>
      </c>
      <c r="B66" s="203" t="s">
        <v>797</v>
      </c>
      <c r="C66" s="204" t="s">
        <v>798</v>
      </c>
      <c r="D66" s="207">
        <v>25300000</v>
      </c>
      <c r="E66" s="207">
        <v>25300000</v>
      </c>
      <c r="F66" s="206">
        <v>0.97081704768549704</v>
      </c>
    </row>
    <row r="67" spans="1:6" ht="39" customHeight="1">
      <c r="A67" s="204" t="s">
        <v>799</v>
      </c>
      <c r="B67" s="203" t="s">
        <v>800</v>
      </c>
      <c r="C67" s="204" t="s">
        <v>801</v>
      </c>
      <c r="D67" s="207">
        <v>0</v>
      </c>
      <c r="E67" s="207">
        <v>1634366</v>
      </c>
      <c r="F67" s="206">
        <v>0</v>
      </c>
    </row>
    <row r="68" spans="1:6" ht="39" customHeight="1">
      <c r="A68" s="204" t="s">
        <v>802</v>
      </c>
      <c r="B68" s="203" t="s">
        <v>803</v>
      </c>
      <c r="C68" s="204" t="s">
        <v>804</v>
      </c>
      <c r="D68" s="207">
        <v>0</v>
      </c>
      <c r="E68" s="207">
        <v>1634366</v>
      </c>
      <c r="F68" s="206">
        <v>0</v>
      </c>
    </row>
    <row r="69" spans="1:6" ht="46" customHeight="1">
      <c r="A69" s="204" t="s">
        <v>805</v>
      </c>
      <c r="B69" s="203" t="s">
        <v>806</v>
      </c>
      <c r="C69" s="204" t="s">
        <v>807</v>
      </c>
      <c r="D69" s="207">
        <v>0</v>
      </c>
      <c r="E69" s="207">
        <v>0</v>
      </c>
      <c r="F69" s="206"/>
    </row>
    <row r="70" spans="1:6" ht="39" customHeight="1">
      <c r="A70" s="204" t="s">
        <v>808</v>
      </c>
      <c r="B70" s="203" t="s">
        <v>809</v>
      </c>
      <c r="C70" s="204" t="s">
        <v>810</v>
      </c>
      <c r="D70" s="207">
        <v>24500000</v>
      </c>
      <c r="E70" s="207">
        <v>25000000</v>
      </c>
      <c r="F70" s="206">
        <v>0.89118827589079297</v>
      </c>
    </row>
    <row r="71" spans="1:6" ht="39" customHeight="1">
      <c r="A71" s="204" t="s">
        <v>811</v>
      </c>
      <c r="B71" s="203" t="s">
        <v>812</v>
      </c>
      <c r="C71" s="204" t="s">
        <v>813</v>
      </c>
      <c r="D71" s="207">
        <v>22000000</v>
      </c>
      <c r="E71" s="207">
        <v>22000000</v>
      </c>
      <c r="F71" s="206">
        <v>0.92860759301324103</v>
      </c>
    </row>
    <row r="72" spans="1:6" ht="39" customHeight="1">
      <c r="A72" s="204" t="s">
        <v>814</v>
      </c>
      <c r="B72" s="203" t="s">
        <v>815</v>
      </c>
      <c r="C72" s="204" t="s">
        <v>816</v>
      </c>
      <c r="D72" s="207">
        <v>2500000</v>
      </c>
      <c r="E72" s="207">
        <v>3000000</v>
      </c>
      <c r="F72" s="206">
        <v>0.65789473684210498</v>
      </c>
    </row>
    <row r="73" spans="1:6" ht="60" customHeight="1">
      <c r="A73" s="204" t="s">
        <v>817</v>
      </c>
      <c r="B73" s="203" t="s">
        <v>818</v>
      </c>
      <c r="C73" s="204" t="s">
        <v>819</v>
      </c>
      <c r="D73" s="207">
        <v>0</v>
      </c>
      <c r="E73" s="207">
        <v>0</v>
      </c>
      <c r="F73" s="206"/>
    </row>
    <row r="74" spans="1:6" ht="39" customHeight="1">
      <c r="A74" s="204" t="s">
        <v>820</v>
      </c>
      <c r="B74" s="203" t="s">
        <v>821</v>
      </c>
      <c r="C74" s="204" t="s">
        <v>822</v>
      </c>
      <c r="D74" s="207">
        <v>54083333</v>
      </c>
      <c r="E74" s="207">
        <v>39642077</v>
      </c>
      <c r="F74" s="206">
        <v>0.380853959838172</v>
      </c>
    </row>
    <row r="75" spans="1:6" ht="39" customHeight="1">
      <c r="A75" s="204" t="s">
        <v>823</v>
      </c>
      <c r="B75" s="203" t="s">
        <v>824</v>
      </c>
      <c r="C75" s="204" t="s">
        <v>825</v>
      </c>
      <c r="D75" s="207">
        <v>35386313</v>
      </c>
      <c r="E75" s="207">
        <v>35386313</v>
      </c>
      <c r="F75" s="206">
        <v>0.61603221764640403</v>
      </c>
    </row>
    <row r="76" spans="1:6" ht="39" customHeight="1">
      <c r="A76" s="204" t="s">
        <v>826</v>
      </c>
      <c r="B76" s="203" t="s">
        <v>827</v>
      </c>
      <c r="C76" s="204" t="s">
        <v>828</v>
      </c>
      <c r="D76" s="207">
        <v>33066000</v>
      </c>
      <c r="E76" s="207">
        <v>33066000</v>
      </c>
      <c r="F76" s="206">
        <v>0.65474082373785403</v>
      </c>
    </row>
    <row r="77" spans="1:6" ht="39" customHeight="1">
      <c r="A77" s="204" t="s">
        <v>829</v>
      </c>
      <c r="B77" s="203" t="s">
        <v>830</v>
      </c>
      <c r="C77" s="204" t="s">
        <v>831</v>
      </c>
      <c r="D77" s="207">
        <v>11000000</v>
      </c>
      <c r="E77" s="207">
        <v>11000000</v>
      </c>
      <c r="F77" s="206">
        <v>1</v>
      </c>
    </row>
    <row r="78" spans="1:6" ht="48" customHeight="1">
      <c r="A78" s="204" t="s">
        <v>832</v>
      </c>
      <c r="B78" s="203" t="s">
        <v>833</v>
      </c>
      <c r="C78" s="204" t="s">
        <v>834</v>
      </c>
      <c r="D78" s="207">
        <v>0</v>
      </c>
      <c r="E78" s="207">
        <v>0</v>
      </c>
      <c r="F78" s="206"/>
    </row>
    <row r="79" spans="1:6" ht="39" customHeight="1">
      <c r="A79" s="204" t="s">
        <v>835</v>
      </c>
      <c r="B79" s="203" t="s">
        <v>836</v>
      </c>
      <c r="C79" s="204" t="s">
        <v>837</v>
      </c>
      <c r="D79" s="207">
        <v>0</v>
      </c>
      <c r="E79" s="207">
        <v>0</v>
      </c>
      <c r="F79" s="206"/>
    </row>
    <row r="80" spans="1:6" ht="39" customHeight="1">
      <c r="A80" s="204" t="s">
        <v>838</v>
      </c>
      <c r="B80" s="203" t="s">
        <v>839</v>
      </c>
      <c r="C80" s="204" t="s">
        <v>840</v>
      </c>
      <c r="D80" s="207">
        <v>37054239</v>
      </c>
      <c r="E80" s="207">
        <v>37054239</v>
      </c>
      <c r="F80" s="206">
        <v>1.2918190423301801</v>
      </c>
    </row>
    <row r="81" spans="1:6" ht="39" customHeight="1">
      <c r="A81" s="204" t="s">
        <v>841</v>
      </c>
      <c r="B81" s="203" t="s">
        <v>842</v>
      </c>
      <c r="C81" s="204" t="s">
        <v>843</v>
      </c>
      <c r="D81" s="207">
        <v>0</v>
      </c>
      <c r="E81" s="207">
        <v>0</v>
      </c>
      <c r="F81" s="206"/>
    </row>
    <row r="82" spans="1:6" ht="48" customHeight="1">
      <c r="A82" s="204" t="s">
        <v>844</v>
      </c>
      <c r="B82" s="203" t="s">
        <v>845</v>
      </c>
      <c r="C82" s="204" t="s">
        <v>846</v>
      </c>
      <c r="D82" s="207">
        <v>37054239</v>
      </c>
      <c r="E82" s="207">
        <v>37054239</v>
      </c>
      <c r="F82" s="206">
        <v>1.2918190423301801</v>
      </c>
    </row>
    <row r="83" spans="1:6" ht="45" customHeight="1">
      <c r="A83" s="204" t="s">
        <v>847</v>
      </c>
      <c r="B83" s="203" t="s">
        <v>848</v>
      </c>
      <c r="C83" s="204" t="s">
        <v>849</v>
      </c>
      <c r="D83" s="207">
        <v>0</v>
      </c>
      <c r="E83" s="207">
        <v>0</v>
      </c>
      <c r="F83" s="206"/>
    </row>
    <row r="84" spans="1:6" ht="39" customHeight="1">
      <c r="A84" s="204" t="s">
        <v>850</v>
      </c>
      <c r="B84" s="203" t="s">
        <v>851</v>
      </c>
      <c r="C84" s="204" t="s">
        <v>852</v>
      </c>
      <c r="D84" s="207">
        <v>0</v>
      </c>
      <c r="E84" s="207">
        <v>0</v>
      </c>
      <c r="F84" s="206"/>
    </row>
    <row r="85" spans="1:6" ht="39" customHeight="1">
      <c r="A85" s="204" t="s">
        <v>853</v>
      </c>
      <c r="B85" s="203" t="s">
        <v>854</v>
      </c>
      <c r="C85" s="204" t="s">
        <v>855</v>
      </c>
      <c r="D85" s="207">
        <v>0</v>
      </c>
      <c r="E85" s="207">
        <v>0</v>
      </c>
      <c r="F85" s="206"/>
    </row>
    <row r="86" spans="1:6" ht="39" customHeight="1">
      <c r="A86" s="204" t="s">
        <v>856</v>
      </c>
      <c r="B86" s="203" t="s">
        <v>857</v>
      </c>
      <c r="C86" s="204" t="s">
        <v>858</v>
      </c>
      <c r="D86" s="207">
        <v>0</v>
      </c>
      <c r="E86" s="207">
        <v>0</v>
      </c>
      <c r="F86" s="206"/>
    </row>
    <row r="87" spans="1:6" ht="39" customHeight="1">
      <c r="A87" s="204" t="s">
        <v>859</v>
      </c>
      <c r="B87" s="203" t="s">
        <v>860</v>
      </c>
      <c r="C87" s="204" t="s">
        <v>861</v>
      </c>
      <c r="D87" s="207">
        <v>0</v>
      </c>
      <c r="E87" s="207">
        <v>0</v>
      </c>
      <c r="F87" s="206"/>
    </row>
    <row r="88" spans="1:6" ht="39" customHeight="1">
      <c r="A88" s="204" t="s">
        <v>862</v>
      </c>
      <c r="B88" s="203" t="s">
        <v>863</v>
      </c>
      <c r="C88" s="204" t="s">
        <v>864</v>
      </c>
      <c r="D88" s="207">
        <v>0</v>
      </c>
      <c r="E88" s="207">
        <v>0</v>
      </c>
      <c r="F88" s="206"/>
    </row>
    <row r="89" spans="1:6" ht="39" customHeight="1">
      <c r="A89" s="209" t="s">
        <v>865</v>
      </c>
      <c r="B89" s="208" t="s">
        <v>866</v>
      </c>
      <c r="C89" s="209" t="s">
        <v>867</v>
      </c>
      <c r="D89" s="211">
        <v>5591975444</v>
      </c>
      <c r="E89" s="211">
        <v>2327310876</v>
      </c>
      <c r="F89" s="210">
        <v>0.38369092542766597</v>
      </c>
    </row>
    <row r="90" spans="1:6" ht="39" customHeight="1">
      <c r="A90" s="204" t="s">
        <v>868</v>
      </c>
      <c r="B90" s="203" t="s">
        <v>869</v>
      </c>
      <c r="C90" s="204" t="s">
        <v>870</v>
      </c>
      <c r="D90" s="207">
        <v>447769125515</v>
      </c>
      <c r="E90" s="207">
        <v>454514205833</v>
      </c>
      <c r="F90" s="206">
        <v>0.65737574539535404</v>
      </c>
    </row>
    <row r="91" spans="1:6" ht="39" customHeight="1">
      <c r="A91" s="204" t="s">
        <v>871</v>
      </c>
      <c r="B91" s="203" t="s">
        <v>872</v>
      </c>
      <c r="C91" s="204" t="s">
        <v>873</v>
      </c>
      <c r="D91" s="212">
        <v>26110616.010000002</v>
      </c>
      <c r="E91" s="212">
        <v>26772889.32</v>
      </c>
      <c r="F91" s="206">
        <v>0.69351073782163597</v>
      </c>
    </row>
    <row r="92" spans="1:6" ht="39" customHeight="1">
      <c r="A92" s="204" t="s">
        <v>874</v>
      </c>
      <c r="B92" s="203" t="s">
        <v>875</v>
      </c>
      <c r="C92" s="204" t="s">
        <v>876</v>
      </c>
      <c r="D92" s="212">
        <v>17148.919999999998</v>
      </c>
      <c r="E92" s="212">
        <v>16976.650000000001</v>
      </c>
      <c r="F92" s="206">
        <v>0.94789509816168604</v>
      </c>
    </row>
    <row r="93" spans="1:6" s="39" customFormat="1" ht="16.899999999999999" customHeight="1"/>
    <row r="94" spans="1:6" s="39" customFormat="1" ht="16.899999999999999" customHeight="1">
      <c r="A94" s="59" t="s">
        <v>10</v>
      </c>
      <c r="B94" s="40"/>
      <c r="C94" s="40"/>
      <c r="E94" s="59" t="s">
        <v>11</v>
      </c>
      <c r="F94" s="40"/>
    </row>
    <row r="95" spans="1:6" s="43" customFormat="1" ht="16.899999999999999" customHeight="1">
      <c r="A95" s="60" t="s">
        <v>12</v>
      </c>
      <c r="B95" s="44"/>
      <c r="C95" s="44"/>
      <c r="E95" s="60"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01"/>
      <c r="B102" s="201"/>
      <c r="C102" s="40"/>
      <c r="D102" s="42"/>
      <c r="E102" s="201"/>
      <c r="F102" s="201"/>
    </row>
    <row r="103" spans="1:6" s="39" customFormat="1" ht="16.899999999999999" customHeight="1">
      <c r="A103" s="58" t="s">
        <v>14</v>
      </c>
      <c r="B103" s="199"/>
      <c r="C103" s="40"/>
      <c r="D103" s="41"/>
      <c r="E103" s="58" t="s">
        <v>1102</v>
      </c>
      <c r="F103" s="199"/>
    </row>
    <row r="104" spans="1:6" s="39" customFormat="1" ht="16.899999999999999" customHeight="1">
      <c r="A104" s="198" t="s">
        <v>1109</v>
      </c>
      <c r="B104" s="42"/>
      <c r="C104" s="40"/>
      <c r="E104" s="198" t="s">
        <v>1110</v>
      </c>
      <c r="F104" s="42"/>
    </row>
    <row r="105" spans="1:6" s="39" customFormat="1" ht="16.899999999999999" customHeight="1">
      <c r="A105" s="40" t="s">
        <v>1111</v>
      </c>
      <c r="B105" s="40"/>
      <c r="C105" s="40"/>
      <c r="E105" s="40" t="s">
        <v>653</v>
      </c>
      <c r="F105" s="40"/>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100" zoomScaleNormal="100" zoomScaleSheetLayoutView="100" workbookViewId="0">
      <selection activeCell="A115" sqref="A115"/>
    </sheetView>
  </sheetViews>
  <sheetFormatPr defaultColWidth="8.7265625" defaultRowHeight="12.5"/>
  <cols>
    <col min="1" max="1" width="8.7265625" style="49"/>
    <col min="2" max="2" width="46.26953125" style="49" customWidth="1"/>
    <col min="3" max="3" width="10.7265625" style="49" bestFit="1" customWidth="1"/>
    <col min="4" max="4" width="21.26953125" style="49" customWidth="1"/>
    <col min="5" max="5" width="21" style="49" customWidth="1"/>
    <col min="6" max="6" width="22" style="49" customWidth="1"/>
    <col min="7" max="7" width="8.7265625" style="49"/>
    <col min="8" max="16384" width="8.7265625" style="65"/>
  </cols>
  <sheetData>
    <row r="1" spans="1:7" ht="22.9" customHeight="1">
      <c r="A1" s="255" t="s">
        <v>637</v>
      </c>
      <c r="B1" s="255"/>
      <c r="C1" s="255"/>
      <c r="D1" s="255"/>
      <c r="E1" s="255"/>
      <c r="F1" s="255"/>
    </row>
    <row r="2" spans="1:7" ht="45" customHeight="1">
      <c r="A2" s="256" t="s">
        <v>638</v>
      </c>
      <c r="B2" s="256"/>
      <c r="C2" s="256"/>
      <c r="D2" s="256"/>
      <c r="E2" s="256"/>
      <c r="F2" s="256"/>
    </row>
    <row r="3" spans="1:7" ht="22.5" customHeight="1">
      <c r="A3" s="257" t="s">
        <v>639</v>
      </c>
      <c r="B3" s="257"/>
      <c r="C3" s="257"/>
      <c r="D3" s="257"/>
      <c r="E3" s="257"/>
      <c r="F3" s="257"/>
    </row>
    <row r="4" spans="1:7" ht="21" customHeight="1">
      <c r="A4" s="257"/>
      <c r="B4" s="257"/>
      <c r="C4" s="257"/>
      <c r="D4" s="257"/>
      <c r="E4" s="257"/>
      <c r="F4" s="257"/>
    </row>
    <row r="5" spans="1:7" ht="16.149999999999999" customHeight="1">
      <c r="A5" s="258" t="str">
        <f>TONGQUAN!C2</f>
        <v>Tháng 10 năm 2020
/ Oct 2020</v>
      </c>
      <c r="B5" s="258"/>
      <c r="C5" s="258"/>
      <c r="D5" s="258"/>
      <c r="E5" s="258"/>
      <c r="F5" s="258"/>
    </row>
    <row r="7" spans="1:7" ht="16.899999999999999" customHeight="1">
      <c r="A7" s="61" t="s">
        <v>2</v>
      </c>
      <c r="C7" s="265" t="str">
        <f>TONGQUAN!D5</f>
        <v>Công ty Cổ phần Quản lý Quỹ Đầu tư Việt Nam</v>
      </c>
      <c r="D7" s="265"/>
      <c r="E7" s="265"/>
      <c r="F7" s="265"/>
    </row>
    <row r="8" spans="1:7" ht="16.899999999999999" customHeight="1">
      <c r="A8" s="49" t="s">
        <v>41</v>
      </c>
      <c r="C8" s="264" t="str">
        <f>TONGQUAN!D6</f>
        <v>Vietnam Investment Fund Management Joint Stock Company</v>
      </c>
      <c r="D8" s="264"/>
      <c r="E8" s="264"/>
      <c r="F8" s="264"/>
    </row>
    <row r="9" spans="1:7" ht="16.899999999999999" customHeight="1">
      <c r="A9" s="61" t="s">
        <v>3</v>
      </c>
      <c r="C9" s="265" t="str">
        <f>TONGQUAN!D7</f>
        <v>Ngân hàng TNHH Một thành viên Standard Chartered (Việt Nam)</v>
      </c>
      <c r="D9" s="265"/>
      <c r="E9" s="265"/>
      <c r="F9" s="265"/>
    </row>
    <row r="10" spans="1:7" ht="16.899999999999999" customHeight="1">
      <c r="A10" s="49" t="s">
        <v>4</v>
      </c>
      <c r="C10" s="264" t="str">
        <f>TONGQUAN!D8</f>
        <v>Standard Chartered Bank (Vietnam) Limited</v>
      </c>
      <c r="D10" s="264"/>
      <c r="E10" s="264"/>
      <c r="F10" s="264"/>
    </row>
    <row r="11" spans="1:7" ht="16.899999999999999" customHeight="1">
      <c r="A11" s="61" t="s">
        <v>5</v>
      </c>
      <c r="C11" s="265" t="str">
        <f>TONGQUAN!D9</f>
        <v>Quỹ Đầu tư Doanh nghiệp hàng đầu Việt Nam</v>
      </c>
      <c r="D11" s="265"/>
      <c r="E11" s="265"/>
      <c r="F11" s="265"/>
    </row>
    <row r="12" spans="1:7" ht="16.899999999999999" customHeight="1">
      <c r="A12" s="49" t="s">
        <v>6</v>
      </c>
      <c r="C12" s="264" t="str">
        <f>TONGQUAN!D10</f>
        <v>Vietnam Blue Chip Fund(VFMVF4)</v>
      </c>
      <c r="D12" s="264"/>
      <c r="E12" s="264"/>
      <c r="F12" s="264"/>
    </row>
    <row r="13" spans="1:7" ht="16.899999999999999" customHeight="1">
      <c r="A13" s="61" t="s">
        <v>7</v>
      </c>
      <c r="C13" s="265" t="str">
        <f>TONGQUAN!D11</f>
        <v>Ngày 02 tháng 11 năm 2020</v>
      </c>
      <c r="D13" s="265"/>
      <c r="E13" s="265"/>
      <c r="F13" s="265"/>
    </row>
    <row r="14" spans="1:7" ht="16.899999999999999" customHeight="1">
      <c r="A14" s="49" t="s">
        <v>8</v>
      </c>
      <c r="C14" s="264" t="str">
        <f>TONGQUAN!D12</f>
        <v>02 Nov 2020</v>
      </c>
      <c r="D14" s="264"/>
      <c r="E14" s="264"/>
      <c r="F14" s="264"/>
    </row>
    <row r="15" spans="1:7" ht="16.899999999999999" customHeight="1"/>
    <row r="16" spans="1:7" s="230" customFormat="1" ht="16.899999999999999" customHeight="1">
      <c r="A16" s="227" t="s">
        <v>1136</v>
      </c>
      <c r="B16" s="228" t="s">
        <v>1137</v>
      </c>
      <c r="C16" s="229"/>
      <c r="D16" s="229"/>
      <c r="E16" s="229"/>
      <c r="F16" s="229"/>
      <c r="G16" s="229"/>
    </row>
    <row r="17" spans="1:7" s="230" customFormat="1" ht="16.899999999999999" customHeight="1">
      <c r="A17" s="227" t="s">
        <v>48</v>
      </c>
      <c r="B17" s="228" t="s">
        <v>53</v>
      </c>
      <c r="C17" s="229"/>
      <c r="D17" s="229"/>
      <c r="E17" s="229"/>
      <c r="F17" s="229"/>
      <c r="G17" s="229"/>
    </row>
    <row r="18" spans="1:7" ht="44.65" customHeight="1">
      <c r="A18" s="47" t="s">
        <v>43</v>
      </c>
      <c r="B18" s="45" t="s">
        <v>44</v>
      </c>
      <c r="C18" s="45" t="s">
        <v>45</v>
      </c>
      <c r="D18" s="46" t="s">
        <v>1114</v>
      </c>
      <c r="E18" s="46" t="s">
        <v>1115</v>
      </c>
      <c r="F18" s="66" t="s">
        <v>304</v>
      </c>
      <c r="G18" s="67"/>
    </row>
    <row r="19" spans="1:7" s="72" customFormat="1" ht="39" customHeight="1">
      <c r="A19" s="51" t="s">
        <v>42</v>
      </c>
      <c r="B19" s="68" t="s">
        <v>61</v>
      </c>
      <c r="C19" s="69" t="s">
        <v>85</v>
      </c>
      <c r="D19" s="70">
        <v>1704957951</v>
      </c>
      <c r="E19" s="70">
        <v>404859817</v>
      </c>
      <c r="F19" s="70">
        <v>7980206751</v>
      </c>
      <c r="G19" s="71"/>
    </row>
    <row r="20" spans="1:7" ht="39" customHeight="1">
      <c r="A20" s="54">
        <v>1</v>
      </c>
      <c r="B20" s="73" t="s">
        <v>314</v>
      </c>
      <c r="C20" s="74" t="s">
        <v>86</v>
      </c>
      <c r="D20" s="75">
        <v>1696005000</v>
      </c>
      <c r="E20" s="75">
        <v>390000000</v>
      </c>
      <c r="F20" s="75">
        <v>7476216000</v>
      </c>
      <c r="G20" s="67"/>
    </row>
    <row r="21" spans="1:7" ht="39" customHeight="1">
      <c r="A21" s="76"/>
      <c r="B21" s="77" t="s">
        <v>315</v>
      </c>
      <c r="C21" s="78" t="s">
        <v>87</v>
      </c>
      <c r="D21" s="75">
        <v>1696005000</v>
      </c>
      <c r="E21" s="75">
        <v>390000000</v>
      </c>
      <c r="F21" s="75">
        <v>7476216000</v>
      </c>
      <c r="G21" s="67"/>
    </row>
    <row r="22" spans="1:7" ht="39" customHeight="1">
      <c r="A22" s="76"/>
      <c r="B22" s="77" t="s">
        <v>316</v>
      </c>
      <c r="C22" s="78" t="s">
        <v>88</v>
      </c>
      <c r="D22" s="75">
        <v>0</v>
      </c>
      <c r="E22" s="75">
        <v>0</v>
      </c>
      <c r="F22" s="75">
        <v>0</v>
      </c>
      <c r="G22" s="67"/>
    </row>
    <row r="23" spans="1:7" ht="39" customHeight="1">
      <c r="A23" s="54">
        <v>2</v>
      </c>
      <c r="B23" s="73" t="s">
        <v>317</v>
      </c>
      <c r="C23" s="74" t="s">
        <v>89</v>
      </c>
      <c r="D23" s="75">
        <v>8952951</v>
      </c>
      <c r="E23" s="75">
        <v>14859817</v>
      </c>
      <c r="F23" s="75">
        <v>503990751</v>
      </c>
      <c r="G23" s="67"/>
    </row>
    <row r="24" spans="1:7" ht="39" customHeight="1">
      <c r="A24" s="76"/>
      <c r="B24" s="77" t="s">
        <v>310</v>
      </c>
      <c r="C24" s="78" t="s">
        <v>90</v>
      </c>
      <c r="D24" s="75">
        <v>8952951</v>
      </c>
      <c r="E24" s="75">
        <v>14859817</v>
      </c>
      <c r="F24" s="75">
        <v>503990751</v>
      </c>
      <c r="G24" s="67"/>
    </row>
    <row r="25" spans="1:7" ht="39" customHeight="1">
      <c r="A25" s="76"/>
      <c r="B25" s="77" t="s">
        <v>318</v>
      </c>
      <c r="C25" s="78" t="s">
        <v>91</v>
      </c>
      <c r="D25" s="75">
        <v>0</v>
      </c>
      <c r="E25" s="75">
        <v>0</v>
      </c>
      <c r="F25" s="75">
        <v>0</v>
      </c>
      <c r="G25" s="67"/>
    </row>
    <row r="26" spans="1:7" ht="39" customHeight="1">
      <c r="A26" s="76"/>
      <c r="B26" s="77" t="s">
        <v>347</v>
      </c>
      <c r="C26" s="78" t="s">
        <v>306</v>
      </c>
      <c r="D26" s="75">
        <v>0</v>
      </c>
      <c r="E26" s="75">
        <v>0</v>
      </c>
      <c r="F26" s="75">
        <v>0</v>
      </c>
      <c r="G26" s="67"/>
    </row>
    <row r="27" spans="1:7" ht="39" customHeight="1">
      <c r="A27" s="54">
        <v>3</v>
      </c>
      <c r="B27" s="73" t="s">
        <v>319</v>
      </c>
      <c r="C27" s="74" t="s">
        <v>92</v>
      </c>
      <c r="D27" s="75">
        <v>0</v>
      </c>
      <c r="E27" s="75">
        <v>0</v>
      </c>
      <c r="F27" s="75">
        <v>0</v>
      </c>
      <c r="G27" s="67"/>
    </row>
    <row r="28" spans="1:7" ht="39" customHeight="1">
      <c r="A28" s="79"/>
      <c r="B28" s="80" t="s">
        <v>320</v>
      </c>
      <c r="C28" s="81" t="s">
        <v>93</v>
      </c>
      <c r="D28" s="82">
        <v>0</v>
      </c>
      <c r="E28" s="82">
        <v>0</v>
      </c>
      <c r="F28" s="75">
        <v>0</v>
      </c>
      <c r="G28" s="83"/>
    </row>
    <row r="29" spans="1:7" ht="39" customHeight="1">
      <c r="A29" s="79"/>
      <c r="B29" s="80" t="s">
        <v>321</v>
      </c>
      <c r="C29" s="81" t="s">
        <v>94</v>
      </c>
      <c r="D29" s="82">
        <v>0</v>
      </c>
      <c r="E29" s="82">
        <v>0</v>
      </c>
      <c r="F29" s="75">
        <v>0</v>
      </c>
      <c r="G29" s="83"/>
    </row>
    <row r="30" spans="1:7" ht="77.650000000000006" customHeight="1">
      <c r="A30" s="79"/>
      <c r="B30" s="80" t="s">
        <v>62</v>
      </c>
      <c r="C30" s="81" t="s">
        <v>95</v>
      </c>
      <c r="D30" s="82">
        <v>0</v>
      </c>
      <c r="E30" s="82">
        <v>0</v>
      </c>
      <c r="F30" s="75">
        <v>0</v>
      </c>
      <c r="G30" s="83"/>
    </row>
    <row r="31" spans="1:7" s="72" customFormat="1" ht="39" customHeight="1">
      <c r="A31" s="51" t="s">
        <v>48</v>
      </c>
      <c r="B31" s="68" t="s">
        <v>322</v>
      </c>
      <c r="C31" s="69" t="s">
        <v>96</v>
      </c>
      <c r="D31" s="70">
        <v>931175697</v>
      </c>
      <c r="E31" s="70">
        <v>859346473</v>
      </c>
      <c r="F31" s="70">
        <v>9556969376</v>
      </c>
      <c r="G31" s="71"/>
    </row>
    <row r="32" spans="1:7" ht="39" customHeight="1">
      <c r="A32" s="54">
        <v>1</v>
      </c>
      <c r="B32" s="73" t="s">
        <v>348</v>
      </c>
      <c r="C32" s="74" t="s">
        <v>97</v>
      </c>
      <c r="D32" s="75">
        <v>750815411</v>
      </c>
      <c r="E32" s="75">
        <v>725239795</v>
      </c>
      <c r="F32" s="75">
        <v>7597438761</v>
      </c>
      <c r="G32" s="67"/>
    </row>
    <row r="33" spans="1:7" ht="44.65" customHeight="1">
      <c r="A33" s="54">
        <v>2</v>
      </c>
      <c r="B33" s="73" t="s">
        <v>349</v>
      </c>
      <c r="C33" s="74" t="s">
        <v>98</v>
      </c>
      <c r="D33" s="84">
        <v>52990753</v>
      </c>
      <c r="E33" s="84">
        <v>52678402</v>
      </c>
      <c r="F33" s="75">
        <v>592559568</v>
      </c>
      <c r="G33" s="67"/>
    </row>
    <row r="34" spans="1:7" ht="39" customHeight="1">
      <c r="A34" s="57"/>
      <c r="B34" s="77" t="s">
        <v>51</v>
      </c>
      <c r="C34" s="78" t="s">
        <v>99</v>
      </c>
      <c r="D34" s="84">
        <v>22000000</v>
      </c>
      <c r="E34" s="84">
        <v>22000000</v>
      </c>
      <c r="F34" s="75">
        <v>220000000</v>
      </c>
      <c r="G34" s="67"/>
    </row>
    <row r="35" spans="1:7" ht="39" customHeight="1">
      <c r="A35" s="57"/>
      <c r="B35" s="77" t="s">
        <v>63</v>
      </c>
      <c r="C35" s="78" t="s">
        <v>100</v>
      </c>
      <c r="D35" s="84">
        <v>2400000</v>
      </c>
      <c r="E35" s="84">
        <v>2100000</v>
      </c>
      <c r="F35" s="75">
        <v>38700000</v>
      </c>
      <c r="G35" s="67"/>
    </row>
    <row r="36" spans="1:7" ht="57" customHeight="1">
      <c r="A36" s="57"/>
      <c r="B36" s="77" t="s">
        <v>350</v>
      </c>
      <c r="C36" s="78" t="s">
        <v>101</v>
      </c>
      <c r="D36" s="84">
        <v>3290753</v>
      </c>
      <c r="E36" s="84">
        <v>3278402</v>
      </c>
      <c r="F36" s="84">
        <v>80859568</v>
      </c>
      <c r="G36" s="67"/>
    </row>
    <row r="37" spans="1:7" ht="39" customHeight="1">
      <c r="A37" s="57"/>
      <c r="B37" s="77" t="s">
        <v>64</v>
      </c>
      <c r="C37" s="78" t="s">
        <v>102</v>
      </c>
      <c r="D37" s="75">
        <v>25300000</v>
      </c>
      <c r="E37" s="75">
        <v>25300000</v>
      </c>
      <c r="F37" s="75">
        <v>253000000</v>
      </c>
      <c r="G37" s="67"/>
    </row>
    <row r="38" spans="1:7" ht="73.5" customHeight="1">
      <c r="A38" s="54">
        <v>3</v>
      </c>
      <c r="B38" s="53" t="s">
        <v>351</v>
      </c>
      <c r="C38" s="74" t="s">
        <v>103</v>
      </c>
      <c r="D38" s="75">
        <v>23837777</v>
      </c>
      <c r="E38" s="75">
        <v>23400473</v>
      </c>
      <c r="F38" s="75">
        <v>239904401</v>
      </c>
      <c r="G38" s="67"/>
    </row>
    <row r="39" spans="1:7" ht="39" customHeight="1">
      <c r="A39" s="57"/>
      <c r="B39" s="55" t="s">
        <v>352</v>
      </c>
      <c r="C39" s="78" t="s">
        <v>104</v>
      </c>
      <c r="D39" s="75">
        <v>12837777</v>
      </c>
      <c r="E39" s="75">
        <v>12400473</v>
      </c>
      <c r="F39" s="75">
        <v>129904401</v>
      </c>
      <c r="G39" s="67"/>
    </row>
    <row r="40" spans="1:7" ht="39" customHeight="1">
      <c r="A40" s="57"/>
      <c r="B40" s="55" t="s">
        <v>65</v>
      </c>
      <c r="C40" s="78" t="s">
        <v>105</v>
      </c>
      <c r="D40" s="84">
        <v>11000000</v>
      </c>
      <c r="E40" s="84">
        <v>11000000</v>
      </c>
      <c r="F40" s="84">
        <v>110000000</v>
      </c>
      <c r="G40" s="67"/>
    </row>
    <row r="41" spans="1:7" ht="39" customHeight="1">
      <c r="A41" s="54">
        <v>4</v>
      </c>
      <c r="B41" s="73" t="s">
        <v>66</v>
      </c>
      <c r="C41" s="74" t="s">
        <v>106</v>
      </c>
      <c r="D41" s="75">
        <v>14441256</v>
      </c>
      <c r="E41" s="75">
        <v>13975409</v>
      </c>
      <c r="F41" s="75">
        <v>145332772</v>
      </c>
      <c r="G41" s="67"/>
    </row>
    <row r="42" spans="1:7" ht="77.650000000000006" customHeight="1">
      <c r="A42" s="54">
        <v>5</v>
      </c>
      <c r="B42" s="73" t="s">
        <v>353</v>
      </c>
      <c r="C42" s="74" t="s">
        <v>107</v>
      </c>
      <c r="D42" s="75">
        <v>37516393</v>
      </c>
      <c r="E42" s="75">
        <v>12983580</v>
      </c>
      <c r="F42" s="75">
        <v>173400000</v>
      </c>
      <c r="G42" s="67"/>
    </row>
    <row r="43" spans="1:7" ht="39" customHeight="1">
      <c r="A43" s="57"/>
      <c r="B43" s="56" t="s">
        <v>354</v>
      </c>
      <c r="C43" s="78" t="s">
        <v>108</v>
      </c>
      <c r="D43" s="75">
        <v>13016393</v>
      </c>
      <c r="E43" s="75">
        <v>12983580</v>
      </c>
      <c r="F43" s="75">
        <v>130000000</v>
      </c>
      <c r="G43" s="67"/>
    </row>
    <row r="44" spans="1:7" ht="39" customHeight="1">
      <c r="A44" s="57"/>
      <c r="B44" s="56" t="s">
        <v>323</v>
      </c>
      <c r="C44" s="78" t="s">
        <v>109</v>
      </c>
      <c r="D44" s="75">
        <v>24500000</v>
      </c>
      <c r="E44" s="75">
        <v>0</v>
      </c>
      <c r="F44" s="75">
        <v>43400000</v>
      </c>
      <c r="G44" s="67"/>
    </row>
    <row r="45" spans="1:7" ht="39" customHeight="1">
      <c r="A45" s="57"/>
      <c r="B45" s="56" t="s">
        <v>68</v>
      </c>
      <c r="C45" s="78" t="s">
        <v>110</v>
      </c>
      <c r="D45" s="84">
        <v>0</v>
      </c>
      <c r="E45" s="84">
        <v>0</v>
      </c>
      <c r="F45" s="75">
        <v>0</v>
      </c>
      <c r="G45" s="67"/>
    </row>
    <row r="46" spans="1:7" ht="148.9" customHeight="1">
      <c r="A46" s="54">
        <v>6</v>
      </c>
      <c r="B46" s="53" t="s">
        <v>355</v>
      </c>
      <c r="C46" s="74" t="s">
        <v>111</v>
      </c>
      <c r="D46" s="75">
        <v>0</v>
      </c>
      <c r="E46" s="75">
        <v>0</v>
      </c>
      <c r="F46" s="75">
        <v>0</v>
      </c>
      <c r="G46" s="67"/>
    </row>
    <row r="47" spans="1:7" ht="39" customHeight="1">
      <c r="A47" s="57"/>
      <c r="B47" s="55" t="s">
        <v>324</v>
      </c>
      <c r="C47" s="78" t="s">
        <v>112</v>
      </c>
      <c r="D47" s="75">
        <v>0</v>
      </c>
      <c r="E47" s="75">
        <v>0</v>
      </c>
      <c r="F47" s="75">
        <v>0</v>
      </c>
      <c r="G47" s="67"/>
    </row>
    <row r="48" spans="1:7" ht="39" customHeight="1">
      <c r="A48" s="57"/>
      <c r="B48" s="55" t="s">
        <v>268</v>
      </c>
      <c r="C48" s="78" t="s">
        <v>113</v>
      </c>
      <c r="D48" s="75">
        <v>0</v>
      </c>
      <c r="E48" s="75">
        <v>0</v>
      </c>
      <c r="F48" s="75">
        <v>0</v>
      </c>
      <c r="G48" s="67"/>
    </row>
    <row r="49" spans="1:7" ht="39" customHeight="1">
      <c r="A49" s="57"/>
      <c r="B49" s="55" t="s">
        <v>356</v>
      </c>
      <c r="C49" s="78" t="s">
        <v>114</v>
      </c>
      <c r="D49" s="75">
        <v>0</v>
      </c>
      <c r="E49" s="75">
        <v>0</v>
      </c>
      <c r="F49" s="75">
        <v>0</v>
      </c>
      <c r="G49" s="67"/>
    </row>
    <row r="50" spans="1:7" ht="39" customHeight="1">
      <c r="A50" s="57"/>
      <c r="B50" s="56" t="s">
        <v>325</v>
      </c>
      <c r="C50" s="78" t="s">
        <v>115</v>
      </c>
      <c r="D50" s="75">
        <v>0</v>
      </c>
      <c r="E50" s="75">
        <v>0</v>
      </c>
      <c r="F50" s="75">
        <v>0</v>
      </c>
      <c r="G50" s="67"/>
    </row>
    <row r="51" spans="1:7" ht="39" customHeight="1">
      <c r="A51" s="57"/>
      <c r="B51" s="56" t="s">
        <v>326</v>
      </c>
      <c r="C51" s="78" t="s">
        <v>116</v>
      </c>
      <c r="D51" s="75">
        <v>0</v>
      </c>
      <c r="E51" s="75">
        <v>0</v>
      </c>
      <c r="F51" s="75">
        <v>0</v>
      </c>
      <c r="G51" s="67"/>
    </row>
    <row r="52" spans="1:7" ht="66" customHeight="1">
      <c r="A52" s="54">
        <v>7</v>
      </c>
      <c r="B52" s="73" t="s">
        <v>357</v>
      </c>
      <c r="C52" s="74" t="s">
        <v>117</v>
      </c>
      <c r="D52" s="84">
        <v>50596208</v>
      </c>
      <c r="E52" s="84">
        <v>30129244</v>
      </c>
      <c r="F52" s="84">
        <v>789072795</v>
      </c>
      <c r="G52" s="67"/>
    </row>
    <row r="53" spans="1:7" ht="39" customHeight="1">
      <c r="A53" s="57"/>
      <c r="B53" s="77" t="s">
        <v>70</v>
      </c>
      <c r="C53" s="78" t="s">
        <v>118</v>
      </c>
      <c r="D53" s="84">
        <v>50385435</v>
      </c>
      <c r="E53" s="84">
        <v>30045838</v>
      </c>
      <c r="F53" s="75">
        <v>785477999</v>
      </c>
      <c r="G53" s="67"/>
    </row>
    <row r="54" spans="1:7" ht="39" customHeight="1">
      <c r="A54" s="57"/>
      <c r="B54" s="77" t="s">
        <v>71</v>
      </c>
      <c r="C54" s="78" t="s">
        <v>119</v>
      </c>
      <c r="D54" s="84">
        <v>210773</v>
      </c>
      <c r="E54" s="84">
        <v>83406</v>
      </c>
      <c r="F54" s="75">
        <v>3594796</v>
      </c>
      <c r="G54" s="67"/>
    </row>
    <row r="55" spans="1:7" ht="39" customHeight="1">
      <c r="A55" s="57"/>
      <c r="B55" s="77" t="s">
        <v>72</v>
      </c>
      <c r="C55" s="78" t="s">
        <v>120</v>
      </c>
      <c r="D55" s="84">
        <v>0</v>
      </c>
      <c r="E55" s="84">
        <v>0</v>
      </c>
      <c r="F55" s="75">
        <v>0</v>
      </c>
      <c r="G55" s="67"/>
    </row>
    <row r="56" spans="1:7" ht="39" customHeight="1">
      <c r="A56" s="54">
        <v>8</v>
      </c>
      <c r="B56" s="73" t="s">
        <v>73</v>
      </c>
      <c r="C56" s="74" t="s">
        <v>121</v>
      </c>
      <c r="D56" s="84">
        <v>977899</v>
      </c>
      <c r="E56" s="84">
        <v>939570</v>
      </c>
      <c r="F56" s="84">
        <v>19261079</v>
      </c>
      <c r="G56" s="67"/>
    </row>
    <row r="57" spans="1:7" ht="39" customHeight="1">
      <c r="A57" s="54"/>
      <c r="B57" s="77" t="s">
        <v>74</v>
      </c>
      <c r="C57" s="78" t="s">
        <v>122</v>
      </c>
      <c r="D57" s="84">
        <v>0</v>
      </c>
      <c r="E57" s="84">
        <v>0</v>
      </c>
      <c r="F57" s="84">
        <v>0</v>
      </c>
      <c r="G57" s="85"/>
    </row>
    <row r="58" spans="1:7" ht="39" customHeight="1">
      <c r="A58" s="54"/>
      <c r="B58" s="77" t="s">
        <v>358</v>
      </c>
      <c r="C58" s="78" t="s">
        <v>123</v>
      </c>
      <c r="D58" s="84">
        <v>0</v>
      </c>
      <c r="E58" s="84">
        <v>0</v>
      </c>
      <c r="F58" s="84">
        <v>0</v>
      </c>
      <c r="G58" s="85"/>
    </row>
    <row r="59" spans="1:7" ht="39" customHeight="1">
      <c r="A59" s="54"/>
      <c r="B59" s="77" t="s">
        <v>75</v>
      </c>
      <c r="C59" s="78" t="s">
        <v>124</v>
      </c>
      <c r="D59" s="84">
        <v>0</v>
      </c>
      <c r="E59" s="84">
        <v>0</v>
      </c>
      <c r="F59" s="84">
        <v>0</v>
      </c>
      <c r="G59" s="85"/>
    </row>
    <row r="60" spans="1:7" ht="39" customHeight="1">
      <c r="A60" s="54"/>
      <c r="B60" s="77" t="s">
        <v>76</v>
      </c>
      <c r="C60" s="78" t="s">
        <v>125</v>
      </c>
      <c r="D60" s="84">
        <v>977899</v>
      </c>
      <c r="E60" s="84">
        <v>939570</v>
      </c>
      <c r="F60" s="84">
        <v>18161079</v>
      </c>
      <c r="G60" s="85"/>
    </row>
    <row r="61" spans="1:7" ht="39" customHeight="1">
      <c r="A61" s="54"/>
      <c r="B61" s="77" t="s">
        <v>359</v>
      </c>
      <c r="C61" s="78" t="s">
        <v>126</v>
      </c>
      <c r="D61" s="84">
        <v>0</v>
      </c>
      <c r="E61" s="84">
        <v>0</v>
      </c>
      <c r="F61" s="84">
        <v>0</v>
      </c>
      <c r="G61" s="85"/>
    </row>
    <row r="62" spans="1:7" ht="39" customHeight="1">
      <c r="A62" s="54"/>
      <c r="B62" s="77" t="s">
        <v>72</v>
      </c>
      <c r="C62" s="78" t="s">
        <v>127</v>
      </c>
      <c r="D62" s="84">
        <v>0</v>
      </c>
      <c r="E62" s="84">
        <v>0</v>
      </c>
      <c r="F62" s="84">
        <v>0</v>
      </c>
      <c r="G62" s="85"/>
    </row>
    <row r="63" spans="1:7" ht="39" customHeight="1">
      <c r="A63" s="54"/>
      <c r="B63" s="77" t="s">
        <v>360</v>
      </c>
      <c r="C63" s="78" t="s">
        <v>128</v>
      </c>
      <c r="D63" s="84">
        <v>0</v>
      </c>
      <c r="E63" s="84">
        <v>0</v>
      </c>
      <c r="F63" s="84">
        <v>1100000</v>
      </c>
      <c r="G63" s="85"/>
    </row>
    <row r="64" spans="1:7" s="72" customFormat="1" ht="45.75" customHeight="1">
      <c r="A64" s="86" t="s">
        <v>54</v>
      </c>
      <c r="B64" s="68" t="s">
        <v>361</v>
      </c>
      <c r="C64" s="69" t="s">
        <v>129</v>
      </c>
      <c r="D64" s="70">
        <v>773782254</v>
      </c>
      <c r="E64" s="70">
        <v>-454486656</v>
      </c>
      <c r="F64" s="70">
        <v>-1576762625</v>
      </c>
      <c r="G64" s="71"/>
    </row>
    <row r="65" spans="1:7" s="72" customFormat="1" ht="39" customHeight="1">
      <c r="A65" s="86" t="s">
        <v>55</v>
      </c>
      <c r="B65" s="68" t="s">
        <v>327</v>
      </c>
      <c r="C65" s="69" t="s">
        <v>130</v>
      </c>
      <c r="D65" s="70">
        <v>3944847600</v>
      </c>
      <c r="E65" s="70">
        <v>17556754800</v>
      </c>
      <c r="F65" s="70">
        <v>-41069522900</v>
      </c>
      <c r="G65" s="71"/>
    </row>
    <row r="66" spans="1:7" ht="39" customHeight="1">
      <c r="A66" s="54">
        <v>1</v>
      </c>
      <c r="B66" s="73" t="s">
        <v>77</v>
      </c>
      <c r="C66" s="74" t="s">
        <v>131</v>
      </c>
      <c r="D66" s="75">
        <v>-3831917178</v>
      </c>
      <c r="E66" s="75">
        <v>-1424419901</v>
      </c>
      <c r="F66" s="75">
        <v>-53467707234</v>
      </c>
      <c r="G66" s="67"/>
    </row>
    <row r="67" spans="1:7" ht="39" customHeight="1">
      <c r="A67" s="54">
        <v>2</v>
      </c>
      <c r="B67" s="73" t="s">
        <v>78</v>
      </c>
      <c r="C67" s="74" t="s">
        <v>132</v>
      </c>
      <c r="D67" s="75">
        <v>7776764778</v>
      </c>
      <c r="E67" s="75">
        <v>18981174701</v>
      </c>
      <c r="F67" s="75">
        <v>12398184334</v>
      </c>
      <c r="G67" s="67"/>
    </row>
    <row r="68" spans="1:7" s="72" customFormat="1" ht="75" customHeight="1">
      <c r="A68" s="86" t="s">
        <v>56</v>
      </c>
      <c r="B68" s="68" t="s">
        <v>362</v>
      </c>
      <c r="C68" s="69" t="s">
        <v>133</v>
      </c>
      <c r="D68" s="70">
        <v>4718629854</v>
      </c>
      <c r="E68" s="70">
        <v>17102268144</v>
      </c>
      <c r="F68" s="70">
        <v>-42646285525</v>
      </c>
      <c r="G68" s="71"/>
    </row>
    <row r="69" spans="1:7" s="72" customFormat="1" ht="39" customHeight="1">
      <c r="A69" s="86" t="s">
        <v>57</v>
      </c>
      <c r="B69" s="68" t="s">
        <v>79</v>
      </c>
      <c r="C69" s="69" t="s">
        <v>134</v>
      </c>
      <c r="D69" s="70">
        <v>454514205833</v>
      </c>
      <c r="E69" s="70">
        <v>453403291695</v>
      </c>
      <c r="F69" s="70">
        <v>617969847918</v>
      </c>
      <c r="G69" s="71"/>
    </row>
    <row r="70" spans="1:7" s="72" customFormat="1" ht="46.5" customHeight="1">
      <c r="A70" s="86" t="s">
        <v>58</v>
      </c>
      <c r="B70" s="68" t="s">
        <v>80</v>
      </c>
      <c r="C70" s="69" t="s">
        <v>135</v>
      </c>
      <c r="D70" s="70">
        <v>-6745080318</v>
      </c>
      <c r="E70" s="70">
        <v>1110914138</v>
      </c>
      <c r="F70" s="70">
        <v>-170200722403</v>
      </c>
      <c r="G70" s="71"/>
    </row>
    <row r="71" spans="1:7" ht="39" customHeight="1">
      <c r="A71" s="54"/>
      <c r="B71" s="73" t="s">
        <v>81</v>
      </c>
      <c r="C71" s="74" t="s">
        <v>136</v>
      </c>
      <c r="D71" s="75"/>
      <c r="E71" s="75"/>
      <c r="F71" s="75"/>
      <c r="G71" s="67"/>
    </row>
    <row r="72" spans="1:7" ht="58.5" customHeight="1">
      <c r="A72" s="54">
        <v>1</v>
      </c>
      <c r="B72" s="73" t="s">
        <v>82</v>
      </c>
      <c r="C72" s="74" t="s">
        <v>137</v>
      </c>
      <c r="D72" s="75">
        <v>4718629854</v>
      </c>
      <c r="E72" s="75">
        <v>17102268144</v>
      </c>
      <c r="F72" s="84">
        <v>-42646285525</v>
      </c>
      <c r="G72" s="67"/>
    </row>
    <row r="73" spans="1:7" ht="58.5" customHeight="1">
      <c r="A73" s="54">
        <v>2</v>
      </c>
      <c r="B73" s="73" t="s">
        <v>83</v>
      </c>
      <c r="C73" s="74" t="s">
        <v>138</v>
      </c>
      <c r="D73" s="75">
        <v>0</v>
      </c>
      <c r="E73" s="75">
        <v>0</v>
      </c>
      <c r="F73" s="84">
        <v>0</v>
      </c>
      <c r="G73" s="67"/>
    </row>
    <row r="74" spans="1:7" ht="62.65" customHeight="1">
      <c r="A74" s="54">
        <v>3</v>
      </c>
      <c r="B74" s="73" t="s">
        <v>363</v>
      </c>
      <c r="C74" s="74" t="s">
        <v>139</v>
      </c>
      <c r="D74" s="84">
        <v>4731837100</v>
      </c>
      <c r="E74" s="84">
        <v>3018252800</v>
      </c>
      <c r="F74" s="84">
        <v>57827327387</v>
      </c>
      <c r="G74" s="67"/>
    </row>
    <row r="75" spans="1:7" ht="46.9" customHeight="1">
      <c r="A75" s="54">
        <v>4</v>
      </c>
      <c r="B75" s="73" t="s">
        <v>364</v>
      </c>
      <c r="C75" s="74" t="s">
        <v>140</v>
      </c>
      <c r="D75" s="84">
        <v>-16195547272</v>
      </c>
      <c r="E75" s="84">
        <v>-19009606806</v>
      </c>
      <c r="F75" s="75">
        <v>-185381764265</v>
      </c>
      <c r="G75" s="67"/>
    </row>
    <row r="76" spans="1:7" s="72" customFormat="1" ht="37.9" customHeight="1">
      <c r="A76" s="51" t="s">
        <v>59</v>
      </c>
      <c r="B76" s="68" t="s">
        <v>84</v>
      </c>
      <c r="C76" s="69" t="s">
        <v>141</v>
      </c>
      <c r="D76" s="70">
        <v>447769125515</v>
      </c>
      <c r="E76" s="70">
        <v>454514205833</v>
      </c>
      <c r="F76" s="70">
        <v>447769125515</v>
      </c>
      <c r="G76" s="71"/>
    </row>
    <row r="77" spans="1:7" s="72" customFormat="1" ht="57.4" customHeight="1">
      <c r="A77" s="51" t="s">
        <v>60</v>
      </c>
      <c r="B77" s="68" t="s">
        <v>328</v>
      </c>
      <c r="C77" s="69" t="s">
        <v>142</v>
      </c>
      <c r="D77" s="70">
        <v>0</v>
      </c>
      <c r="E77" s="70">
        <v>0</v>
      </c>
      <c r="F77" s="70">
        <v>0</v>
      </c>
      <c r="G77" s="87"/>
    </row>
    <row r="78" spans="1:7" ht="57" customHeight="1">
      <c r="A78" s="52"/>
      <c r="B78" s="73" t="s">
        <v>329</v>
      </c>
      <c r="C78" s="74" t="s">
        <v>143</v>
      </c>
      <c r="D78" s="95">
        <v>0</v>
      </c>
      <c r="E78" s="95">
        <v>0</v>
      </c>
      <c r="F78" s="95">
        <v>0</v>
      </c>
      <c r="G78" s="87"/>
    </row>
    <row r="81" spans="1:7" ht="16.899999999999999" customHeight="1">
      <c r="A81" s="88" t="str">
        <f>TONGQUAN!C16</f>
        <v>Đại diện có thẩm quyền của Ngân hàng giám sát</v>
      </c>
      <c r="D81" s="88" t="str">
        <f>TONGQUAN!F16</f>
        <v>Đại diện có thẩm quyền của Công ty quản lý Quỹ</v>
      </c>
    </row>
    <row r="82" spans="1:7" s="90" customFormat="1" ht="16.899999999999999" customHeight="1">
      <c r="A82" s="89" t="str">
        <f>TONGQUAN!C17</f>
        <v>Authorised Representative of Supervisory Bank</v>
      </c>
      <c r="B82" s="89"/>
      <c r="C82" s="89"/>
      <c r="D82" s="89" t="str">
        <f>TONGQUAN!F17</f>
        <v>Authorised Representative of Fund Management Company</v>
      </c>
      <c r="E82" s="89"/>
      <c r="F82" s="89"/>
      <c r="G82" s="8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1" t="str">
        <f>TONGQUAN!C19</f>
        <v>Ngân hàng TNHH MTV Standard Chartered (Việt Nam)</v>
      </c>
      <c r="B90" s="92"/>
      <c r="D90" s="91" t="str">
        <f>TONGQUAN!F19</f>
        <v>Công ty Cổ phần Quản lý Quỹ Đầu tư Việt Nam</v>
      </c>
      <c r="E90" s="92"/>
      <c r="F90" s="92"/>
    </row>
    <row r="91" spans="1:7" ht="16.899999999999999" customHeight="1">
      <c r="A91" s="88" t="str">
        <f>TONGQUAN!C20</f>
        <v>Bùi Thị Huyền Trang</v>
      </c>
      <c r="D91" s="88" t="str">
        <f>TONGQUAN!F20</f>
        <v>Trần Thanh Tân</v>
      </c>
    </row>
    <row r="92" spans="1:7" ht="16.899999999999999" customHeight="1">
      <c r="A92" s="49" t="str">
        <f>TONGQUAN!C21</f>
        <v>Cán bộ Quản lý Nghiệp vụ Dịch vụ Chứng khoán</v>
      </c>
      <c r="D92" s="49" t="str">
        <f>TONGQUAN!F21</f>
        <v>Tổng Giám đốc</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9"/>
  <sheetViews>
    <sheetView view="pageBreakPreview" topLeftCell="A116" zoomScale="85" zoomScaleNormal="100" zoomScaleSheetLayoutView="85" workbookViewId="0">
      <selection activeCell="D68" sqref="D68"/>
    </sheetView>
  </sheetViews>
  <sheetFormatPr defaultColWidth="8.7265625" defaultRowHeight="12.5"/>
  <cols>
    <col min="1" max="1" width="9" style="49" customWidth="1"/>
    <col min="2" max="2" width="39.81640625" style="49" customWidth="1"/>
    <col min="3" max="3" width="9.26953125" style="49" customWidth="1"/>
    <col min="4" max="4" width="17.81640625" style="49" customWidth="1"/>
    <col min="5" max="5" width="18.26953125" style="49" customWidth="1"/>
    <col min="6" max="6" width="21.26953125" style="49" customWidth="1"/>
    <col min="7" max="7" width="15.453125" style="49" customWidth="1"/>
    <col min="8" max="16384" width="8.7265625" style="93"/>
  </cols>
  <sheetData>
    <row r="1" spans="1:7" ht="25.9" customHeight="1">
      <c r="A1" s="255" t="s">
        <v>637</v>
      </c>
      <c r="B1" s="255"/>
      <c r="C1" s="255"/>
      <c r="D1" s="255"/>
      <c r="E1" s="255"/>
      <c r="F1" s="255"/>
      <c r="G1" s="255"/>
    </row>
    <row r="2" spans="1:7" ht="44.5" customHeight="1">
      <c r="A2" s="256" t="s">
        <v>638</v>
      </c>
      <c r="B2" s="256"/>
      <c r="C2" s="256"/>
      <c r="D2" s="256"/>
      <c r="E2" s="256"/>
      <c r="F2" s="256"/>
      <c r="G2" s="256"/>
    </row>
    <row r="3" spans="1:7" ht="15" customHeight="1">
      <c r="A3" s="257" t="s">
        <v>639</v>
      </c>
      <c r="B3" s="257"/>
      <c r="C3" s="257"/>
      <c r="D3" s="257"/>
      <c r="E3" s="257"/>
      <c r="F3" s="257"/>
      <c r="G3" s="257"/>
    </row>
    <row r="4" spans="1:7" ht="27.4" customHeight="1">
      <c r="A4" s="257"/>
      <c r="B4" s="257"/>
      <c r="C4" s="257"/>
      <c r="D4" s="257"/>
      <c r="E4" s="257"/>
      <c r="F4" s="257"/>
      <c r="G4" s="257"/>
    </row>
    <row r="5" spans="1:7" ht="16.899999999999999" customHeight="1">
      <c r="A5" s="258" t="str">
        <f>TONGQUAN!C1</f>
        <v>Tại ngày 31 tháng 10 năm 2020
/ As at 31 Oct 2020</v>
      </c>
      <c r="B5" s="258"/>
      <c r="C5" s="258"/>
      <c r="D5" s="258"/>
      <c r="E5" s="258"/>
      <c r="F5" s="258"/>
      <c r="G5" s="258"/>
    </row>
    <row r="6" spans="1:7" ht="16.899999999999999" customHeight="1"/>
    <row r="7" spans="1:7" ht="16.899999999999999" customHeight="1">
      <c r="A7" s="154" t="s">
        <v>2</v>
      </c>
      <c r="C7" s="265" t="str">
        <f>TONGQUAN!D5</f>
        <v>Công ty Cổ phần Quản lý Quỹ Đầu tư Việt Nam</v>
      </c>
      <c r="D7" s="265"/>
      <c r="E7" s="265"/>
      <c r="F7" s="265"/>
      <c r="G7" s="265"/>
    </row>
    <row r="8" spans="1:7" ht="16.899999999999999" customHeight="1">
      <c r="A8" s="49" t="s">
        <v>41</v>
      </c>
      <c r="C8" s="264" t="str">
        <f>TONGQUAN!D6</f>
        <v>Vietnam Investment Fund Management Joint Stock Company</v>
      </c>
      <c r="D8" s="264"/>
      <c r="E8" s="264"/>
      <c r="F8" s="264"/>
      <c r="G8" s="264"/>
    </row>
    <row r="9" spans="1:7" ht="16.899999999999999" customHeight="1">
      <c r="A9" s="154" t="s">
        <v>3</v>
      </c>
      <c r="C9" s="265" t="str">
        <f>TONGQUAN!D7</f>
        <v>Ngân hàng TNHH Một thành viên Standard Chartered (Việt Nam)</v>
      </c>
      <c r="D9" s="265"/>
      <c r="E9" s="265"/>
      <c r="F9" s="265"/>
      <c r="G9" s="265"/>
    </row>
    <row r="10" spans="1:7" ht="16.899999999999999" customHeight="1">
      <c r="A10" s="49" t="s">
        <v>4</v>
      </c>
      <c r="C10" s="264" t="str">
        <f>TONGQUAN!D8</f>
        <v>Standard Chartered Bank (Vietnam) Limited</v>
      </c>
      <c r="D10" s="264"/>
      <c r="E10" s="264"/>
      <c r="F10" s="264"/>
      <c r="G10" s="264"/>
    </row>
    <row r="11" spans="1:7" ht="16.899999999999999" customHeight="1">
      <c r="A11" s="160" t="s">
        <v>5</v>
      </c>
      <c r="C11" s="265" t="str">
        <f>TONGQUAN!D9</f>
        <v>Quỹ Đầu tư Doanh nghiệp hàng đầu Việt Nam</v>
      </c>
      <c r="D11" s="265"/>
      <c r="E11" s="265"/>
      <c r="F11" s="265"/>
      <c r="G11" s="265"/>
    </row>
    <row r="12" spans="1:7" ht="16.899999999999999" customHeight="1">
      <c r="A12" s="49" t="s">
        <v>6</v>
      </c>
      <c r="C12" s="264" t="str">
        <f>TONGQUAN!D10</f>
        <v>Vietnam Blue Chip Fund(VFMVF4)</v>
      </c>
      <c r="D12" s="264"/>
      <c r="E12" s="264"/>
      <c r="F12" s="264"/>
      <c r="G12" s="264"/>
    </row>
    <row r="13" spans="1:7" ht="16.899999999999999" customHeight="1">
      <c r="A13" s="154" t="s">
        <v>7</v>
      </c>
      <c r="C13" s="265" t="str">
        <f>TONGQUAN!D11</f>
        <v>Ngày 02 tháng 11 năm 2020</v>
      </c>
      <c r="D13" s="265"/>
      <c r="E13" s="265"/>
      <c r="F13" s="265"/>
      <c r="G13" s="265"/>
    </row>
    <row r="14" spans="1:7" ht="16.899999999999999" customHeight="1">
      <c r="A14" s="49" t="s">
        <v>8</v>
      </c>
      <c r="C14" s="264" t="str">
        <f>TONGQUAN!D12</f>
        <v>02 Nov 2020</v>
      </c>
      <c r="D14" s="264"/>
      <c r="E14" s="264"/>
      <c r="F14" s="264"/>
      <c r="G14" s="264"/>
    </row>
    <row r="15" spans="1:7" ht="18" hidden="1" customHeight="1"/>
    <row r="16" spans="1:7" s="232" customFormat="1" ht="16.899999999999999" customHeight="1">
      <c r="A16" s="227" t="s">
        <v>1136</v>
      </c>
      <c r="B16" s="228" t="s">
        <v>1137</v>
      </c>
      <c r="C16" s="231"/>
      <c r="D16" s="231"/>
      <c r="E16" s="231"/>
      <c r="F16" s="231"/>
      <c r="G16" s="231"/>
    </row>
    <row r="17" spans="1:7" s="232" customFormat="1" ht="16.899999999999999" customHeight="1">
      <c r="A17" s="227" t="s">
        <v>54</v>
      </c>
      <c r="B17" s="228" t="s">
        <v>641</v>
      </c>
      <c r="C17" s="231"/>
      <c r="D17" s="231"/>
      <c r="E17" s="231"/>
      <c r="F17" s="231"/>
      <c r="G17" s="231"/>
    </row>
    <row r="18" spans="1:7" ht="75.400000000000006" customHeight="1">
      <c r="A18" s="94" t="s">
        <v>302</v>
      </c>
      <c r="B18" s="94" t="s">
        <v>144</v>
      </c>
      <c r="C18" s="94" t="s">
        <v>45</v>
      </c>
      <c r="D18" s="94" t="s">
        <v>145</v>
      </c>
      <c r="E18" s="94" t="s">
        <v>146</v>
      </c>
      <c r="F18" s="94" t="s">
        <v>147</v>
      </c>
      <c r="G18" s="94" t="s">
        <v>148</v>
      </c>
    </row>
    <row r="19" spans="1:7" ht="39" customHeight="1">
      <c r="A19" s="209" t="s">
        <v>877</v>
      </c>
      <c r="B19" s="208" t="s">
        <v>878</v>
      </c>
      <c r="C19" s="209" t="s">
        <v>879</v>
      </c>
      <c r="D19" s="211"/>
      <c r="E19" s="211"/>
      <c r="F19" s="211"/>
      <c r="G19" s="210"/>
    </row>
    <row r="20" spans="1:7" ht="34" customHeight="1">
      <c r="A20" s="204" t="s">
        <v>880</v>
      </c>
      <c r="B20" s="203" t="s">
        <v>881</v>
      </c>
      <c r="C20" s="205" t="s">
        <v>882</v>
      </c>
      <c r="D20" s="207">
        <v>420000</v>
      </c>
      <c r="E20" s="213">
        <v>24100</v>
      </c>
      <c r="F20" s="207">
        <v>10122000000</v>
      </c>
      <c r="G20" s="206">
        <v>2.2326573626605398E-2</v>
      </c>
    </row>
    <row r="21" spans="1:7" ht="34" customHeight="1">
      <c r="A21" s="204" t="s">
        <v>883</v>
      </c>
      <c r="B21" s="203" t="s">
        <v>884</v>
      </c>
      <c r="C21" s="205" t="s">
        <v>885</v>
      </c>
      <c r="D21" s="207">
        <v>70000</v>
      </c>
      <c r="E21" s="213">
        <v>61600</v>
      </c>
      <c r="F21" s="207">
        <v>4312000000</v>
      </c>
      <c r="G21" s="206">
        <v>9.5111821258568006E-3</v>
      </c>
    </row>
    <row r="22" spans="1:7" ht="34" customHeight="1">
      <c r="A22" s="204" t="s">
        <v>886</v>
      </c>
      <c r="B22" s="203" t="s">
        <v>887</v>
      </c>
      <c r="C22" s="205" t="s">
        <v>888</v>
      </c>
      <c r="D22" s="207">
        <v>720000</v>
      </c>
      <c r="E22" s="213">
        <v>38500</v>
      </c>
      <c r="F22" s="207">
        <v>27720000000</v>
      </c>
      <c r="G22" s="206">
        <v>6.1143313666222297E-2</v>
      </c>
    </row>
    <row r="23" spans="1:7" ht="34" customHeight="1">
      <c r="A23" s="204" t="s">
        <v>889</v>
      </c>
      <c r="B23" s="203" t="s">
        <v>890</v>
      </c>
      <c r="C23" s="205" t="s">
        <v>891</v>
      </c>
      <c r="D23" s="207">
        <v>150000</v>
      </c>
      <c r="E23" s="213">
        <v>54300</v>
      </c>
      <c r="F23" s="207">
        <v>8145000000</v>
      </c>
      <c r="G23" s="206">
        <v>1.7965811320756898E-2</v>
      </c>
    </row>
    <row r="24" spans="1:7" ht="34" customHeight="1">
      <c r="A24" s="204" t="s">
        <v>892</v>
      </c>
      <c r="B24" s="203" t="s">
        <v>893</v>
      </c>
      <c r="C24" s="205" t="s">
        <v>894</v>
      </c>
      <c r="D24" s="207">
        <v>550000</v>
      </c>
      <c r="E24" s="213">
        <v>29000</v>
      </c>
      <c r="F24" s="207">
        <v>15950000000</v>
      </c>
      <c r="G24" s="206">
        <v>3.5181668577786603E-2</v>
      </c>
    </row>
    <row r="25" spans="1:7" ht="34" customHeight="1">
      <c r="A25" s="204" t="s">
        <v>895</v>
      </c>
      <c r="B25" s="203" t="s">
        <v>896</v>
      </c>
      <c r="C25" s="205" t="s">
        <v>897</v>
      </c>
      <c r="D25" s="207">
        <v>420000</v>
      </c>
      <c r="E25" s="213">
        <v>11500</v>
      </c>
      <c r="F25" s="207">
        <v>4830000000</v>
      </c>
      <c r="G25" s="206">
        <v>1.06537591994175E-2</v>
      </c>
    </row>
    <row r="26" spans="1:7" ht="34" customHeight="1">
      <c r="A26" s="204" t="s">
        <v>898</v>
      </c>
      <c r="B26" s="203" t="s">
        <v>899</v>
      </c>
      <c r="C26" s="205" t="s">
        <v>900</v>
      </c>
      <c r="D26" s="207">
        <v>10</v>
      </c>
      <c r="E26" s="213">
        <v>17200</v>
      </c>
      <c r="F26" s="207">
        <v>172000</v>
      </c>
      <c r="G26" s="206">
        <v>3.79388526356069E-7</v>
      </c>
    </row>
    <row r="27" spans="1:7" ht="34" customHeight="1">
      <c r="A27" s="204" t="s">
        <v>901</v>
      </c>
      <c r="B27" s="203" t="s">
        <v>902</v>
      </c>
      <c r="C27" s="205" t="s">
        <v>903</v>
      </c>
      <c r="D27" s="207">
        <v>874000</v>
      </c>
      <c r="E27" s="213">
        <v>51500</v>
      </c>
      <c r="F27" s="207">
        <v>45011000000</v>
      </c>
      <c r="G27" s="206">
        <v>9.9282889301238506E-2</v>
      </c>
    </row>
    <row r="28" spans="1:7" ht="34" customHeight="1">
      <c r="A28" s="204" t="s">
        <v>904</v>
      </c>
      <c r="B28" s="203" t="s">
        <v>905</v>
      </c>
      <c r="C28" s="205" t="s">
        <v>906</v>
      </c>
      <c r="D28" s="207">
        <v>230000</v>
      </c>
      <c r="E28" s="213">
        <v>70400</v>
      </c>
      <c r="F28" s="207">
        <v>16192000000</v>
      </c>
      <c r="G28" s="206">
        <v>3.5715459411380601E-2</v>
      </c>
    </row>
    <row r="29" spans="1:7" ht="34" customHeight="1">
      <c r="A29" s="204" t="s">
        <v>907</v>
      </c>
      <c r="B29" s="203" t="s">
        <v>908</v>
      </c>
      <c r="C29" s="205" t="s">
        <v>909</v>
      </c>
      <c r="D29" s="207">
        <v>50000</v>
      </c>
      <c r="E29" s="213">
        <v>30750</v>
      </c>
      <c r="F29" s="207">
        <v>1537500000</v>
      </c>
      <c r="G29" s="206">
        <v>3.3913363911189302E-3</v>
      </c>
    </row>
    <row r="30" spans="1:7" ht="34" customHeight="1">
      <c r="A30" s="204" t="s">
        <v>910</v>
      </c>
      <c r="B30" s="203" t="s">
        <v>911</v>
      </c>
      <c r="C30" s="205" t="s">
        <v>912</v>
      </c>
      <c r="D30" s="207">
        <v>12</v>
      </c>
      <c r="E30" s="213">
        <v>24200</v>
      </c>
      <c r="F30" s="207">
        <v>290400</v>
      </c>
      <c r="G30" s="206">
        <v>6.4054900031280495E-7</v>
      </c>
    </row>
    <row r="31" spans="1:7" ht="34" customHeight="1">
      <c r="A31" s="204" t="s">
        <v>913</v>
      </c>
      <c r="B31" s="203" t="s">
        <v>914</v>
      </c>
      <c r="C31" s="205" t="s">
        <v>915</v>
      </c>
      <c r="D31" s="207">
        <v>1320000</v>
      </c>
      <c r="E31" s="213">
        <v>30550</v>
      </c>
      <c r="F31" s="207">
        <v>40326000000</v>
      </c>
      <c r="G31" s="206">
        <v>8.8948963452528104E-2</v>
      </c>
    </row>
    <row r="32" spans="1:7" ht="34" customHeight="1">
      <c r="A32" s="204" t="s">
        <v>916</v>
      </c>
      <c r="B32" s="203" t="s">
        <v>917</v>
      </c>
      <c r="C32" s="205" t="s">
        <v>918</v>
      </c>
      <c r="D32" s="207">
        <v>650000</v>
      </c>
      <c r="E32" s="213">
        <v>13850</v>
      </c>
      <c r="F32" s="207">
        <v>9002500000</v>
      </c>
      <c r="G32" s="206">
        <v>1.98572395844216E-2</v>
      </c>
    </row>
    <row r="33" spans="1:7" ht="34" customHeight="1">
      <c r="A33" s="204" t="s">
        <v>919</v>
      </c>
      <c r="B33" s="203" t="s">
        <v>920</v>
      </c>
      <c r="C33" s="205" t="s">
        <v>921</v>
      </c>
      <c r="D33" s="207">
        <v>230000</v>
      </c>
      <c r="E33" s="213">
        <v>25000</v>
      </c>
      <c r="F33" s="207">
        <v>5750000000</v>
      </c>
      <c r="G33" s="206">
        <v>1.26830466659732E-2</v>
      </c>
    </row>
    <row r="34" spans="1:7" ht="34" customHeight="1">
      <c r="A34" s="204" t="s">
        <v>922</v>
      </c>
      <c r="B34" s="203" t="s">
        <v>923</v>
      </c>
      <c r="C34" s="205" t="s">
        <v>924</v>
      </c>
      <c r="D34" s="207">
        <v>636000</v>
      </c>
      <c r="E34" s="213">
        <v>22900</v>
      </c>
      <c r="F34" s="207">
        <v>14564400000</v>
      </c>
      <c r="G34" s="206">
        <v>3.2125385193373997E-2</v>
      </c>
    </row>
    <row r="35" spans="1:7" ht="34" customHeight="1">
      <c r="A35" s="204" t="s">
        <v>925</v>
      </c>
      <c r="B35" s="203" t="s">
        <v>926</v>
      </c>
      <c r="C35" s="205" t="s">
        <v>927</v>
      </c>
      <c r="D35" s="207">
        <v>380000</v>
      </c>
      <c r="E35" s="213">
        <v>17800</v>
      </c>
      <c r="F35" s="207">
        <v>6764000000</v>
      </c>
      <c r="G35" s="206">
        <v>1.4919674373677E-2</v>
      </c>
    </row>
    <row r="36" spans="1:7" ht="34" customHeight="1">
      <c r="A36" s="204" t="s">
        <v>928</v>
      </c>
      <c r="B36" s="203" t="s">
        <v>929</v>
      </c>
      <c r="C36" s="205" t="s">
        <v>930</v>
      </c>
      <c r="D36" s="207">
        <v>10</v>
      </c>
      <c r="E36" s="213">
        <v>84000</v>
      </c>
      <c r="F36" s="207">
        <v>840000</v>
      </c>
      <c r="G36" s="206">
        <v>1.8528276868552201E-6</v>
      </c>
    </row>
    <row r="37" spans="1:7" ht="34" customHeight="1">
      <c r="A37" s="204" t="s">
        <v>931</v>
      </c>
      <c r="B37" s="203" t="s">
        <v>932</v>
      </c>
      <c r="C37" s="205" t="s">
        <v>933</v>
      </c>
      <c r="D37" s="207">
        <v>340000</v>
      </c>
      <c r="E37" s="213">
        <v>104700</v>
      </c>
      <c r="F37" s="207">
        <v>35598000000</v>
      </c>
      <c r="G37" s="206">
        <v>7.8520190472228704E-2</v>
      </c>
    </row>
    <row r="38" spans="1:7" ht="34" customHeight="1">
      <c r="A38" s="204" t="s">
        <v>934</v>
      </c>
      <c r="B38" s="203" t="s">
        <v>935</v>
      </c>
      <c r="C38" s="205" t="s">
        <v>936</v>
      </c>
      <c r="D38" s="207">
        <v>220005</v>
      </c>
      <c r="E38" s="213">
        <v>27200</v>
      </c>
      <c r="F38" s="207">
        <v>5984136000</v>
      </c>
      <c r="G38" s="206">
        <v>1.31994915032227E-2</v>
      </c>
    </row>
    <row r="39" spans="1:7" ht="34" customHeight="1">
      <c r="A39" s="204" t="s">
        <v>937</v>
      </c>
      <c r="B39" s="203" t="s">
        <v>938</v>
      </c>
      <c r="C39" s="205" t="s">
        <v>939</v>
      </c>
      <c r="D39" s="207">
        <v>25000</v>
      </c>
      <c r="E39" s="213">
        <v>231700</v>
      </c>
      <c r="F39" s="207">
        <v>5792500000</v>
      </c>
      <c r="G39" s="206">
        <v>1.27767909239391E-2</v>
      </c>
    </row>
    <row r="40" spans="1:7" ht="34" customHeight="1">
      <c r="A40" s="204" t="s">
        <v>940</v>
      </c>
      <c r="B40" s="203" t="s">
        <v>941</v>
      </c>
      <c r="C40" s="205" t="s">
        <v>942</v>
      </c>
      <c r="D40" s="207">
        <v>10</v>
      </c>
      <c r="E40" s="213">
        <v>62000</v>
      </c>
      <c r="F40" s="207">
        <v>620000</v>
      </c>
      <c r="G40" s="206">
        <v>1.36756329267885E-6</v>
      </c>
    </row>
    <row r="41" spans="1:7" ht="34" customHeight="1">
      <c r="A41" s="204" t="s">
        <v>943</v>
      </c>
      <c r="B41" s="203" t="s">
        <v>944</v>
      </c>
      <c r="C41" s="205" t="s">
        <v>945</v>
      </c>
      <c r="D41" s="207">
        <v>260000</v>
      </c>
      <c r="E41" s="213">
        <v>55100</v>
      </c>
      <c r="F41" s="207">
        <v>14326000000</v>
      </c>
      <c r="G41" s="206">
        <v>3.1599535049866498E-2</v>
      </c>
    </row>
    <row r="42" spans="1:7" ht="34" customHeight="1">
      <c r="A42" s="204" t="s">
        <v>946</v>
      </c>
      <c r="B42" s="203" t="s">
        <v>947</v>
      </c>
      <c r="C42" s="205" t="s">
        <v>948</v>
      </c>
      <c r="D42" s="207">
        <v>10</v>
      </c>
      <c r="E42" s="213">
        <v>49000</v>
      </c>
      <c r="F42" s="207">
        <v>490000</v>
      </c>
      <c r="G42" s="206">
        <v>1.08081615066555E-6</v>
      </c>
    </row>
    <row r="43" spans="1:7" ht="34" customHeight="1">
      <c r="A43" s="204" t="s">
        <v>949</v>
      </c>
      <c r="B43" s="203" t="s">
        <v>950</v>
      </c>
      <c r="C43" s="205" t="s">
        <v>951</v>
      </c>
      <c r="D43" s="207">
        <v>160000</v>
      </c>
      <c r="E43" s="213">
        <v>69500</v>
      </c>
      <c r="F43" s="207">
        <v>11120000000</v>
      </c>
      <c r="G43" s="206">
        <v>2.45279093783691E-2</v>
      </c>
    </row>
    <row r="44" spans="1:7" ht="34" customHeight="1">
      <c r="A44" s="204" t="s">
        <v>952</v>
      </c>
      <c r="B44" s="203" t="s">
        <v>953</v>
      </c>
      <c r="C44" s="205" t="s">
        <v>954</v>
      </c>
      <c r="D44" s="207">
        <v>10</v>
      </c>
      <c r="E44" s="213">
        <v>9400</v>
      </c>
      <c r="F44" s="207">
        <v>94000</v>
      </c>
      <c r="G44" s="206">
        <v>2.0734024114808399E-7</v>
      </c>
    </row>
    <row r="45" spans="1:7" ht="34" customHeight="1">
      <c r="A45" s="204" t="s">
        <v>955</v>
      </c>
      <c r="B45" s="203" t="s">
        <v>956</v>
      </c>
      <c r="C45" s="205" t="s">
        <v>957</v>
      </c>
      <c r="D45" s="207">
        <v>100000</v>
      </c>
      <c r="E45" s="213">
        <v>51800</v>
      </c>
      <c r="F45" s="207">
        <v>5180000000</v>
      </c>
      <c r="G45" s="206">
        <v>1.14257707356072E-2</v>
      </c>
    </row>
    <row r="46" spans="1:7" ht="34" customHeight="1">
      <c r="A46" s="204" t="s">
        <v>958</v>
      </c>
      <c r="B46" s="203" t="s">
        <v>959</v>
      </c>
      <c r="C46" s="205" t="s">
        <v>960</v>
      </c>
      <c r="D46" s="207">
        <v>10</v>
      </c>
      <c r="E46" s="213">
        <v>41900</v>
      </c>
      <c r="F46" s="207">
        <v>419000</v>
      </c>
      <c r="G46" s="206">
        <v>9.2420809618135401E-7</v>
      </c>
    </row>
    <row r="47" spans="1:7" ht="34" customHeight="1">
      <c r="A47" s="204" t="s">
        <v>961</v>
      </c>
      <c r="B47" s="203" t="s">
        <v>962</v>
      </c>
      <c r="C47" s="205" t="s">
        <v>963</v>
      </c>
      <c r="D47" s="207">
        <v>10</v>
      </c>
      <c r="E47" s="213">
        <v>2200</v>
      </c>
      <c r="F47" s="207">
        <v>22000</v>
      </c>
      <c r="G47" s="206">
        <v>4.85264394176367E-8</v>
      </c>
    </row>
    <row r="48" spans="1:7" ht="34" customHeight="1">
      <c r="A48" s="204" t="s">
        <v>964</v>
      </c>
      <c r="B48" s="203" t="s">
        <v>965</v>
      </c>
      <c r="C48" s="205" t="s">
        <v>966</v>
      </c>
      <c r="D48" s="207">
        <v>40010</v>
      </c>
      <c r="E48" s="213">
        <v>184300</v>
      </c>
      <c r="F48" s="207">
        <v>7373843000</v>
      </c>
      <c r="G48" s="206">
        <v>1.6264833891575702E-2</v>
      </c>
    </row>
    <row r="49" spans="1:7" ht="34" customHeight="1">
      <c r="A49" s="204" t="s">
        <v>967</v>
      </c>
      <c r="B49" s="203" t="s">
        <v>968</v>
      </c>
      <c r="C49" s="205" t="s">
        <v>969</v>
      </c>
      <c r="D49" s="207">
        <v>10</v>
      </c>
      <c r="E49" s="213">
        <v>14700</v>
      </c>
      <c r="F49" s="207">
        <v>147000</v>
      </c>
      <c r="G49" s="206">
        <v>3.2424484519966398E-7</v>
      </c>
    </row>
    <row r="50" spans="1:7" ht="34" customHeight="1">
      <c r="A50" s="204" t="s">
        <v>970</v>
      </c>
      <c r="B50" s="203" t="s">
        <v>971</v>
      </c>
      <c r="C50" s="205" t="s">
        <v>972</v>
      </c>
      <c r="D50" s="207">
        <v>11</v>
      </c>
      <c r="E50" s="213">
        <v>17100</v>
      </c>
      <c r="F50" s="207">
        <v>188100</v>
      </c>
      <c r="G50" s="206">
        <v>4.1490105702079398E-7</v>
      </c>
    </row>
    <row r="51" spans="1:7" ht="34" customHeight="1">
      <c r="A51" s="204" t="s">
        <v>973</v>
      </c>
      <c r="B51" s="203" t="s">
        <v>974</v>
      </c>
      <c r="C51" s="205" t="s">
        <v>975</v>
      </c>
      <c r="D51" s="207">
        <v>10</v>
      </c>
      <c r="E51" s="213">
        <v>13300</v>
      </c>
      <c r="F51" s="207">
        <v>133000</v>
      </c>
      <c r="G51" s="206">
        <v>2.93364383752077E-7</v>
      </c>
    </row>
    <row r="52" spans="1:7" ht="34" customHeight="1">
      <c r="A52" s="204" t="s">
        <v>976</v>
      </c>
      <c r="B52" s="203" t="s">
        <v>977</v>
      </c>
      <c r="C52" s="205" t="s">
        <v>978</v>
      </c>
      <c r="D52" s="207">
        <v>350000</v>
      </c>
      <c r="E52" s="213">
        <v>23250</v>
      </c>
      <c r="F52" s="207">
        <v>8137500000</v>
      </c>
      <c r="G52" s="206">
        <v>1.7949268216409901E-2</v>
      </c>
    </row>
    <row r="53" spans="1:7" ht="34" customHeight="1">
      <c r="A53" s="204" t="s">
        <v>979</v>
      </c>
      <c r="B53" s="203" t="s">
        <v>980</v>
      </c>
      <c r="C53" s="205" t="s">
        <v>981</v>
      </c>
      <c r="D53" s="207">
        <v>480000</v>
      </c>
      <c r="E53" s="213">
        <v>21350</v>
      </c>
      <c r="F53" s="207">
        <v>10248000000</v>
      </c>
      <c r="G53" s="206">
        <v>2.2604497779633699E-2</v>
      </c>
    </row>
    <row r="54" spans="1:7" ht="34" customHeight="1">
      <c r="A54" s="204" t="s">
        <v>982</v>
      </c>
      <c r="B54" s="203" t="s">
        <v>983</v>
      </c>
      <c r="C54" s="205" t="s">
        <v>984</v>
      </c>
      <c r="D54" s="207">
        <v>10</v>
      </c>
      <c r="E54" s="213">
        <v>18500</v>
      </c>
      <c r="F54" s="207">
        <v>185000</v>
      </c>
      <c r="G54" s="206">
        <v>4.080632405574E-7</v>
      </c>
    </row>
    <row r="55" spans="1:7" ht="34" customHeight="1">
      <c r="A55" s="204" t="s">
        <v>985</v>
      </c>
      <c r="B55" s="203" t="s">
        <v>986</v>
      </c>
      <c r="C55" s="205" t="s">
        <v>987</v>
      </c>
      <c r="D55" s="207">
        <v>120000</v>
      </c>
      <c r="E55" s="213">
        <v>27550</v>
      </c>
      <c r="F55" s="207">
        <v>3306000000</v>
      </c>
      <c r="G55" s="206">
        <v>7.2922003961230497E-3</v>
      </c>
    </row>
    <row r="56" spans="1:7" ht="34" customHeight="1">
      <c r="A56" s="204" t="s">
        <v>988</v>
      </c>
      <c r="B56" s="203" t="s">
        <v>989</v>
      </c>
      <c r="C56" s="205" t="s">
        <v>990</v>
      </c>
      <c r="D56" s="207">
        <v>510000</v>
      </c>
      <c r="E56" s="213">
        <v>83000</v>
      </c>
      <c r="F56" s="207">
        <v>42330000000</v>
      </c>
      <c r="G56" s="206">
        <v>9.3369280934025606E-2</v>
      </c>
    </row>
    <row r="57" spans="1:7" ht="34" customHeight="1">
      <c r="A57" s="204" t="s">
        <v>991</v>
      </c>
      <c r="B57" s="203" t="s">
        <v>992</v>
      </c>
      <c r="C57" s="205" t="s">
        <v>993</v>
      </c>
      <c r="D57" s="207">
        <v>380000</v>
      </c>
      <c r="E57" s="213">
        <v>40900</v>
      </c>
      <c r="F57" s="207">
        <v>15542000000</v>
      </c>
      <c r="G57" s="206">
        <v>3.4281723701314097E-2</v>
      </c>
    </row>
    <row r="58" spans="1:7" ht="34" customHeight="1">
      <c r="A58" s="204" t="s">
        <v>994</v>
      </c>
      <c r="B58" s="203" t="s">
        <v>995</v>
      </c>
      <c r="C58" s="205" t="s">
        <v>996</v>
      </c>
      <c r="D58" s="207">
        <v>245000</v>
      </c>
      <c r="E58" s="213">
        <v>76000</v>
      </c>
      <c r="F58" s="207">
        <v>18620000000</v>
      </c>
      <c r="G58" s="206">
        <v>4.1071013725290699E-2</v>
      </c>
    </row>
    <row r="59" spans="1:7" ht="34" customHeight="1">
      <c r="A59" s="204" t="s">
        <v>997</v>
      </c>
      <c r="B59" s="203" t="s">
        <v>998</v>
      </c>
      <c r="C59" s="205" t="s">
        <v>999</v>
      </c>
      <c r="D59" s="207">
        <v>100000</v>
      </c>
      <c r="E59" s="213">
        <v>106500</v>
      </c>
      <c r="F59" s="207">
        <v>10650000000</v>
      </c>
      <c r="G59" s="206">
        <v>2.3491208172628699E-2</v>
      </c>
    </row>
    <row r="60" spans="1:7" ht="34" customHeight="1">
      <c r="A60" s="204" t="s">
        <v>1000</v>
      </c>
      <c r="B60" s="203" t="s">
        <v>1001</v>
      </c>
      <c r="C60" s="205" t="s">
        <v>1002</v>
      </c>
      <c r="D60" s="207">
        <v>10</v>
      </c>
      <c r="E60" s="213">
        <v>101200</v>
      </c>
      <c r="F60" s="207">
        <v>1012000</v>
      </c>
      <c r="G60" s="206">
        <v>2.2322162132112901E-6</v>
      </c>
    </row>
    <row r="61" spans="1:7" ht="34" customHeight="1">
      <c r="A61" s="204" t="s">
        <v>1003</v>
      </c>
      <c r="B61" s="203" t="s">
        <v>1004</v>
      </c>
      <c r="C61" s="205" t="s">
        <v>1005</v>
      </c>
      <c r="D61" s="207">
        <v>180000</v>
      </c>
      <c r="E61" s="213">
        <v>108000</v>
      </c>
      <c r="F61" s="207">
        <v>19440000000</v>
      </c>
      <c r="G61" s="206">
        <v>4.2879726467220797E-2</v>
      </c>
    </row>
    <row r="62" spans="1:7" ht="34" customHeight="1">
      <c r="A62" s="204" t="s">
        <v>1006</v>
      </c>
      <c r="B62" s="203" t="s">
        <v>1007</v>
      </c>
      <c r="C62" s="205" t="s">
        <v>1008</v>
      </c>
      <c r="D62" s="207">
        <v>390000</v>
      </c>
      <c r="E62" s="213">
        <v>23600</v>
      </c>
      <c r="F62" s="207">
        <v>9204000000</v>
      </c>
      <c r="G62" s="206">
        <v>2.0301697654542199E-2</v>
      </c>
    </row>
    <row r="63" spans="1:7" ht="34" customHeight="1">
      <c r="A63" s="204" t="s">
        <v>1009</v>
      </c>
      <c r="B63" s="203" t="s">
        <v>1010</v>
      </c>
      <c r="C63" s="205" t="s">
        <v>1011</v>
      </c>
      <c r="D63" s="207">
        <v>250000</v>
      </c>
      <c r="E63" s="213">
        <v>25300</v>
      </c>
      <c r="F63" s="207">
        <v>6325000000</v>
      </c>
      <c r="G63" s="206">
        <v>1.39513513325706E-2</v>
      </c>
    </row>
    <row r="64" spans="1:7" ht="34" customHeight="1">
      <c r="A64" s="204" t="s">
        <v>1012</v>
      </c>
      <c r="B64" s="203" t="s">
        <v>1013</v>
      </c>
      <c r="C64" s="205" t="s">
        <v>1014</v>
      </c>
      <c r="D64" s="207">
        <v>45100</v>
      </c>
      <c r="E64" s="213">
        <v>108000</v>
      </c>
      <c r="F64" s="207">
        <v>4870800000</v>
      </c>
      <c r="G64" s="206">
        <v>1.0743753687064799E-2</v>
      </c>
    </row>
    <row r="65" spans="1:7" ht="39" customHeight="1">
      <c r="A65" s="209"/>
      <c r="B65" s="208" t="s">
        <v>1015</v>
      </c>
      <c r="C65" s="209" t="s">
        <v>1016</v>
      </c>
      <c r="D65" s="211"/>
      <c r="E65" s="211"/>
      <c r="F65" s="211">
        <v>444278791500</v>
      </c>
      <c r="G65" s="210">
        <v>0.97996672092116399</v>
      </c>
    </row>
    <row r="66" spans="1:7" ht="39" customHeight="1">
      <c r="A66" s="209" t="s">
        <v>1017</v>
      </c>
      <c r="B66" s="208" t="s">
        <v>1018</v>
      </c>
      <c r="C66" s="209" t="s">
        <v>1019</v>
      </c>
      <c r="D66" s="211"/>
      <c r="E66" s="211"/>
      <c r="F66" s="211"/>
      <c r="G66" s="210"/>
    </row>
    <row r="67" spans="1:7" ht="39" customHeight="1">
      <c r="A67" s="209"/>
      <c r="B67" s="208" t="s">
        <v>1020</v>
      </c>
      <c r="C67" s="209" t="s">
        <v>1021</v>
      </c>
      <c r="D67" s="211">
        <v>0</v>
      </c>
      <c r="E67" s="211"/>
      <c r="F67" s="211">
        <v>0</v>
      </c>
      <c r="G67" s="210">
        <v>0</v>
      </c>
    </row>
    <row r="68" spans="1:7" ht="39" customHeight="1">
      <c r="A68" s="209"/>
      <c r="B68" s="208" t="s">
        <v>1022</v>
      </c>
      <c r="C68" s="209" t="s">
        <v>1023</v>
      </c>
      <c r="D68" s="211"/>
      <c r="E68" s="211"/>
      <c r="F68" s="211">
        <v>444278791500</v>
      </c>
      <c r="G68" s="210">
        <v>0.97996672092116399</v>
      </c>
    </row>
    <row r="69" spans="1:7" ht="39" customHeight="1">
      <c r="A69" s="209" t="s">
        <v>1024</v>
      </c>
      <c r="B69" s="208" t="s">
        <v>1025</v>
      </c>
      <c r="C69" s="209" t="s">
        <v>1026</v>
      </c>
      <c r="D69" s="211"/>
      <c r="E69" s="211"/>
      <c r="F69" s="211"/>
      <c r="G69" s="210"/>
    </row>
    <row r="70" spans="1:7" ht="39" customHeight="1">
      <c r="A70" s="204" t="s">
        <v>1027</v>
      </c>
      <c r="B70" s="203" t="s">
        <v>1028</v>
      </c>
      <c r="C70" s="205" t="s">
        <v>1029</v>
      </c>
      <c r="D70" s="207">
        <v>0</v>
      </c>
      <c r="E70" s="213"/>
      <c r="F70" s="207">
        <v>0</v>
      </c>
      <c r="G70" s="206">
        <v>0</v>
      </c>
    </row>
    <row r="71" spans="1:7" ht="39" customHeight="1">
      <c r="A71" s="204" t="s">
        <v>1030</v>
      </c>
      <c r="B71" s="203" t="s">
        <v>1031</v>
      </c>
      <c r="C71" s="205" t="s">
        <v>1032</v>
      </c>
      <c r="D71" s="207">
        <v>0</v>
      </c>
      <c r="E71" s="213"/>
      <c r="F71" s="207">
        <v>0</v>
      </c>
      <c r="G71" s="206">
        <v>0</v>
      </c>
    </row>
    <row r="72" spans="1:7" ht="39" customHeight="1">
      <c r="A72" s="209"/>
      <c r="B72" s="208" t="s">
        <v>1033</v>
      </c>
      <c r="C72" s="209" t="s">
        <v>1034</v>
      </c>
      <c r="D72" s="211">
        <v>0</v>
      </c>
      <c r="E72" s="211"/>
      <c r="F72" s="211">
        <v>0</v>
      </c>
      <c r="G72" s="210">
        <v>0</v>
      </c>
    </row>
    <row r="73" spans="1:7" ht="39" customHeight="1">
      <c r="A73" s="209" t="s">
        <v>1035</v>
      </c>
      <c r="B73" s="208" t="s">
        <v>1036</v>
      </c>
      <c r="C73" s="209" t="s">
        <v>1037</v>
      </c>
      <c r="D73" s="211"/>
      <c r="E73" s="211"/>
      <c r="F73" s="211"/>
      <c r="G73" s="210"/>
    </row>
    <row r="74" spans="1:7" ht="39" customHeight="1">
      <c r="A74" s="204" t="s">
        <v>1038</v>
      </c>
      <c r="B74" s="203" t="s">
        <v>1039</v>
      </c>
      <c r="C74" s="205" t="s">
        <v>1040</v>
      </c>
      <c r="D74" s="207">
        <v>0</v>
      </c>
      <c r="E74" s="213"/>
      <c r="F74" s="207">
        <v>0</v>
      </c>
      <c r="G74" s="206">
        <v>0</v>
      </c>
    </row>
    <row r="75" spans="1:7" ht="39" customHeight="1">
      <c r="A75" s="204" t="s">
        <v>1041</v>
      </c>
      <c r="B75" s="203" t="s">
        <v>1042</v>
      </c>
      <c r="C75" s="205" t="s">
        <v>1043</v>
      </c>
      <c r="D75" s="207">
        <v>0</v>
      </c>
      <c r="E75" s="213"/>
      <c r="F75" s="207">
        <v>0</v>
      </c>
      <c r="G75" s="206">
        <v>0</v>
      </c>
    </row>
    <row r="76" spans="1:7" ht="34" customHeight="1">
      <c r="A76" s="209"/>
      <c r="B76" s="208" t="s">
        <v>1044</v>
      </c>
      <c r="C76" s="209" t="s">
        <v>1045</v>
      </c>
      <c r="D76" s="211"/>
      <c r="E76" s="211"/>
      <c r="F76" s="211">
        <v>0</v>
      </c>
      <c r="G76" s="210">
        <v>0</v>
      </c>
    </row>
    <row r="77" spans="1:7" ht="39" customHeight="1">
      <c r="A77" s="209"/>
      <c r="B77" s="208" t="s">
        <v>1046</v>
      </c>
      <c r="C77" s="209" t="s">
        <v>1047</v>
      </c>
      <c r="D77" s="211"/>
      <c r="E77" s="211"/>
      <c r="F77" s="211">
        <v>444278791500</v>
      </c>
      <c r="G77" s="210">
        <v>0.97996672092116399</v>
      </c>
    </row>
    <row r="78" spans="1:7" ht="39" customHeight="1">
      <c r="A78" s="209" t="s">
        <v>1048</v>
      </c>
      <c r="B78" s="208" t="s">
        <v>1049</v>
      </c>
      <c r="C78" s="209" t="s">
        <v>1050</v>
      </c>
      <c r="D78" s="211"/>
      <c r="E78" s="211"/>
      <c r="F78" s="211"/>
      <c r="G78" s="210"/>
    </row>
    <row r="79" spans="1:7" ht="39" customHeight="1">
      <c r="A79" s="204" t="s">
        <v>1051</v>
      </c>
      <c r="B79" s="203" t="s">
        <v>1052</v>
      </c>
      <c r="C79" s="205" t="s">
        <v>1053</v>
      </c>
      <c r="D79" s="207"/>
      <c r="E79" s="213"/>
      <c r="F79" s="207">
        <v>5000</v>
      </c>
      <c r="G79" s="206">
        <v>1.10287362312811E-8</v>
      </c>
    </row>
    <row r="80" spans="1:7" ht="39" customHeight="1">
      <c r="A80" s="204" t="s">
        <v>1054</v>
      </c>
      <c r="B80" s="203" t="s">
        <v>1055</v>
      </c>
      <c r="C80" s="205" t="s">
        <v>1056</v>
      </c>
      <c r="D80" s="207"/>
      <c r="E80" s="213"/>
      <c r="F80" s="207">
        <v>0</v>
      </c>
      <c r="G80" s="206">
        <v>0</v>
      </c>
    </row>
    <row r="81" spans="1:7" ht="47" customHeight="1">
      <c r="A81" s="204" t="s">
        <v>1057</v>
      </c>
      <c r="B81" s="203" t="s">
        <v>1058</v>
      </c>
      <c r="C81" s="205" t="s">
        <v>1059</v>
      </c>
      <c r="D81" s="207"/>
      <c r="E81" s="213"/>
      <c r="F81" s="207">
        <v>0</v>
      </c>
      <c r="G81" s="206">
        <v>0</v>
      </c>
    </row>
    <row r="82" spans="1:7" ht="45" customHeight="1">
      <c r="A82" s="204" t="s">
        <v>1060</v>
      </c>
      <c r="B82" s="203" t="s">
        <v>1061</v>
      </c>
      <c r="C82" s="205" t="s">
        <v>1062</v>
      </c>
      <c r="D82" s="207"/>
      <c r="E82" s="213"/>
      <c r="F82" s="207">
        <v>0</v>
      </c>
      <c r="G82" s="206">
        <v>0</v>
      </c>
    </row>
    <row r="83" spans="1:7" ht="57" customHeight="1">
      <c r="A83" s="204" t="s">
        <v>1063</v>
      </c>
      <c r="B83" s="203" t="s">
        <v>1064</v>
      </c>
      <c r="C83" s="205" t="s">
        <v>1065</v>
      </c>
      <c r="D83" s="207"/>
      <c r="E83" s="213"/>
      <c r="F83" s="207">
        <v>0</v>
      </c>
      <c r="G83" s="206">
        <v>0</v>
      </c>
    </row>
    <row r="84" spans="1:7" ht="39" customHeight="1">
      <c r="A84" s="204" t="s">
        <v>1066</v>
      </c>
      <c r="B84" s="203" t="s">
        <v>1067</v>
      </c>
      <c r="C84" s="205" t="s">
        <v>1068</v>
      </c>
      <c r="D84" s="207"/>
      <c r="E84" s="213"/>
      <c r="F84" s="207">
        <v>0</v>
      </c>
      <c r="G84" s="206">
        <v>0</v>
      </c>
    </row>
    <row r="85" spans="1:7" ht="39" customHeight="1">
      <c r="A85" s="204" t="s">
        <v>1069</v>
      </c>
      <c r="B85" s="203" t="s">
        <v>1070</v>
      </c>
      <c r="C85" s="205" t="s">
        <v>1071</v>
      </c>
      <c r="D85" s="207"/>
      <c r="E85" s="213"/>
      <c r="F85" s="207">
        <v>0</v>
      </c>
      <c r="G85" s="206">
        <v>0</v>
      </c>
    </row>
    <row r="86" spans="1:7" ht="39" customHeight="1">
      <c r="A86" s="209"/>
      <c r="B86" s="208" t="s">
        <v>1072</v>
      </c>
      <c r="C86" s="209" t="s">
        <v>1073</v>
      </c>
      <c r="D86" s="211"/>
      <c r="E86" s="211"/>
      <c r="F86" s="211">
        <v>5000</v>
      </c>
      <c r="G86" s="210">
        <v>1.10287362312811E-8</v>
      </c>
    </row>
    <row r="87" spans="1:7" ht="39" customHeight="1">
      <c r="A87" s="209" t="s">
        <v>1074</v>
      </c>
      <c r="B87" s="208" t="s">
        <v>1075</v>
      </c>
      <c r="C87" s="209" t="s">
        <v>1076</v>
      </c>
      <c r="D87" s="211"/>
      <c r="E87" s="211"/>
      <c r="F87" s="211"/>
      <c r="G87" s="210"/>
    </row>
    <row r="88" spans="1:7" ht="39" customHeight="1">
      <c r="A88" s="204" t="s">
        <v>1077</v>
      </c>
      <c r="B88" s="203" t="s">
        <v>1078</v>
      </c>
      <c r="C88" s="205" t="s">
        <v>1079</v>
      </c>
      <c r="D88" s="207"/>
      <c r="E88" s="213"/>
      <c r="F88" s="207">
        <v>9082304459</v>
      </c>
      <c r="G88" s="206">
        <v>2.0033268050099799E-2</v>
      </c>
    </row>
    <row r="89" spans="1:7" ht="39" customHeight="1">
      <c r="A89" s="204" t="s">
        <v>1080</v>
      </c>
      <c r="B89" s="203" t="s">
        <v>1081</v>
      </c>
      <c r="C89" s="205" t="s">
        <v>1082</v>
      </c>
      <c r="D89" s="207"/>
      <c r="E89" s="213"/>
      <c r="F89" s="207">
        <v>9082304459</v>
      </c>
      <c r="G89" s="206">
        <v>2.0033268050099799E-2</v>
      </c>
    </row>
    <row r="90" spans="1:7" ht="39" customHeight="1">
      <c r="A90" s="204" t="s">
        <v>1083</v>
      </c>
      <c r="B90" s="203" t="s">
        <v>1084</v>
      </c>
      <c r="C90" s="205" t="s">
        <v>1085</v>
      </c>
      <c r="D90" s="207"/>
      <c r="E90" s="213"/>
      <c r="F90" s="207">
        <v>0</v>
      </c>
      <c r="G90" s="206">
        <v>0</v>
      </c>
    </row>
    <row r="91" spans="1:7" ht="39" customHeight="1">
      <c r="A91" s="204" t="s">
        <v>1086</v>
      </c>
      <c r="B91" s="203" t="s">
        <v>1087</v>
      </c>
      <c r="C91" s="205" t="s">
        <v>1088</v>
      </c>
      <c r="D91" s="207"/>
      <c r="E91" s="213"/>
      <c r="F91" s="207">
        <v>0</v>
      </c>
      <c r="G91" s="206">
        <v>0</v>
      </c>
    </row>
    <row r="92" spans="1:7" ht="39" customHeight="1">
      <c r="A92" s="204" t="s">
        <v>1089</v>
      </c>
      <c r="B92" s="203" t="s">
        <v>1090</v>
      </c>
      <c r="C92" s="205" t="s">
        <v>1091</v>
      </c>
      <c r="D92" s="207"/>
      <c r="E92" s="213"/>
      <c r="F92" s="207">
        <v>0</v>
      </c>
      <c r="G92" s="206">
        <v>0</v>
      </c>
    </row>
    <row r="93" spans="1:7" ht="39" customHeight="1">
      <c r="A93" s="204" t="s">
        <v>1092</v>
      </c>
      <c r="B93" s="203" t="s">
        <v>1093</v>
      </c>
      <c r="C93" s="205" t="s">
        <v>1094</v>
      </c>
      <c r="D93" s="207"/>
      <c r="E93" s="213"/>
      <c r="F93" s="207">
        <v>0</v>
      </c>
      <c r="G93" s="206">
        <v>0</v>
      </c>
    </row>
    <row r="94" spans="1:7" ht="39" customHeight="1">
      <c r="A94" s="209"/>
      <c r="B94" s="208" t="s">
        <v>1095</v>
      </c>
      <c r="C94" s="209" t="s">
        <v>1096</v>
      </c>
      <c r="D94" s="211"/>
      <c r="E94" s="211"/>
      <c r="F94" s="211">
        <v>9082304459</v>
      </c>
      <c r="G94" s="210">
        <v>2.0033268050099799E-2</v>
      </c>
    </row>
    <row r="95" spans="1:7" ht="39" customHeight="1">
      <c r="A95" s="209" t="s">
        <v>1097</v>
      </c>
      <c r="B95" s="208" t="s">
        <v>1098</v>
      </c>
      <c r="C95" s="209" t="s">
        <v>1099</v>
      </c>
      <c r="D95" s="211"/>
      <c r="E95" s="211"/>
      <c r="F95" s="211">
        <v>453361100959</v>
      </c>
      <c r="G95" s="210">
        <v>1</v>
      </c>
    </row>
    <row r="96" spans="1:7" ht="16.899999999999999" customHeight="1">
      <c r="A96" s="157"/>
      <c r="B96" s="96"/>
      <c r="C96" s="96"/>
      <c r="D96" s="96"/>
      <c r="E96" s="59"/>
      <c r="F96" s="96"/>
    </row>
    <row r="97" spans="1:7" ht="16.899999999999999" customHeight="1">
      <c r="A97" s="59" t="s">
        <v>10</v>
      </c>
      <c r="B97" s="96"/>
      <c r="C97" s="96"/>
      <c r="D97" s="96"/>
      <c r="E97" s="59" t="s">
        <v>11</v>
      </c>
      <c r="F97" s="96"/>
    </row>
    <row r="98" spans="1:7" ht="16.899999999999999" customHeight="1">
      <c r="A98" s="60" t="s">
        <v>12</v>
      </c>
      <c r="B98" s="96"/>
      <c r="C98" s="96"/>
      <c r="D98" s="96"/>
      <c r="E98" s="60" t="s">
        <v>13</v>
      </c>
      <c r="F98" s="96"/>
    </row>
    <row r="99" spans="1:7" ht="16.899999999999999" customHeight="1"/>
    <row r="100" spans="1:7" ht="16.899999999999999" customHeight="1">
      <c r="A100" s="88"/>
      <c r="E100" s="88"/>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97" t="s">
        <v>14</v>
      </c>
      <c r="B107" s="92"/>
      <c r="C107" s="92"/>
      <c r="E107" s="97" t="s">
        <v>1102</v>
      </c>
      <c r="F107" s="92"/>
      <c r="G107" s="92"/>
    </row>
    <row r="108" spans="1:7" ht="16.899999999999999" customHeight="1">
      <c r="A108" s="98" t="s">
        <v>1109</v>
      </c>
      <c r="E108" s="98" t="s">
        <v>1110</v>
      </c>
    </row>
    <row r="109" spans="1:7" ht="16.899999999999999" customHeight="1">
      <c r="A109" s="99" t="s">
        <v>1111</v>
      </c>
      <c r="E109" s="100"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7" zoomScale="85" zoomScaleNormal="85" zoomScaleSheetLayoutView="85" workbookViewId="0">
      <selection activeCell="G10" sqref="G10:J10"/>
    </sheetView>
  </sheetViews>
  <sheetFormatPr defaultColWidth="9.1796875" defaultRowHeight="14.5"/>
  <cols>
    <col min="1" max="1" width="4.81640625" style="197" customWidth="1"/>
    <col min="2" max="2" width="34.453125" style="162" customWidth="1"/>
    <col min="3" max="4" width="9.1796875" style="162"/>
    <col min="5" max="5" width="12.26953125" style="162" customWidth="1"/>
    <col min="6" max="6" width="9.1796875" style="162"/>
    <col min="7" max="7" width="15.26953125" style="162" customWidth="1"/>
    <col min="8" max="11" width="19" style="162" customWidth="1"/>
    <col min="12" max="16384" width="9.1796875" style="162"/>
  </cols>
  <sheetData>
    <row r="1" spans="1:11" s="161" customFormat="1" ht="26.25" customHeight="1">
      <c r="A1" s="280" t="s">
        <v>637</v>
      </c>
      <c r="B1" s="280"/>
      <c r="C1" s="280"/>
      <c r="D1" s="280"/>
      <c r="E1" s="280"/>
      <c r="F1" s="280"/>
      <c r="G1" s="280"/>
      <c r="H1" s="280"/>
      <c r="I1" s="280"/>
      <c r="J1" s="280"/>
      <c r="K1" s="280"/>
    </row>
    <row r="2" spans="1:11" ht="49" customHeight="1">
      <c r="A2" s="281" t="s">
        <v>638</v>
      </c>
      <c r="B2" s="281"/>
      <c r="C2" s="281"/>
      <c r="D2" s="281"/>
      <c r="E2" s="281"/>
      <c r="F2" s="281"/>
      <c r="G2" s="281"/>
      <c r="H2" s="281"/>
      <c r="I2" s="281"/>
      <c r="J2" s="281"/>
      <c r="K2" s="281"/>
    </row>
    <row r="3" spans="1:11" ht="19.149999999999999" customHeight="1">
      <c r="A3" s="282" t="s">
        <v>639</v>
      </c>
      <c r="B3" s="282"/>
      <c r="C3" s="282"/>
      <c r="D3" s="282"/>
      <c r="E3" s="282"/>
      <c r="F3" s="282"/>
      <c r="G3" s="282"/>
      <c r="H3" s="282"/>
      <c r="I3" s="282"/>
      <c r="J3" s="282"/>
      <c r="K3" s="282"/>
    </row>
    <row r="4" spans="1:11" ht="21.65" customHeight="1">
      <c r="A4" s="282"/>
      <c r="B4" s="282"/>
      <c r="C4" s="282"/>
      <c r="D4" s="282"/>
      <c r="E4" s="282"/>
      <c r="F4" s="282"/>
      <c r="G4" s="282"/>
      <c r="H4" s="282"/>
      <c r="I4" s="282"/>
      <c r="J4" s="282"/>
      <c r="K4" s="282"/>
    </row>
    <row r="5" spans="1:11">
      <c r="A5" s="283" t="str">
        <f>TONGQUAN!C2</f>
        <v>Tháng 10 năm 2020
/ Oct 2020</v>
      </c>
      <c r="B5" s="283"/>
      <c r="C5" s="283"/>
      <c r="D5" s="283"/>
      <c r="E5" s="283"/>
      <c r="F5" s="283"/>
      <c r="G5" s="283"/>
      <c r="H5" s="283"/>
      <c r="I5" s="283"/>
      <c r="J5" s="283"/>
      <c r="K5" s="283"/>
    </row>
    <row r="6" spans="1:11">
      <c r="A6" s="163"/>
      <c r="B6" s="163"/>
      <c r="C6" s="163"/>
      <c r="D6" s="163"/>
      <c r="E6" s="163"/>
      <c r="F6" s="164"/>
      <c r="G6" s="165"/>
      <c r="H6" s="165"/>
      <c r="I6" s="165"/>
      <c r="J6" s="165"/>
      <c r="K6" s="165"/>
    </row>
    <row r="7" spans="1:11">
      <c r="A7" s="284" t="s">
        <v>2</v>
      </c>
      <c r="B7" s="285"/>
      <c r="C7" s="166"/>
      <c r="D7" s="166"/>
      <c r="E7" s="166"/>
      <c r="F7" s="166"/>
      <c r="G7" s="272" t="str">
        <f>TONGQUAN!D5</f>
        <v>Công ty Cổ phần Quản lý Quỹ Đầu tư Việt Nam</v>
      </c>
      <c r="H7" s="272"/>
      <c r="I7" s="272"/>
      <c r="J7" s="272"/>
      <c r="K7" s="165"/>
    </row>
    <row r="8" spans="1:11" ht="15" customHeight="1">
      <c r="A8" s="277" t="s">
        <v>41</v>
      </c>
      <c r="B8" s="277"/>
      <c r="C8" s="166"/>
      <c r="D8" s="166"/>
      <c r="E8" s="166"/>
      <c r="F8" s="166"/>
      <c r="G8" s="273" t="str">
        <f>TONGQUAN!D6</f>
        <v>Vietnam Investment Fund Management Joint Stock Company</v>
      </c>
      <c r="H8" s="273"/>
      <c r="I8" s="273"/>
      <c r="J8" s="273"/>
      <c r="K8" s="165"/>
    </row>
    <row r="9" spans="1:11">
      <c r="A9" s="270" t="s">
        <v>3</v>
      </c>
      <c r="B9" s="278"/>
      <c r="C9" s="166"/>
      <c r="D9" s="166"/>
      <c r="E9" s="166"/>
      <c r="F9" s="166"/>
      <c r="G9" s="279" t="str">
        <f>TONGQUAN!D7</f>
        <v>Ngân hàng TNHH Một thành viên Standard Chartered (Việt Nam)</v>
      </c>
      <c r="H9" s="279"/>
      <c r="I9" s="279"/>
      <c r="J9" s="279"/>
      <c r="K9" s="165"/>
    </row>
    <row r="10" spans="1:11" ht="15" customHeight="1">
      <c r="A10" s="278" t="s">
        <v>4</v>
      </c>
      <c r="B10" s="278"/>
      <c r="C10" s="166"/>
      <c r="D10" s="166"/>
      <c r="E10" s="166"/>
      <c r="F10" s="166"/>
      <c r="G10" s="273" t="str">
        <f>TONGQUAN!D8</f>
        <v>Standard Chartered Bank (Vietnam) Limited</v>
      </c>
      <c r="H10" s="273"/>
      <c r="I10" s="273"/>
      <c r="J10" s="273"/>
      <c r="K10" s="165"/>
    </row>
    <row r="11" spans="1:11" ht="15" customHeight="1">
      <c r="A11" s="270" t="s">
        <v>5</v>
      </c>
      <c r="B11" s="271"/>
      <c r="C11" s="166"/>
      <c r="D11" s="166"/>
      <c r="E11" s="166"/>
      <c r="F11" s="166"/>
      <c r="G11" s="272" t="str">
        <f>TONGQUAN!D9</f>
        <v>Quỹ Đầu tư Doanh nghiệp hàng đầu Việt Nam</v>
      </c>
      <c r="H11" s="272"/>
      <c r="I11" s="272"/>
      <c r="J11" s="272"/>
      <c r="K11" s="165"/>
    </row>
    <row r="12" spans="1:11" ht="15" customHeight="1">
      <c r="A12" s="167" t="s">
        <v>609</v>
      </c>
      <c r="B12" s="168"/>
      <c r="C12" s="166"/>
      <c r="D12" s="166"/>
      <c r="E12" s="166"/>
      <c r="F12" s="166"/>
      <c r="G12" s="273" t="str">
        <f>TONGQUAN!D10</f>
        <v>Vietnam Blue Chip Fund(VFMVF4)</v>
      </c>
      <c r="H12" s="273"/>
      <c r="I12" s="273"/>
      <c r="J12" s="273"/>
      <c r="K12" s="165"/>
    </row>
    <row r="13" spans="1:11" ht="15" customHeight="1">
      <c r="A13" s="169" t="s">
        <v>7</v>
      </c>
      <c r="B13" s="170"/>
      <c r="C13" s="166"/>
      <c r="D13" s="166"/>
      <c r="E13" s="166"/>
      <c r="F13" s="166"/>
      <c r="G13" s="272" t="str">
        <f>TONGQUAN!D11</f>
        <v>Ngày 02 tháng 11 năm 2020</v>
      </c>
      <c r="H13" s="272"/>
      <c r="I13" s="272"/>
      <c r="J13" s="272"/>
      <c r="K13" s="165"/>
    </row>
    <row r="14" spans="1:11">
      <c r="A14" s="171" t="s">
        <v>8</v>
      </c>
      <c r="B14" s="171"/>
      <c r="C14" s="166"/>
      <c r="D14" s="166"/>
      <c r="E14" s="166"/>
      <c r="F14" s="166"/>
      <c r="G14" s="274" t="str">
        <f>TONGQUAN!D12</f>
        <v>02 Nov 2020</v>
      </c>
      <c r="H14" s="274"/>
      <c r="I14" s="274"/>
      <c r="J14" s="274"/>
      <c r="K14" s="165"/>
    </row>
    <row r="15" spans="1:11">
      <c r="A15" s="233" t="s">
        <v>1136</v>
      </c>
      <c r="B15" s="234" t="s">
        <v>1137</v>
      </c>
      <c r="C15" s="235"/>
      <c r="D15" s="235"/>
      <c r="E15" s="235"/>
      <c r="F15" s="235"/>
      <c r="G15" s="235"/>
      <c r="H15" s="235"/>
      <c r="I15" s="235"/>
      <c r="J15" s="235"/>
      <c r="K15" s="235"/>
    </row>
    <row r="16" spans="1:11">
      <c r="A16" s="233" t="s">
        <v>55</v>
      </c>
      <c r="B16" s="234" t="s">
        <v>643</v>
      </c>
      <c r="C16" s="235"/>
      <c r="D16" s="235"/>
      <c r="E16" s="235"/>
      <c r="F16" s="235"/>
      <c r="G16" s="235"/>
      <c r="H16" s="235"/>
      <c r="I16" s="235"/>
      <c r="J16" s="235"/>
      <c r="K16" s="235"/>
    </row>
    <row r="17" spans="1:11" s="173" customFormat="1" ht="37.5" customHeight="1">
      <c r="A17" s="266" t="s">
        <v>302</v>
      </c>
      <c r="B17" s="266" t="s">
        <v>610</v>
      </c>
      <c r="C17" s="275" t="s">
        <v>45</v>
      </c>
      <c r="D17" s="266" t="s">
        <v>611</v>
      </c>
      <c r="E17" s="266" t="s">
        <v>612</v>
      </c>
      <c r="F17" s="266" t="s">
        <v>613</v>
      </c>
      <c r="G17" s="266" t="s">
        <v>614</v>
      </c>
      <c r="H17" s="268" t="s">
        <v>615</v>
      </c>
      <c r="I17" s="269"/>
      <c r="J17" s="268" t="s">
        <v>616</v>
      </c>
      <c r="K17" s="269"/>
    </row>
    <row r="18" spans="1:11" s="173" customFormat="1" ht="73.5" customHeight="1">
      <c r="A18" s="267"/>
      <c r="B18" s="267"/>
      <c r="C18" s="276"/>
      <c r="D18" s="267"/>
      <c r="E18" s="267"/>
      <c r="F18" s="267"/>
      <c r="G18" s="267"/>
      <c r="H18" s="174" t="s">
        <v>617</v>
      </c>
      <c r="I18" s="174" t="s">
        <v>618</v>
      </c>
      <c r="J18" s="174" t="s">
        <v>619</v>
      </c>
      <c r="K18" s="174" t="s">
        <v>618</v>
      </c>
    </row>
    <row r="19" spans="1:11" s="173" customFormat="1" ht="47.25" customHeight="1">
      <c r="A19" s="175" t="s">
        <v>402</v>
      </c>
      <c r="B19" s="176" t="s">
        <v>644</v>
      </c>
      <c r="C19" s="175" t="s">
        <v>620</v>
      </c>
      <c r="D19" s="177"/>
      <c r="E19" s="177"/>
      <c r="F19" s="178"/>
      <c r="G19" s="179"/>
      <c r="H19" s="176"/>
      <c r="I19" s="180"/>
      <c r="J19" s="181"/>
      <c r="K19" s="182"/>
    </row>
    <row r="20" spans="1:11" s="173" customFormat="1" ht="45.75" customHeight="1">
      <c r="A20" s="175" t="s">
        <v>42</v>
      </c>
      <c r="B20" s="176" t="s">
        <v>645</v>
      </c>
      <c r="C20" s="175" t="s">
        <v>621</v>
      </c>
      <c r="D20" s="178"/>
      <c r="E20" s="178"/>
      <c r="F20" s="178"/>
      <c r="G20" s="179"/>
      <c r="H20" s="176"/>
      <c r="I20" s="180"/>
      <c r="J20" s="176"/>
      <c r="K20" s="180"/>
    </row>
    <row r="21" spans="1:11" s="173" customFormat="1" ht="45.75" customHeight="1">
      <c r="A21" s="175" t="s">
        <v>419</v>
      </c>
      <c r="B21" s="176" t="s">
        <v>646</v>
      </c>
      <c r="C21" s="175" t="s">
        <v>622</v>
      </c>
      <c r="D21" s="178"/>
      <c r="E21" s="178"/>
      <c r="F21" s="178"/>
      <c r="G21" s="177"/>
      <c r="H21" s="176"/>
      <c r="I21" s="183"/>
      <c r="J21" s="176"/>
      <c r="K21" s="183"/>
    </row>
    <row r="22" spans="1:11" s="173" customFormat="1" ht="44.25" customHeight="1">
      <c r="A22" s="175" t="s">
        <v>48</v>
      </c>
      <c r="B22" s="176" t="s">
        <v>647</v>
      </c>
      <c r="C22" s="175" t="s">
        <v>623</v>
      </c>
      <c r="D22" s="178"/>
      <c r="E22" s="178"/>
      <c r="F22" s="178"/>
      <c r="G22" s="179"/>
      <c r="H22" s="176"/>
      <c r="I22" s="180"/>
      <c r="J22" s="176"/>
      <c r="K22" s="180"/>
    </row>
    <row r="23" spans="1:11" s="173" customFormat="1" ht="44.25" customHeight="1">
      <c r="A23" s="175" t="s">
        <v>624</v>
      </c>
      <c r="B23" s="176" t="s">
        <v>648</v>
      </c>
      <c r="C23" s="175" t="s">
        <v>625</v>
      </c>
      <c r="D23" s="178"/>
      <c r="E23" s="178"/>
      <c r="F23" s="178"/>
      <c r="G23" s="179"/>
      <c r="H23" s="176"/>
      <c r="I23" s="180"/>
      <c r="J23" s="176"/>
      <c r="K23" s="180"/>
    </row>
    <row r="24" spans="1:11" s="173" customFormat="1" ht="57.75" customHeight="1">
      <c r="A24" s="175" t="s">
        <v>444</v>
      </c>
      <c r="B24" s="202" t="s">
        <v>649</v>
      </c>
      <c r="C24" s="175" t="s">
        <v>626</v>
      </c>
      <c r="D24" s="178"/>
      <c r="E24" s="178"/>
      <c r="F24" s="178"/>
      <c r="G24" s="179"/>
      <c r="H24" s="176"/>
      <c r="I24" s="180"/>
      <c r="J24" s="176"/>
      <c r="K24" s="180"/>
    </row>
    <row r="25" spans="1:11" s="173" customFormat="1" ht="44.25" customHeight="1">
      <c r="A25" s="175" t="s">
        <v>54</v>
      </c>
      <c r="B25" s="176" t="s">
        <v>650</v>
      </c>
      <c r="C25" s="175" t="s">
        <v>627</v>
      </c>
      <c r="D25" s="178"/>
      <c r="E25" s="178"/>
      <c r="F25" s="178"/>
      <c r="G25" s="179"/>
      <c r="H25" s="176"/>
      <c r="I25" s="180"/>
      <c r="J25" s="176"/>
      <c r="K25" s="180"/>
    </row>
    <row r="26" spans="1:11" s="173" customFormat="1" ht="51" customHeight="1">
      <c r="A26" s="175" t="s">
        <v>511</v>
      </c>
      <c r="B26" s="176" t="s">
        <v>651</v>
      </c>
      <c r="C26" s="175" t="s">
        <v>628</v>
      </c>
      <c r="D26" s="178"/>
      <c r="E26" s="178"/>
      <c r="F26" s="178"/>
      <c r="G26" s="179"/>
      <c r="H26" s="176"/>
      <c r="I26" s="180"/>
      <c r="J26" s="176"/>
      <c r="K26" s="180"/>
    </row>
    <row r="27" spans="1:11" s="173" customFormat="1" ht="44.25" customHeight="1">
      <c r="A27" s="175" t="s">
        <v>55</v>
      </c>
      <c r="B27" s="176" t="s">
        <v>650</v>
      </c>
      <c r="C27" s="175" t="s">
        <v>629</v>
      </c>
      <c r="D27" s="178"/>
      <c r="E27" s="178"/>
      <c r="F27" s="178"/>
      <c r="G27" s="179"/>
      <c r="H27" s="176"/>
      <c r="I27" s="180"/>
      <c r="J27" s="176"/>
      <c r="K27" s="180"/>
    </row>
    <row r="28" spans="1:11" s="173" customFormat="1" ht="44.25" customHeight="1">
      <c r="A28" s="175" t="s">
        <v>630</v>
      </c>
      <c r="B28" s="176" t="s">
        <v>652</v>
      </c>
      <c r="C28" s="175" t="s">
        <v>631</v>
      </c>
      <c r="D28" s="178"/>
      <c r="E28" s="178"/>
      <c r="F28" s="178"/>
      <c r="G28" s="179"/>
      <c r="H28" s="176"/>
      <c r="I28" s="180"/>
      <c r="J28" s="176"/>
      <c r="K28" s="180"/>
    </row>
    <row r="29" spans="1:11" s="173" customFormat="1" ht="12.5">
      <c r="A29" s="184"/>
      <c r="B29" s="185"/>
      <c r="C29" s="185"/>
      <c r="D29" s="178"/>
      <c r="E29" s="178"/>
      <c r="F29" s="178"/>
      <c r="G29" s="179"/>
      <c r="H29" s="176"/>
      <c r="I29" s="180"/>
      <c r="J29" s="181"/>
      <c r="K29" s="182"/>
    </row>
    <row r="30" spans="1:11" s="173" customFormat="1" ht="12.5">
      <c r="A30" s="186"/>
      <c r="B30" s="187"/>
      <c r="C30" s="187"/>
      <c r="D30" s="187"/>
      <c r="E30" s="187"/>
      <c r="F30" s="187"/>
      <c r="G30" s="187"/>
      <c r="H30" s="187"/>
      <c r="I30" s="187"/>
      <c r="J30" s="187"/>
      <c r="K30" s="187"/>
    </row>
    <row r="31" spans="1:11" s="173" customFormat="1" ht="12.5">
      <c r="A31" s="186"/>
      <c r="B31" s="187"/>
      <c r="C31" s="187"/>
      <c r="D31" s="187"/>
      <c r="E31" s="187"/>
      <c r="F31" s="187"/>
      <c r="G31" s="187"/>
      <c r="H31" s="187"/>
      <c r="I31" s="187"/>
      <c r="J31" s="187"/>
      <c r="K31" s="187"/>
    </row>
    <row r="32" spans="1:11" s="173" customFormat="1" ht="12.5">
      <c r="A32" s="186"/>
      <c r="B32" s="187"/>
      <c r="C32" s="187"/>
      <c r="D32" s="187"/>
      <c r="E32" s="187"/>
      <c r="F32" s="187"/>
      <c r="G32" s="187"/>
      <c r="H32" s="187"/>
      <c r="I32" s="187"/>
      <c r="J32" s="187"/>
      <c r="K32" s="187"/>
    </row>
    <row r="33" spans="1:11" s="173" customFormat="1" ht="12.5">
      <c r="A33" s="188" t="s">
        <v>10</v>
      </c>
      <c r="B33" s="189"/>
      <c r="C33" s="190"/>
      <c r="D33" s="187"/>
      <c r="E33" s="187"/>
      <c r="F33" s="187"/>
      <c r="G33" s="187"/>
      <c r="H33" s="187"/>
      <c r="I33" s="191" t="s">
        <v>11</v>
      </c>
      <c r="J33" s="187"/>
      <c r="K33" s="187"/>
    </row>
    <row r="34" spans="1:11" s="173" customFormat="1" ht="12.5">
      <c r="A34" s="192" t="s">
        <v>12</v>
      </c>
      <c r="B34" s="189"/>
      <c r="C34" s="190"/>
      <c r="D34" s="187"/>
      <c r="E34" s="187"/>
      <c r="F34" s="187"/>
      <c r="G34" s="187"/>
      <c r="H34" s="187"/>
      <c r="I34" s="193" t="s">
        <v>13</v>
      </c>
      <c r="J34" s="187"/>
      <c r="K34" s="187"/>
    </row>
    <row r="35" spans="1:11">
      <c r="A35" s="189"/>
      <c r="B35" s="189"/>
      <c r="C35" s="190"/>
      <c r="D35" s="165"/>
      <c r="E35" s="165"/>
      <c r="F35" s="165"/>
      <c r="G35" s="165"/>
      <c r="H35" s="165"/>
      <c r="I35" s="190"/>
      <c r="J35" s="165"/>
      <c r="K35" s="165"/>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94"/>
      <c r="B43" s="194"/>
      <c r="C43" s="195"/>
      <c r="D43" s="196"/>
      <c r="E43" s="165"/>
      <c r="F43" s="165"/>
      <c r="G43" s="165"/>
      <c r="H43" s="165"/>
      <c r="I43" s="195"/>
      <c r="J43" s="196"/>
      <c r="K43" s="196"/>
    </row>
    <row r="44" spans="1:11">
      <c r="A44" s="188" t="s">
        <v>14</v>
      </c>
      <c r="B44" s="189"/>
      <c r="C44" s="190"/>
      <c r="D44" s="165"/>
      <c r="E44" s="165"/>
      <c r="F44" s="165"/>
      <c r="G44" s="165"/>
      <c r="H44" s="165"/>
      <c r="I44" s="191" t="str">
        <f>TONGQUAN!F19</f>
        <v>Công ty Cổ phần Quản lý Quỹ Đầu tư Việt Nam</v>
      </c>
      <c r="J44" s="165"/>
      <c r="K44" s="165"/>
    </row>
    <row r="45" spans="1:11">
      <c r="A45" s="188" t="str">
        <f>TONGQUAN!C20</f>
        <v>Bùi Thị Huyền Trang</v>
      </c>
      <c r="B45" s="189"/>
      <c r="C45" s="190"/>
      <c r="D45" s="165"/>
      <c r="E45" s="165"/>
      <c r="F45" s="165"/>
      <c r="G45" s="165"/>
      <c r="H45" s="165"/>
      <c r="I45" s="191" t="str">
        <f>TONGQUAN!F20</f>
        <v>Trần Thanh Tân</v>
      </c>
      <c r="J45" s="165"/>
      <c r="K45" s="165"/>
    </row>
    <row r="46" spans="1:11">
      <c r="A46" s="189" t="str">
        <f>TONGQUAN!C21</f>
        <v>Cán bộ Quản lý Nghiệp vụ Dịch vụ Chứng khoán</v>
      </c>
      <c r="B46" s="189"/>
      <c r="C46" s="190"/>
      <c r="D46" s="165"/>
      <c r="E46" s="165"/>
      <c r="F46" s="165"/>
      <c r="G46" s="165"/>
      <c r="H46" s="165"/>
      <c r="I46" s="190" t="str">
        <f>TONGQUAN!F21</f>
        <v>Tổng Giám đốc</v>
      </c>
      <c r="J46" s="165"/>
      <c r="K46" s="165"/>
    </row>
    <row r="47" spans="1:11">
      <c r="A47" s="172"/>
      <c r="B47" s="165"/>
      <c r="C47" s="165"/>
      <c r="D47" s="165"/>
      <c r="E47" s="165"/>
      <c r="F47" s="165"/>
      <c r="G47" s="165"/>
      <c r="H47" s="165"/>
      <c r="I47" s="165"/>
      <c r="J47" s="165"/>
      <c r="K47" s="165"/>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tabSelected="1" view="pageBreakPreview" topLeftCell="A46" zoomScale="95" zoomScaleNormal="100" zoomScaleSheetLayoutView="95" workbookViewId="0">
      <selection activeCell="D30" sqref="D30"/>
    </sheetView>
  </sheetViews>
  <sheetFormatPr defaultColWidth="8.7265625" defaultRowHeight="12.5"/>
  <cols>
    <col min="1" max="1" width="8.7265625" style="49"/>
    <col min="2" max="2" width="56.81640625" style="49" customWidth="1"/>
    <col min="3" max="3" width="10.7265625" style="49" bestFit="1" customWidth="1"/>
    <col min="4" max="4" width="25.81640625" style="49" customWidth="1"/>
    <col min="5" max="5" width="25.453125" style="49" customWidth="1"/>
    <col min="6" max="6" width="8.453125" style="93" customWidth="1"/>
    <col min="7" max="16384" width="8.7265625" style="93"/>
  </cols>
  <sheetData>
    <row r="1" spans="1:6" ht="30" customHeight="1">
      <c r="A1" s="255" t="s">
        <v>637</v>
      </c>
      <c r="B1" s="255"/>
      <c r="C1" s="255"/>
      <c r="D1" s="255"/>
      <c r="E1" s="255"/>
      <c r="F1" s="101"/>
    </row>
    <row r="2" spans="1:6" ht="50.15" customHeight="1">
      <c r="A2" s="256" t="s">
        <v>638</v>
      </c>
      <c r="B2" s="256"/>
      <c r="C2" s="256"/>
      <c r="D2" s="256"/>
      <c r="E2" s="256"/>
      <c r="F2" s="102"/>
    </row>
    <row r="3" spans="1:6" ht="13">
      <c r="A3" s="257" t="s">
        <v>639</v>
      </c>
      <c r="B3" s="257"/>
      <c r="C3" s="257"/>
      <c r="D3" s="257"/>
      <c r="E3" s="257"/>
      <c r="F3" s="101"/>
    </row>
    <row r="4" spans="1:6" ht="20.65" customHeight="1">
      <c r="A4" s="257"/>
      <c r="B4" s="257"/>
      <c r="C4" s="257"/>
      <c r="D4" s="257"/>
      <c r="E4" s="257"/>
      <c r="F4" s="101"/>
    </row>
    <row r="5" spans="1:6" ht="16.899999999999999" customHeight="1">
      <c r="A5" s="258" t="str">
        <f>TONGQUAN!C2</f>
        <v>Tháng 10 năm 2020
/ Oct 2020</v>
      </c>
      <c r="B5" s="258"/>
      <c r="C5" s="258"/>
      <c r="D5" s="258"/>
      <c r="E5" s="258"/>
      <c r="F5" s="103"/>
    </row>
    <row r="7" spans="1:6" ht="16.899999999999999" customHeight="1">
      <c r="A7" s="62" t="s">
        <v>2</v>
      </c>
      <c r="C7" s="265" t="str">
        <f>TONGQUAN!D5</f>
        <v>Công ty Cổ phần Quản lý Quỹ Đầu tư Việt Nam</v>
      </c>
      <c r="D7" s="265"/>
      <c r="E7" s="265"/>
    </row>
    <row r="8" spans="1:6" ht="16.899999999999999" customHeight="1">
      <c r="A8" s="49" t="s">
        <v>41</v>
      </c>
      <c r="C8" s="264" t="str">
        <f>TONGQUAN!D6</f>
        <v>Vietnam Investment Fund Management Joint Stock Company</v>
      </c>
      <c r="D8" s="264"/>
      <c r="E8" s="264"/>
    </row>
    <row r="9" spans="1:6" ht="16.899999999999999" customHeight="1">
      <c r="A9" s="62" t="s">
        <v>3</v>
      </c>
      <c r="C9" s="265" t="str">
        <f>TONGQUAN!D7</f>
        <v>Ngân hàng TNHH Một thành viên Standard Chartered (Việt Nam)</v>
      </c>
      <c r="D9" s="265"/>
      <c r="E9" s="265"/>
    </row>
    <row r="10" spans="1:6" ht="16.899999999999999" customHeight="1">
      <c r="A10" s="49" t="s">
        <v>4</v>
      </c>
      <c r="C10" s="264" t="str">
        <f>TONGQUAN!D8</f>
        <v>Standard Chartered Bank (Vietnam) Limited</v>
      </c>
      <c r="D10" s="264"/>
      <c r="E10" s="264"/>
    </row>
    <row r="11" spans="1:6" ht="16.899999999999999" customHeight="1">
      <c r="A11" s="62" t="s">
        <v>5</v>
      </c>
      <c r="C11" s="265" t="str">
        <f>TONGQUAN!D9</f>
        <v>Quỹ Đầu tư Doanh nghiệp hàng đầu Việt Nam</v>
      </c>
      <c r="D11" s="265"/>
      <c r="E11" s="265"/>
    </row>
    <row r="12" spans="1:6" ht="16.899999999999999" customHeight="1">
      <c r="A12" s="49" t="s">
        <v>6</v>
      </c>
      <c r="C12" s="264" t="str">
        <f>TONGQUAN!D10</f>
        <v>Vietnam Blue Chip Fund(VFMVF4)</v>
      </c>
      <c r="D12" s="264"/>
      <c r="E12" s="264"/>
    </row>
    <row r="13" spans="1:6" ht="16.899999999999999" customHeight="1">
      <c r="A13" s="62" t="s">
        <v>7</v>
      </c>
      <c r="C13" s="265" t="str">
        <f>TONGQUAN!D11</f>
        <v>Ngày 02 tháng 11 năm 2020</v>
      </c>
      <c r="D13" s="265"/>
      <c r="E13" s="265"/>
    </row>
    <row r="14" spans="1:6" ht="16.899999999999999" customHeight="1">
      <c r="A14" s="49" t="s">
        <v>8</v>
      </c>
      <c r="C14" s="264" t="str">
        <f>TONGQUAN!D12</f>
        <v>02 Nov 2020</v>
      </c>
      <c r="D14" s="264"/>
      <c r="E14" s="264"/>
    </row>
    <row r="16" spans="1:6" ht="16.899999999999999" customHeight="1">
      <c r="A16" s="227" t="s">
        <v>1136</v>
      </c>
      <c r="B16" s="228" t="s">
        <v>1137</v>
      </c>
      <c r="C16" s="236"/>
      <c r="D16" s="236"/>
      <c r="E16" s="236"/>
      <c r="F16" s="237"/>
    </row>
    <row r="17" spans="1:6" ht="16.899999999999999" customHeight="1">
      <c r="A17" s="227" t="s">
        <v>56</v>
      </c>
      <c r="B17" s="228" t="s">
        <v>365</v>
      </c>
      <c r="C17" s="236"/>
      <c r="D17" s="236"/>
      <c r="E17" s="236"/>
      <c r="F17" s="232"/>
    </row>
    <row r="18" spans="1:6" ht="42" customHeight="1">
      <c r="A18" s="94" t="s">
        <v>43</v>
      </c>
      <c r="B18" s="94" t="s">
        <v>366</v>
      </c>
      <c r="C18" s="94" t="s">
        <v>45</v>
      </c>
      <c r="D18" s="94" t="str">
        <f>BCKetQuaHoatDong_06028!D18</f>
        <v>Tháng 10 năm 2020
Oct 2020</v>
      </c>
      <c r="E18" s="94" t="str">
        <f>BCKetQuaHoatDong_06028!E18</f>
        <v>Tháng 09 năm 2020
Sep 2020</v>
      </c>
    </row>
    <row r="19" spans="1:6" s="107" customFormat="1" ht="39" customHeight="1">
      <c r="A19" s="104" t="s">
        <v>42</v>
      </c>
      <c r="B19" s="105" t="s">
        <v>149</v>
      </c>
      <c r="C19" s="106" t="s">
        <v>150</v>
      </c>
      <c r="D19" s="206"/>
      <c r="E19" s="206"/>
    </row>
    <row r="20" spans="1:6" ht="58.5" customHeight="1">
      <c r="A20" s="108">
        <v>1</v>
      </c>
      <c r="B20" s="37" t="s">
        <v>367</v>
      </c>
      <c r="C20" s="109" t="s">
        <v>151</v>
      </c>
      <c r="D20" s="206">
        <v>1.96184504830475E-2</v>
      </c>
      <c r="E20" s="206">
        <v>1.89856297490794E-2</v>
      </c>
    </row>
    <row r="21" spans="1:6" ht="55.5" customHeight="1">
      <c r="A21" s="108">
        <v>2</v>
      </c>
      <c r="B21" s="37" t="s">
        <v>368</v>
      </c>
      <c r="C21" s="109" t="s">
        <v>152</v>
      </c>
      <c r="D21" s="206">
        <v>1.2986374210257924E-3</v>
      </c>
      <c r="E21" s="206">
        <v>1.2932137977956957E-3</v>
      </c>
    </row>
    <row r="22" spans="1:6" ht="97.5" customHeight="1">
      <c r="A22" s="108">
        <v>3</v>
      </c>
      <c r="B22" s="37" t="s">
        <v>369</v>
      </c>
      <c r="C22" s="109" t="s">
        <v>153</v>
      </c>
      <c r="D22" s="206">
        <v>7.0885561841893031E-4</v>
      </c>
      <c r="E22" s="206">
        <v>6.9841071375843398E-4</v>
      </c>
    </row>
    <row r="23" spans="1:6" ht="50">
      <c r="A23" s="108">
        <v>4</v>
      </c>
      <c r="B23" s="37" t="s">
        <v>370</v>
      </c>
      <c r="C23" s="109" t="s">
        <v>154</v>
      </c>
      <c r="D23" s="206">
        <v>3.7734316797209802E-4</v>
      </c>
      <c r="E23" s="206">
        <v>3.65854083980529E-4</v>
      </c>
    </row>
    <row r="24" spans="1:6" ht="79.5" customHeight="1">
      <c r="A24" s="108">
        <v>5</v>
      </c>
      <c r="B24" s="37" t="s">
        <v>371</v>
      </c>
      <c r="C24" s="109" t="s">
        <v>155</v>
      </c>
      <c r="D24" s="206">
        <v>9.802855503362191E-4</v>
      </c>
      <c r="E24" s="206">
        <v>3.39889570866078E-4</v>
      </c>
    </row>
    <row r="25" spans="1:6" ht="39" customHeight="1">
      <c r="A25" s="108">
        <v>6</v>
      </c>
      <c r="B25" s="37" t="s">
        <v>372</v>
      </c>
      <c r="C25" s="109" t="s">
        <v>156</v>
      </c>
      <c r="D25" s="206">
        <v>2.4331179188611201E-2</v>
      </c>
      <c r="E25" s="206">
        <v>2.2496330282806998E-2</v>
      </c>
    </row>
    <row r="26" spans="1:6" ht="82.5" customHeight="1">
      <c r="A26" s="108">
        <v>7</v>
      </c>
      <c r="B26" s="37" t="s">
        <v>642</v>
      </c>
      <c r="C26" s="109" t="s">
        <v>157</v>
      </c>
      <c r="D26" s="206">
        <v>0.52462925464733701</v>
      </c>
      <c r="E26" s="206">
        <v>0.26218414962699299</v>
      </c>
    </row>
    <row r="27" spans="1:6" ht="39" customHeight="1">
      <c r="A27" s="104" t="s">
        <v>48</v>
      </c>
      <c r="B27" s="105" t="s">
        <v>158</v>
      </c>
      <c r="C27" s="106" t="s">
        <v>159</v>
      </c>
      <c r="D27" s="110"/>
      <c r="E27" s="110"/>
    </row>
    <row r="28" spans="1:6" ht="40.9" customHeight="1">
      <c r="A28" s="286">
        <v>1</v>
      </c>
      <c r="B28" s="37" t="s">
        <v>160</v>
      </c>
      <c r="C28" s="109" t="s">
        <v>161</v>
      </c>
      <c r="D28" s="110">
        <v>267728893200</v>
      </c>
      <c r="E28" s="110">
        <v>277176152800</v>
      </c>
    </row>
    <row r="29" spans="1:6" ht="42.4" customHeight="1">
      <c r="A29" s="286"/>
      <c r="B29" s="37" t="s">
        <v>162</v>
      </c>
      <c r="C29" s="109" t="s">
        <v>163</v>
      </c>
      <c r="D29" s="110">
        <v>267728893200</v>
      </c>
      <c r="E29" s="110">
        <v>277176152800</v>
      </c>
    </row>
    <row r="30" spans="1:6" s="107" customFormat="1" ht="44.65" customHeight="1">
      <c r="A30" s="286"/>
      <c r="B30" s="37" t="s">
        <v>164</v>
      </c>
      <c r="C30" s="109" t="s">
        <v>165</v>
      </c>
      <c r="D30" s="112">
        <v>26772889.32</v>
      </c>
      <c r="E30" s="112">
        <v>27717615.280000001</v>
      </c>
    </row>
    <row r="31" spans="1:6" ht="43.5" customHeight="1">
      <c r="A31" s="286">
        <v>2</v>
      </c>
      <c r="B31" s="37" t="s">
        <v>166</v>
      </c>
      <c r="C31" s="109" t="s">
        <v>167</v>
      </c>
      <c r="D31" s="110">
        <v>-6622733100</v>
      </c>
      <c r="E31" s="110">
        <v>-9447259600</v>
      </c>
    </row>
    <row r="32" spans="1:6" ht="39" customHeight="1">
      <c r="A32" s="286"/>
      <c r="B32" s="37" t="s">
        <v>168</v>
      </c>
      <c r="C32" s="109" t="s">
        <v>169</v>
      </c>
      <c r="D32" s="112">
        <v>-662273.31000000006</v>
      </c>
      <c r="E32" s="112">
        <v>-944725.96</v>
      </c>
    </row>
    <row r="33" spans="1:5" ht="39" customHeight="1">
      <c r="A33" s="286"/>
      <c r="B33" s="37" t="s">
        <v>170</v>
      </c>
      <c r="C33" s="109" t="s">
        <v>171</v>
      </c>
      <c r="D33" s="110">
        <v>-6622733100</v>
      </c>
      <c r="E33" s="110">
        <v>-9447259600</v>
      </c>
    </row>
    <row r="34" spans="1:5" ht="39" customHeight="1">
      <c r="A34" s="286"/>
      <c r="B34" s="37" t="s">
        <v>172</v>
      </c>
      <c r="C34" s="109" t="s">
        <v>173</v>
      </c>
      <c r="D34" s="111">
        <v>269272.14</v>
      </c>
      <c r="E34" s="111">
        <v>182726.45</v>
      </c>
    </row>
    <row r="35" spans="1:5" ht="39" customHeight="1">
      <c r="A35" s="286"/>
      <c r="B35" s="37" t="s">
        <v>330</v>
      </c>
      <c r="C35" s="109" t="s">
        <v>174</v>
      </c>
      <c r="D35" s="110">
        <v>2692721400</v>
      </c>
      <c r="E35" s="110">
        <v>1827264500</v>
      </c>
    </row>
    <row r="36" spans="1:5" ht="39" customHeight="1">
      <c r="A36" s="286"/>
      <c r="B36" s="37" t="s">
        <v>175</v>
      </c>
      <c r="C36" s="109" t="s">
        <v>176</v>
      </c>
      <c r="D36" s="112">
        <v>-931545.45</v>
      </c>
      <c r="E36" s="112">
        <v>-1127452.4099999999</v>
      </c>
    </row>
    <row r="37" spans="1:5" ht="44.65" customHeight="1">
      <c r="A37" s="286"/>
      <c r="B37" s="37" t="s">
        <v>331</v>
      </c>
      <c r="C37" s="109" t="s">
        <v>177</v>
      </c>
      <c r="D37" s="110">
        <v>-9315454500</v>
      </c>
      <c r="E37" s="110">
        <v>-11274524100</v>
      </c>
    </row>
    <row r="38" spans="1:5" ht="39" customHeight="1">
      <c r="A38" s="286">
        <v>3</v>
      </c>
      <c r="B38" s="37" t="s">
        <v>332</v>
      </c>
      <c r="C38" s="109" t="s">
        <v>178</v>
      </c>
      <c r="D38" s="110">
        <v>261106160100</v>
      </c>
      <c r="E38" s="110">
        <v>267728893200</v>
      </c>
    </row>
    <row r="39" spans="1:5" ht="39" customHeight="1">
      <c r="A39" s="286"/>
      <c r="B39" s="37" t="s">
        <v>179</v>
      </c>
      <c r="C39" s="109" t="s">
        <v>180</v>
      </c>
      <c r="D39" s="110">
        <v>261106160100</v>
      </c>
      <c r="E39" s="110">
        <v>267728893200</v>
      </c>
    </row>
    <row r="40" spans="1:5" ht="39" customHeight="1">
      <c r="A40" s="286"/>
      <c r="B40" s="37" t="s">
        <v>181</v>
      </c>
      <c r="C40" s="109" t="s">
        <v>182</v>
      </c>
      <c r="D40" s="112">
        <v>26110616.010000002</v>
      </c>
      <c r="E40" s="112">
        <v>26772889.32</v>
      </c>
    </row>
    <row r="41" spans="1:5" ht="60" customHeight="1">
      <c r="A41" s="108">
        <v>4</v>
      </c>
      <c r="B41" s="37" t="s">
        <v>183</v>
      </c>
      <c r="C41" s="109" t="s">
        <v>184</v>
      </c>
      <c r="D41" s="206">
        <v>7.6355532908011197E-4</v>
      </c>
      <c r="E41" s="206">
        <v>7.3383525271302299E-4</v>
      </c>
    </row>
    <row r="42" spans="1:5" ht="39" customHeight="1">
      <c r="A42" s="108">
        <v>5</v>
      </c>
      <c r="B42" s="37" t="s">
        <v>185</v>
      </c>
      <c r="C42" s="109" t="s">
        <v>186</v>
      </c>
      <c r="D42" s="206">
        <v>0.48080000000000001</v>
      </c>
      <c r="E42" s="206">
        <v>0.46360000000000001</v>
      </c>
    </row>
    <row r="43" spans="1:5" ht="39" customHeight="1">
      <c r="A43" s="108">
        <v>6</v>
      </c>
      <c r="B43" s="37" t="s">
        <v>187</v>
      </c>
      <c r="C43" s="109" t="s">
        <v>188</v>
      </c>
      <c r="D43" s="206">
        <v>0.26840000000000003</v>
      </c>
      <c r="E43" s="206">
        <v>0.26190000000000002</v>
      </c>
    </row>
    <row r="44" spans="1:5" ht="39" customHeight="1">
      <c r="A44" s="108">
        <v>7</v>
      </c>
      <c r="B44" s="37" t="s">
        <v>189</v>
      </c>
      <c r="C44" s="109" t="s">
        <v>190</v>
      </c>
      <c r="D44" s="110">
        <v>1953</v>
      </c>
      <c r="E44" s="110">
        <v>1990</v>
      </c>
    </row>
    <row r="45" spans="1:5" ht="39" customHeight="1">
      <c r="A45" s="108">
        <v>8</v>
      </c>
      <c r="B45" s="37" t="s">
        <v>333</v>
      </c>
      <c r="C45" s="109" t="s">
        <v>191</v>
      </c>
      <c r="D45" s="112">
        <v>17148.919999999998</v>
      </c>
      <c r="E45" s="112">
        <v>16976.650000000001</v>
      </c>
    </row>
    <row r="46" spans="1:5" ht="16.899999999999999" customHeight="1">
      <c r="A46" s="88" t="s">
        <v>192</v>
      </c>
    </row>
    <row r="47" spans="1:5" ht="60.4" customHeight="1">
      <c r="A47" s="254" t="s">
        <v>373</v>
      </c>
      <c r="B47" s="254"/>
      <c r="C47" s="254"/>
      <c r="D47" s="254"/>
      <c r="E47" s="254"/>
    </row>
    <row r="48" spans="1:5" ht="28.5" customHeight="1">
      <c r="A48" s="254" t="s">
        <v>193</v>
      </c>
      <c r="B48" s="264"/>
      <c r="C48" s="264"/>
      <c r="D48" s="264"/>
      <c r="E48" s="264"/>
    </row>
    <row r="50" spans="1:5" ht="16.899999999999999" customHeight="1">
      <c r="A50" s="88" t="str">
        <f>TONGQUAN!C16</f>
        <v>Đại diện có thẩm quyền của Ngân hàng giám sát</v>
      </c>
      <c r="D50" s="88" t="str">
        <f>TONGQUAN!F16</f>
        <v>Đại diện có thẩm quyền của Công ty quản lý Quỹ</v>
      </c>
    </row>
    <row r="51" spans="1:5" s="113" customFormat="1" ht="16.899999999999999" customHeight="1">
      <c r="A51" s="89" t="str">
        <f>TONGQUAN!C17</f>
        <v>Authorised Representative of Supervisory Bank</v>
      </c>
      <c r="B51" s="89"/>
      <c r="C51" s="89"/>
      <c r="D51" s="89" t="str">
        <f>TONGQUAN!F17</f>
        <v>Authorised Representative of Fund Management Company</v>
      </c>
      <c r="E51" s="89"/>
    </row>
    <row r="52" spans="1:5" ht="16.899999999999999" customHeight="1"/>
    <row r="53" spans="1:5" ht="16.899999999999999" customHeight="1"/>
    <row r="60" spans="1:5">
      <c r="A60" s="114"/>
      <c r="B60" s="114"/>
      <c r="D60" s="114"/>
      <c r="E60" s="114"/>
    </row>
    <row r="61" spans="1:5" ht="16.899999999999999" customHeight="1">
      <c r="A61" s="88" t="str">
        <f>TONGQUAN!C19</f>
        <v>Ngân hàng TNHH MTV Standard Chartered (Việt Nam)</v>
      </c>
      <c r="D61" s="88" t="str">
        <f>TONGQUAN!F19</f>
        <v>Công ty Cổ phần Quản lý Quỹ Đầu tư Việt Nam</v>
      </c>
    </row>
    <row r="62" spans="1:5" ht="16.899999999999999" customHeight="1">
      <c r="A62" s="88" t="str">
        <f>TONGQUAN!C20</f>
        <v>Bùi Thị Huyền Trang</v>
      </c>
      <c r="D62" s="88" t="str">
        <f>TONGQUAN!F20</f>
        <v>Trần Thanh Tân</v>
      </c>
    </row>
    <row r="63" spans="1:5" ht="16.899999999999999" customHeight="1">
      <c r="A63" s="49" t="str">
        <f>TONGQUAN!C21</f>
        <v>Cán bộ Quản lý Nghiệp vụ Dịch vụ Chứng khoán</v>
      </c>
      <c r="D63" s="49" t="str">
        <f>TONGQUAN!F21</f>
        <v>Tổng Giám đốc</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activeCell="E19" sqref="E19:F27"/>
    </sheetView>
  </sheetViews>
  <sheetFormatPr defaultColWidth="8.7265625" defaultRowHeight="12.5"/>
  <cols>
    <col min="1" max="1" width="8.7265625" style="49"/>
    <col min="2" max="2" width="6.453125" style="49" customWidth="1"/>
    <col min="3" max="3" width="46.1796875" style="49" customWidth="1"/>
    <col min="4" max="4" width="10.7265625" style="49" bestFit="1" customWidth="1"/>
    <col min="5" max="6" width="26.26953125" style="49" customWidth="1"/>
    <col min="7" max="16384" width="8.7265625" style="93"/>
  </cols>
  <sheetData>
    <row r="1" spans="1:7" ht="26.65" customHeight="1">
      <c r="A1" s="255" t="s">
        <v>307</v>
      </c>
      <c r="B1" s="255"/>
      <c r="C1" s="255"/>
      <c r="D1" s="255"/>
      <c r="E1" s="255"/>
      <c r="F1" s="255"/>
      <c r="G1" s="101"/>
    </row>
    <row r="2" spans="1:7" ht="32.65" customHeight="1">
      <c r="A2" s="256" t="s">
        <v>40</v>
      </c>
      <c r="B2" s="256"/>
      <c r="C2" s="256"/>
      <c r="D2" s="256"/>
      <c r="E2" s="256"/>
      <c r="F2" s="256"/>
      <c r="G2" s="102"/>
    </row>
    <row r="3" spans="1:7" ht="15" customHeight="1">
      <c r="A3" s="257" t="s">
        <v>374</v>
      </c>
      <c r="B3" s="257"/>
      <c r="C3" s="257"/>
      <c r="D3" s="257"/>
      <c r="E3" s="257"/>
      <c r="F3" s="257"/>
      <c r="G3" s="101"/>
    </row>
    <row r="4" spans="1:7" ht="21" customHeight="1">
      <c r="A4" s="257"/>
      <c r="B4" s="257"/>
      <c r="C4" s="257"/>
      <c r="D4" s="257"/>
      <c r="E4" s="257"/>
      <c r="F4" s="257"/>
      <c r="G4" s="101"/>
    </row>
    <row r="5" spans="1:7" ht="16.899999999999999" customHeight="1">
      <c r="A5" s="258" t="str">
        <f>TONGQUAN!C2</f>
        <v>Tháng 10 năm 2020
/ Oct 2020</v>
      </c>
      <c r="B5" s="258"/>
      <c r="C5" s="258"/>
      <c r="D5" s="258"/>
      <c r="E5" s="258"/>
      <c r="F5" s="258"/>
      <c r="G5" s="103"/>
    </row>
    <row r="6" spans="1:7" ht="16.899999999999999" customHeight="1"/>
    <row r="7" spans="1:7" ht="16.899999999999999" customHeight="1">
      <c r="A7" s="62" t="s">
        <v>2</v>
      </c>
      <c r="B7" s="115"/>
      <c r="D7" s="265" t="str">
        <f>TONGQUAN!D5</f>
        <v>Công ty Cổ phần Quản lý Quỹ Đầu tư Việt Nam</v>
      </c>
      <c r="E7" s="265"/>
      <c r="F7" s="265"/>
    </row>
    <row r="8" spans="1:7" ht="16.899999999999999" customHeight="1">
      <c r="A8" s="49" t="s">
        <v>41</v>
      </c>
      <c r="B8" s="115"/>
      <c r="D8" s="264" t="str">
        <f>TONGQUAN!D6</f>
        <v>Vietnam Investment Fund Management Joint Stock Company</v>
      </c>
      <c r="E8" s="264"/>
      <c r="F8" s="264"/>
    </row>
    <row r="9" spans="1:7" ht="16.899999999999999" customHeight="1">
      <c r="A9" s="62" t="s">
        <v>3</v>
      </c>
      <c r="B9" s="115"/>
      <c r="D9" s="265" t="str">
        <f>TONGQUAN!D7</f>
        <v>Ngân hàng TNHH Một thành viên Standard Chartered (Việt Nam)</v>
      </c>
      <c r="E9" s="265"/>
      <c r="F9" s="265"/>
    </row>
    <row r="10" spans="1:7" ht="16.899999999999999" customHeight="1">
      <c r="A10" s="49" t="s">
        <v>4</v>
      </c>
      <c r="B10" s="115"/>
      <c r="D10" s="264" t="str">
        <f>TONGQUAN!D8</f>
        <v>Standard Chartered Bank (Vietnam) Limited</v>
      </c>
      <c r="E10" s="264"/>
      <c r="F10" s="264"/>
    </row>
    <row r="11" spans="1:7" ht="16.899999999999999" customHeight="1">
      <c r="A11" s="62" t="s">
        <v>5</v>
      </c>
      <c r="B11" s="115"/>
      <c r="D11" s="265" t="str">
        <f>TONGQUAN!D9</f>
        <v>Quỹ Đầu tư Doanh nghiệp hàng đầu Việt Nam</v>
      </c>
      <c r="E11" s="265"/>
      <c r="F11" s="265"/>
    </row>
    <row r="12" spans="1:7" ht="16.899999999999999" customHeight="1">
      <c r="A12" s="49" t="s">
        <v>6</v>
      </c>
      <c r="B12" s="115"/>
      <c r="D12" s="264" t="str">
        <f>TONGQUAN!D10</f>
        <v>Vietnam Blue Chip Fund(VFMVF4)</v>
      </c>
      <c r="E12" s="264"/>
      <c r="F12" s="264"/>
    </row>
    <row r="13" spans="1:7" ht="16.899999999999999" customHeight="1">
      <c r="A13" s="62" t="s">
        <v>7</v>
      </c>
      <c r="B13" s="115"/>
      <c r="D13" s="265" t="str">
        <f>TONGQUAN!D11</f>
        <v>Ngày 02 tháng 11 năm 2020</v>
      </c>
      <c r="E13" s="265"/>
      <c r="F13" s="265"/>
    </row>
    <row r="14" spans="1:7" ht="16.899999999999999" customHeight="1">
      <c r="A14" s="49" t="s">
        <v>8</v>
      </c>
      <c r="D14" s="264" t="str">
        <f>TONGQUAN!D12</f>
        <v>02 Nov 2020</v>
      </c>
      <c r="E14" s="264"/>
      <c r="F14" s="264"/>
    </row>
    <row r="17" spans="1:6">
      <c r="A17" s="63"/>
      <c r="B17" s="63"/>
      <c r="C17" s="64"/>
    </row>
    <row r="18" spans="1:6" ht="37.15" customHeight="1">
      <c r="A18" s="287" t="s">
        <v>43</v>
      </c>
      <c r="B18" s="288"/>
      <c r="C18" s="94" t="s">
        <v>375</v>
      </c>
      <c r="D18" s="94" t="s">
        <v>215</v>
      </c>
      <c r="E18" s="94" t="str">
        <f>BCKetQuaHoatDong_06028!D18</f>
        <v>Tháng 10 năm 2020
Oct 2020</v>
      </c>
      <c r="F18" s="94" t="str">
        <f>BCKetQuaHoatDong_06028!E18</f>
        <v>Tháng 09 năm 2020
Sep 2020</v>
      </c>
    </row>
    <row r="19" spans="1:6" s="107" customFormat="1" ht="46.5" customHeight="1">
      <c r="A19" s="104" t="s">
        <v>42</v>
      </c>
      <c r="B19" s="104"/>
      <c r="C19" s="116" t="s">
        <v>194</v>
      </c>
      <c r="D19" s="117" t="s">
        <v>195</v>
      </c>
      <c r="E19" s="211">
        <v>454514205833</v>
      </c>
      <c r="F19" s="211">
        <v>453403291695</v>
      </c>
    </row>
    <row r="20" spans="1:6" s="107" customFormat="1" ht="79.5" customHeight="1">
      <c r="A20" s="104" t="s">
        <v>48</v>
      </c>
      <c r="B20" s="104"/>
      <c r="C20" s="116" t="s">
        <v>196</v>
      </c>
      <c r="D20" s="117" t="s">
        <v>197</v>
      </c>
      <c r="E20" s="211">
        <v>4718629854</v>
      </c>
      <c r="F20" s="211">
        <v>17102268144</v>
      </c>
    </row>
    <row r="21" spans="1:6" ht="58.15" customHeight="1">
      <c r="A21" s="289"/>
      <c r="B21" s="108" t="s">
        <v>49</v>
      </c>
      <c r="C21" s="118" t="s">
        <v>198</v>
      </c>
      <c r="D21" s="119" t="s">
        <v>199</v>
      </c>
      <c r="E21" s="158">
        <v>4718629854</v>
      </c>
      <c r="F21" s="158">
        <v>17102268144</v>
      </c>
    </row>
    <row r="22" spans="1:6" ht="57" customHeight="1">
      <c r="A22" s="290"/>
      <c r="B22" s="108" t="s">
        <v>50</v>
      </c>
      <c r="C22" s="118" t="s">
        <v>334</v>
      </c>
      <c r="D22" s="119" t="s">
        <v>200</v>
      </c>
      <c r="E22" s="158">
        <v>0</v>
      </c>
      <c r="F22" s="158">
        <v>0</v>
      </c>
    </row>
    <row r="23" spans="1:6" s="107" customFormat="1" ht="76.5" customHeight="1">
      <c r="A23" s="104" t="s">
        <v>54</v>
      </c>
      <c r="B23" s="104"/>
      <c r="C23" s="116" t="s">
        <v>201</v>
      </c>
      <c r="D23" s="117" t="s">
        <v>202</v>
      </c>
      <c r="E23" s="211">
        <v>-11463710172</v>
      </c>
      <c r="F23" s="211">
        <v>-15991354006</v>
      </c>
    </row>
    <row r="24" spans="1:6" ht="46.5" customHeight="1">
      <c r="A24" s="289"/>
      <c r="B24" s="108" t="s">
        <v>203</v>
      </c>
      <c r="C24" s="118" t="s">
        <v>204</v>
      </c>
      <c r="D24" s="119" t="s">
        <v>205</v>
      </c>
      <c r="E24" s="158">
        <v>4731837100</v>
      </c>
      <c r="F24" s="158">
        <v>3018252800</v>
      </c>
    </row>
    <row r="25" spans="1:6" ht="33" customHeight="1">
      <c r="A25" s="290"/>
      <c r="B25" s="108" t="s">
        <v>206</v>
      </c>
      <c r="C25" s="118" t="s">
        <v>207</v>
      </c>
      <c r="D25" s="119" t="s">
        <v>208</v>
      </c>
      <c r="E25" s="158">
        <v>-16195547272</v>
      </c>
      <c r="F25" s="158">
        <v>-19009606806</v>
      </c>
    </row>
    <row r="26" spans="1:6" s="107" customFormat="1" ht="45.4" customHeight="1">
      <c r="A26" s="104" t="s">
        <v>55</v>
      </c>
      <c r="B26" s="104"/>
      <c r="C26" s="116" t="s">
        <v>376</v>
      </c>
      <c r="D26" s="117" t="s">
        <v>209</v>
      </c>
      <c r="E26" s="211">
        <v>447769125515</v>
      </c>
      <c r="F26" s="211">
        <v>454514205833</v>
      </c>
    </row>
    <row r="27" spans="1:6" s="107" customFormat="1" ht="47.25" customHeight="1">
      <c r="A27" s="104" t="s">
        <v>56</v>
      </c>
      <c r="B27" s="104"/>
      <c r="C27" s="116" t="s">
        <v>346</v>
      </c>
      <c r="D27" s="117" t="s">
        <v>210</v>
      </c>
      <c r="E27" s="159">
        <v>17148.919999999998</v>
      </c>
      <c r="F27" s="159">
        <v>16976.650000000001</v>
      </c>
    </row>
    <row r="28" spans="1:6">
      <c r="A28" s="120"/>
      <c r="B28" s="120"/>
      <c r="C28" s="121"/>
      <c r="D28" s="120"/>
      <c r="E28" s="122"/>
      <c r="F28" s="122"/>
    </row>
    <row r="30" spans="1:6" ht="16.899999999999999" customHeight="1">
      <c r="A30" s="88" t="str">
        <f>TONGQUAN!C16</f>
        <v>Đại diện có thẩm quyền của Ngân hàng giám sát</v>
      </c>
      <c r="B30" s="88"/>
      <c r="E30" s="88" t="str">
        <f>TONGQUAN!F16</f>
        <v>Đại diện có thẩm quyền của Công ty quản lý Quỹ</v>
      </c>
    </row>
    <row r="31" spans="1:6" s="113" customFormat="1" ht="16.899999999999999" customHeight="1">
      <c r="A31" s="89" t="str">
        <f>TONGQUAN!C17</f>
        <v>Authorised Representative of Supervisory Bank</v>
      </c>
      <c r="B31" s="89"/>
      <c r="C31" s="89"/>
      <c r="D31" s="89"/>
      <c r="E31" s="89" t="str">
        <f>TONGQUAN!F17</f>
        <v>Authorised Representative of Fund Management Company</v>
      </c>
      <c r="F31" s="89"/>
    </row>
    <row r="40" spans="1:6">
      <c r="A40" s="114"/>
      <c r="B40" s="114"/>
      <c r="C40" s="114"/>
      <c r="E40" s="114"/>
      <c r="F40" s="114"/>
    </row>
    <row r="41" spans="1:6" ht="16.899999999999999" customHeight="1">
      <c r="A41" s="88" t="str">
        <f>TONGQUAN!C19</f>
        <v>Ngân hàng TNHH MTV Standard Chartered (Việt Nam)</v>
      </c>
      <c r="B41" s="88"/>
      <c r="E41" s="88" t="str">
        <f>TONGQUAN!F19</f>
        <v>Công ty Cổ phần Quản lý Quỹ Đầu tư Việt Nam</v>
      </c>
    </row>
    <row r="42" spans="1:6" ht="16.899999999999999" customHeight="1">
      <c r="A42" s="123" t="str">
        <f>TONGQUAN!C20</f>
        <v>Bùi Thị Huyền Trang</v>
      </c>
      <c r="B42" s="88"/>
      <c r="E42" s="88" t="str">
        <f>TONGQUAN!F20</f>
        <v>Trần Thanh Tân</v>
      </c>
    </row>
    <row r="43" spans="1:6" ht="16.899999999999999" customHeight="1">
      <c r="A43" s="96" t="str">
        <f>TONGQUAN!C21</f>
        <v>Cán bộ Quản lý Nghiệp vụ Dịch vụ Chứng khoán</v>
      </c>
      <c r="E43" s="49" t="str">
        <f>TONGQUAN!F21</f>
        <v>Tổng Giám đốc</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uc9FyX0H1/pmZf5c64AfITi3r+w=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HFwbf8qQz2oFpSZnbfxfmj9Iz7I=</DigestValue>
    </Reference>
  </SignedInfo>
  <SignatureValue>qb8LJMRK9j7v9oPSqEm8+uYajn8VJW2TiODo0rL/0+peAjUUprS+rDP35oh0zRNqpa4i60NzIvYW
zASWwaHDJOg8DPkTncTMhuTCt5Bfb7XXedfEuDtIsdNUbMeTlDHCffsl3D3CyYCjFONa6GuEe3+7
OxigKrGHNNiIg/D2N/a4nHHjhEEin7R+6vel4VGOll8F1u6rRa5BtjJvjU9IP7oCwAUE6vVF/hDH
yOTMMzYLwJn/fp3CcYIR+sBlQbmg9gHKO/us8qeekZ9ahi448zvc1l8DStfEwYXGaMIQ4kmISxfU
3Bqrm4y/vX92nTfk5fMx8ofm8OzasGdpsNiLYw==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FrG1EphjHwwqcOG4a0I2Wer1zLk=</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drawing1.xml?ContentType=application/vnd.openxmlformats-officedocument.drawing+xml">
        <DigestMethod Algorithm="http://www.w3.org/2000/09/xmldsig#sha1"/>
        <DigestValue>nkLFvlXSncD1CJMoeje3LcZ0K1o=</DigestValue>
      </Reference>
      <Reference URI="/xl/drawings/drawing2.xml?ContentType=application/vnd.openxmlformats-officedocument.drawing+xml">
        <DigestMethod Algorithm="http://www.w3.org/2000/09/xmldsig#sha1"/>
        <DigestValue>cT07rTSit4vn7ry+ut7m6FRlldg=</DigestValue>
      </Reference>
      <Reference URI="/xl/drawings/drawing3.xml?ContentType=application/vnd.openxmlformats-officedocument.drawing+xml">
        <DigestMethod Algorithm="http://www.w3.org/2000/09/xmldsig#sha1"/>
        <DigestValue>uYrewS39Pn20v1tnUzspuQRO7os=</DigestValue>
      </Reference>
      <Reference URI="/xl/drawings/drawing4.xml?ContentType=application/vnd.openxmlformats-officedocument.drawing+xml">
        <DigestMethod Algorithm="http://www.w3.org/2000/09/xmldsig#sha1"/>
        <DigestValue>EqxY9lCVaHYhtvvQeb/GPOJ6u0I=</DigestValue>
      </Reference>
      <Reference URI="/xl/drawings/drawing5.xml?ContentType=application/vnd.openxmlformats-officedocument.drawing+xml">
        <DigestMethod Algorithm="http://www.w3.org/2000/09/xmldsig#sha1"/>
        <DigestValue>55g/av1c6sFH7D/yWB4aTKqKkt8=</DigestValue>
      </Reference>
      <Reference URI="/xl/drawings/drawing6.xml?ContentType=application/vnd.openxmlformats-officedocument.drawing+xml">
        <DigestMethod Algorithm="http://www.w3.org/2000/09/xmldsig#sha1"/>
        <DigestValue>4vJJT+LpavrETGb89DCbFCmmTmg=</DigestValue>
      </Reference>
      <Reference URI="/xl/drawings/drawing7.xml?ContentType=application/vnd.openxmlformats-officedocument.drawing+xml">
        <DigestMethod Algorithm="http://www.w3.org/2000/09/xmldsig#sha1"/>
        <DigestValue>056uGyO2u2Q6l1fyr/ZmwGEAci8=</DigestValue>
      </Reference>
      <Reference URI="/xl/drawings/drawing8.xml?ContentType=application/vnd.openxmlformats-officedocument.drawing+xml">
        <DigestMethod Algorithm="http://www.w3.org/2000/09/xmldsig#sha1"/>
        <DigestValue>H6vecLhBzZN4VsVFdL996Tmhvmk=</DigestValue>
      </Reference>
      <Reference URI="/xl/media/image1.emf?ContentType=image/x-emf">
        <DigestMethod Algorithm="http://www.w3.org/2000/09/xmldsig#sha1"/>
        <DigestValue>U6vENFiDHkMTXpJc8OTNvhd9kL8=</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qybfzWX0vVYlQ0YnGlhsOdDzn8Y=</DigestValue>
      </Reference>
      <Reference URI="/xl/styles.xml?ContentType=application/vnd.openxmlformats-officedocument.spreadsheetml.styles+xml">
        <DigestMethod Algorithm="http://www.w3.org/2000/09/xmldsig#sha1"/>
        <DigestValue>Xuc5uxQjbhlcPwUB7MMJW0E1+dw=</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GtoRjqBAUvP12yy07NbtFvvD7h4=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EYg74d7sVfN43nc9i/BJeG6gMQk=</DigestValue>
      </Reference>
      <Reference URI="/xl/worksheets/sheet2.xml?ContentType=application/vnd.openxmlformats-officedocument.spreadsheetml.worksheet+xml">
        <DigestMethod Algorithm="http://www.w3.org/2000/09/xmldsig#sha1"/>
        <DigestValue>J+TKYDP3qMPafEEzpsYT0JtLvoY=</DigestValue>
      </Reference>
      <Reference URI="/xl/worksheets/sheet3.xml?ContentType=application/vnd.openxmlformats-officedocument.spreadsheetml.worksheet+xml">
        <DigestMethod Algorithm="http://www.w3.org/2000/09/xmldsig#sha1"/>
        <DigestValue>6U7vCN2TcKtwmjE8IHpMipSXOjU=</DigestValue>
      </Reference>
      <Reference URI="/xl/worksheets/sheet4.xml?ContentType=application/vnd.openxmlformats-officedocument.spreadsheetml.worksheet+xml">
        <DigestMethod Algorithm="http://www.w3.org/2000/09/xmldsig#sha1"/>
        <DigestValue>6cl/QAW86HVCaGzijPg/pJijNCs=</DigestValue>
      </Reference>
      <Reference URI="/xl/worksheets/sheet5.xml?ContentType=application/vnd.openxmlformats-officedocument.spreadsheetml.worksheet+xml">
        <DigestMethod Algorithm="http://www.w3.org/2000/09/xmldsig#sha1"/>
        <DigestValue>JaWs+pRfRif4T8aONgOU7wEi0mY=</DigestValue>
      </Reference>
      <Reference URI="/xl/worksheets/sheet6.xml?ContentType=application/vnd.openxmlformats-officedocument.spreadsheetml.worksheet+xml">
        <DigestMethod Algorithm="http://www.w3.org/2000/09/xmldsig#sha1"/>
        <DigestValue>oavcIiu4abJX4K5SEXbQca8reH4=</DigestValue>
      </Reference>
      <Reference URI="/xl/worksheets/sheet7.xml?ContentType=application/vnd.openxmlformats-officedocument.spreadsheetml.worksheet+xml">
        <DigestMethod Algorithm="http://www.w3.org/2000/09/xmldsig#sha1"/>
        <DigestValue>A2VHvTHPMzZ70zn6yJfpyP650O0=</DigestValue>
      </Reference>
      <Reference URI="/xl/worksheets/sheet8.xml?ContentType=application/vnd.openxmlformats-officedocument.spreadsheetml.worksheet+xml">
        <DigestMethod Algorithm="http://www.w3.org/2000/09/xmldsig#sha1"/>
        <DigestValue>EN+wswl39xa85eVX89Yts/IvdJ0=</DigestValue>
      </Reference>
      <Reference URI="/xl/worksheets/sheet9.xml?ContentType=application/vnd.openxmlformats-officedocument.spreadsheetml.worksheet+xml">
        <DigestMethod Algorithm="http://www.w3.org/2000/09/xmldsig#sha1"/>
        <DigestValue>Y7QermE4FHnHWV8iyuu9qRliXIg=</DigestValue>
      </Reference>
    </Manifest>
    <SignatureProperties>
      <SignatureProperty Id="idSignatureTime" Target="#idPackageSignature">
        <mdssi:SignatureTime xmlns:mdssi="http://schemas.openxmlformats.org/package/2006/digital-signature">
          <mdssi:Format>YYYY-MM-DDThh:mm:ssTZD</mdssi:Format>
          <mdssi:Value>2020-11-04T09:00:00Z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2020-11-04T09:00:00Z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GiaTriTaiSanRong_06129</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2020-11-04T08:59:57Z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2020-11-04T03:28:08.6140431Z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03f3ef65-e729-4a87-b994-deb419d48f45</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