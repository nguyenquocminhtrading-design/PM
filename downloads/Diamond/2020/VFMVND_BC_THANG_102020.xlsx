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worksheets/sheet1.xml" ContentType="application/vnd.openxmlformats-officedocument.spreadsheetml.worksheet+xml"/>
  <Override PartName="/xl/drawings/drawing8.xml" ContentType="application/vnd.openxmlformats-officedocument.drawing+xml"/>
  <Override PartName="/xl/drawings/drawing1.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sharedStrings.xml" ContentType="application/vnd.openxmlformats-officedocument.spreadsheetml.sharedStrings+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firstSheet="6" activeTab="9"/>
  </bookViews>
  <sheets>
    <sheet name="TONGQUAN" sheetId="16" r:id="rId1"/>
    <sheet name="BCTaiSan_06134" sheetId="19" r:id="rId2"/>
    <sheet name="BCKetQuaHoatDong_06135" sheetId="17" r:id="rId3"/>
    <sheet name="BCDanhMucDauTu_06136" sheetId="8" r:id="rId4"/>
    <sheet name="Khac_06137" sheetId="20" r:id="rId5"/>
    <sheet name="BCGiaodichTaiSan_06141" sheetId="23" r:id="rId6"/>
    <sheet name="BCThuNhap_06203" sheetId="14" r:id="rId7"/>
    <sheet name="BCTinhHinhTaiChinh_06105" sheetId="21" r:id="rId8"/>
    <sheet name="GTTSRong_06107" sheetId="22" r:id="rId9"/>
    <sheet name="DangHD_06182" sheetId="24" r:id="rId10"/>
  </sheets>
  <definedNames>
    <definedName name="_xlnm.Print_Area" localSheetId="5">BCGiaodichTaiSan_06141!$A$1:$K$37</definedName>
    <definedName name="_xlnm.Print_Area" localSheetId="0">TONGQUAN!$A$1:$I$48</definedName>
  </definedNames>
  <calcPr calcId="145621" calcOnSave="0"/>
</workbook>
</file>

<file path=xl/calcChain.xml><?xml version="1.0" encoding="utf-8"?>
<calcChain xmlns="http://schemas.openxmlformats.org/spreadsheetml/2006/main">
  <c r="F117" i="21" l="1"/>
  <c r="E117" i="21"/>
  <c r="F113" i="21"/>
  <c r="E113" i="21"/>
  <c r="F109" i="21"/>
  <c r="E109" i="21"/>
  <c r="F101" i="21"/>
  <c r="F98" i="21" s="1"/>
  <c r="E101" i="21"/>
  <c r="E98" i="21"/>
  <c r="F88" i="21"/>
  <c r="F86" i="21" s="1"/>
  <c r="E88" i="21"/>
  <c r="E86" i="21"/>
  <c r="F76" i="21"/>
  <c r="E76" i="21"/>
  <c r="F71" i="21"/>
  <c r="F107" i="21" s="1"/>
  <c r="E71" i="21"/>
  <c r="E107" i="21" s="1"/>
  <c r="F58" i="21"/>
  <c r="E58" i="21"/>
  <c r="E56" i="21" s="1"/>
  <c r="F56" i="21"/>
  <c r="F50" i="21"/>
  <c r="E50" i="21"/>
  <c r="F43" i="21"/>
  <c r="F42" i="21" s="1"/>
  <c r="F39" i="21" s="1"/>
  <c r="E43" i="21"/>
  <c r="E42" i="21"/>
  <c r="F28" i="21"/>
  <c r="E28" i="21"/>
  <c r="E27" i="21" s="1"/>
  <c r="F27" i="21"/>
  <c r="F20" i="21"/>
  <c r="E20" i="21"/>
  <c r="E19" i="21" s="1"/>
  <c r="F19" i="21"/>
  <c r="F65" i="21" s="1"/>
  <c r="F108" i="21" l="1"/>
  <c r="E39" i="21"/>
  <c r="E65" i="21" s="1"/>
  <c r="E108" i="21" s="1"/>
  <c r="G75" i="14"/>
  <c r="F75" i="14"/>
  <c r="E75" i="14"/>
  <c r="D75" i="14"/>
  <c r="G59" i="14"/>
  <c r="F59" i="14"/>
  <c r="E59" i="14"/>
  <c r="D59" i="14"/>
  <c r="G53" i="14"/>
  <c r="F53" i="14"/>
  <c r="E53" i="14"/>
  <c r="D53" i="14"/>
  <c r="G45" i="14"/>
  <c r="F45" i="14"/>
  <c r="E45" i="14"/>
  <c r="D45" i="14"/>
  <c r="D43" i="14" s="1"/>
  <c r="G43" i="14"/>
  <c r="F43" i="14"/>
  <c r="E43" i="14"/>
  <c r="G36" i="14"/>
  <c r="F36" i="14"/>
  <c r="E36" i="14"/>
  <c r="D36" i="14"/>
  <c r="D35" i="14" s="1"/>
  <c r="G35" i="14"/>
  <c r="F35" i="14"/>
  <c r="E35" i="14"/>
  <c r="G26" i="14"/>
  <c r="F26" i="14"/>
  <c r="E26" i="14"/>
  <c r="D26" i="14"/>
  <c r="G23" i="14"/>
  <c r="F23" i="14"/>
  <c r="E23" i="14"/>
  <c r="D23" i="14"/>
  <c r="G20" i="14"/>
  <c r="F20" i="14"/>
  <c r="E20" i="14"/>
  <c r="E19" i="14" s="1"/>
  <c r="E74" i="14" s="1"/>
  <c r="E78" i="14" s="1"/>
  <c r="E82" i="14" s="1"/>
  <c r="D20" i="14"/>
  <c r="G19" i="14"/>
  <c r="G74" i="14" s="1"/>
  <c r="G78" i="14" s="1"/>
  <c r="G82" i="14" s="1"/>
  <c r="F19" i="14"/>
  <c r="F74" i="14" s="1"/>
  <c r="F78" i="14" s="1"/>
  <c r="F82" i="14" s="1"/>
  <c r="D19" i="14"/>
  <c r="D74" i="14" l="1"/>
  <c r="D78" i="14" s="1"/>
  <c r="D82" i="14" s="1"/>
</calcChain>
</file>

<file path=xl/sharedStrings.xml><?xml version="1.0" encoding="utf-8"?>
<sst xmlns="http://schemas.openxmlformats.org/spreadsheetml/2006/main" count="1468" uniqueCount="1081">
  <si>
    <t>Phụ lục 07. Mẫu báo cáo hoạt động đầu tư của quỹ ETF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</si>
  <si>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
(Issued in association with Circular 91/2012/TT-BTC dated 31 Dec 2019 amending and supplementing a number of Circulars guiding on reporting  and administration of Fund Management Companies, Securities Investment Funds and  Securities Investment Companies)</t>
  </si>
  <si>
    <t>REPORT ON ETF FUND'S INVESTMENT ACTIVITIES</t>
  </si>
  <si>
    <t>BÁO CÁO HOẠT ĐỘNG ĐẦU TƯ CỦA QUỸ ETF</t>
  </si>
  <si>
    <t>Tại ngày 31 tháng 10 năm 2020 / As at 31 Oct 2020</t>
  </si>
  <si>
    <t>1</t>
  </si>
  <si>
    <t>Tên Công ty quản lý quỹ:</t>
  </si>
  <si>
    <t>Công ty cổ phần Quản lý Quỹ Đầu Tư Việt Nam</t>
  </si>
  <si>
    <t>Fund Management Company:</t>
  </si>
  <si>
    <t>Vietnam Investment Fund Management Joint Stock Company</t>
  </si>
  <si>
    <t>2</t>
  </si>
  <si>
    <t>Tên 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</si>
  <si>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</si>
  <si>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</si>
  <si>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</si>
  <si>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</si>
  <si>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</si>
  <si>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</si>
  <si>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</si>
  <si>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</si>
  <si>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</si>
  <si>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Ngày lập báo cáo:</t>
  </si>
  <si>
    <t>Reporting Date:</t>
  </si>
  <si>
    <t>A. BÁO CÁO CHUNG VỀ HOẠT ĐỘNG ĐẦU TƯ CỦA QUỸ ETF / GENERAL INFOMATION ON ETF FUND'S INVESTMENT ACTIVITIES</t>
  </si>
  <si>
    <t>III. BÁO CÁO DANH MỤC ĐẦU TƯ CỦA QUỸ/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</si>
  <si>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</si>
  <si>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</si>
  <si>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</si>
  <si>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</si>
  <si>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</si>
  <si>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</si>
  <si>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</si>
  <si>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</si>
  <si>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</si>
  <si>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Cổ phiếu niêm yết
Listed shares</t>
  </si>
  <si>
    <t>2246</t>
  </si>
  <si>
    <t>CTD</t>
  </si>
  <si>
    <t>2246.1</t>
  </si>
  <si>
    <t>CTG</t>
  </si>
  <si>
    <t>2246.2</t>
  </si>
  <si>
    <t>FPT</t>
  </si>
  <si>
    <t>2246.3</t>
  </si>
  <si>
    <t>GMD</t>
  </si>
  <si>
    <t>2246.4</t>
  </si>
  <si>
    <t>5</t>
  </si>
  <si>
    <t>KDH</t>
  </si>
  <si>
    <t>2246.5</t>
  </si>
  <si>
    <t>6</t>
  </si>
  <si>
    <t>MBB</t>
  </si>
  <si>
    <t>2246.6</t>
  </si>
  <si>
    <t>7</t>
  </si>
  <si>
    <t>MWG</t>
  </si>
  <si>
    <t>2246.7</t>
  </si>
  <si>
    <t>8</t>
  </si>
  <si>
    <t>NLG</t>
  </si>
  <si>
    <t>2246.8</t>
  </si>
  <si>
    <t>9</t>
  </si>
  <si>
    <t>PNJ</t>
  </si>
  <si>
    <t>2246.9</t>
  </si>
  <si>
    <t>10</t>
  </si>
  <si>
    <t>REE</t>
  </si>
  <si>
    <t>2246.10</t>
  </si>
  <si>
    <t>11</t>
  </si>
  <si>
    <t>TCB</t>
  </si>
  <si>
    <t>2246.11</t>
  </si>
  <si>
    <t>12</t>
  </si>
  <si>
    <t>TPB</t>
  </si>
  <si>
    <t>2246.12</t>
  </si>
  <si>
    <t>13</t>
  </si>
  <si>
    <t>VPB</t>
  </si>
  <si>
    <t>2246.13</t>
  </si>
  <si>
    <t>Tổng</t>
  </si>
  <si>
    <t>2247</t>
  </si>
  <si>
    <t>II</t>
  </si>
  <si>
    <t>Cổ phiếu không niêm yết
Unlisted shares</t>
  </si>
  <si>
    <t>2248</t>
  </si>
  <si>
    <t>Tổng
Total</t>
  </si>
  <si>
    <t>2249</t>
  </si>
  <si>
    <t>Tổng các loại cổ phiếu
Total shares</t>
  </si>
  <si>
    <t>2250</t>
  </si>
  <si>
    <t>III</t>
  </si>
  <si>
    <t>Trái phiếu
Bonds</t>
  </si>
  <si>
    <t>2251</t>
  </si>
  <si>
    <t>2252</t>
  </si>
  <si>
    <t>IV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</si>
  <si>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</si>
  <si>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</si>
  <si>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</si>
  <si>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</si>
  <si>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</si>
  <si>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</si>
  <si>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</si>
  <si>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</si>
  <si>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</si>
  <si>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</si>
  <si>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</si>
  <si>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</si>
  <si>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</si>
  <si>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</si>
  <si>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</si>
  <si>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</si>
  <si>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</si>
  <si>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</si>
  <si>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</si>
  <si>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</si>
  <si>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</si>
  <si>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</si>
  <si>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</si>
  <si>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</si>
  <si>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</si>
  <si>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</si>
  <si>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</si>
  <si>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</si>
  <si>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</si>
  <si>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</si>
  <si>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</si>
  <si>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</si>
  <si>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</si>
  <si>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t>
  </si>
  <si>
    <t>Tiền
Cash</t>
  </si>
  <si>
    <t>2258</t>
  </si>
  <si>
    <t>Tiền gửi Ngân Hàng
Cash at Bank</t>
  </si>
  <si>
    <t>2259</t>
  </si>
  <si>
    <t>Tiền gửi ngân hàng
Cash at Bank</t>
  </si>
  <si>
    <t>2259.1</t>
  </si>
  <si>
    <t>Các khoản tương đương tiền
Cash Equivalents</t>
  </si>
  <si>
    <t>2259.2</t>
  </si>
  <si>
    <t>Tiền gửi có kỳ hạn trên 3 tháng
Term deposit greater than 3 months</t>
  </si>
  <si>
    <t>2259.3</t>
  </si>
  <si>
    <t>Chứng chỉ tiền gửi 
Certificates of deposit</t>
  </si>
  <si>
    <t>2260</t>
  </si>
  <si>
    <t>Công cụ chuyển nhượng…
Transferable instruments…</t>
  </si>
  <si>
    <t>2261</t>
  </si>
  <si>
    <t>2262</t>
  </si>
  <si>
    <t>VII</t>
  </si>
  <si>
    <t>Tổng giá trị danh mục 
Total value of portfolio</t>
  </si>
  <si>
    <t>2263</t>
  </si>
  <si>
    <t>STT</t>
  </si>
  <si>
    <t>Mã</t>
  </si>
  <si>
    <t>Số lượng</t>
  </si>
  <si>
    <t>Giá trị thị trường/ 1 hợp đồng (100,000 VND)</t>
  </si>
  <si>
    <t>Tổng giá trị thị trường</t>
  </si>
  <si>
    <t>Tổng giá trị cam kết</t>
  </si>
  <si>
    <t>Chênh lệch giữa giá trị cam kết và giá trị thị trường</t>
  </si>
  <si>
    <t>BÁO CÁO HOẠT ĐỘNG ĐẦU TƯ CỦA QUỸ ETF
REPORT ON ETF FUND'S INVESTMENT ACTIVITIES</t>
  </si>
  <si>
    <t>Tháng 10 năm 2020 / Oct 2020</t>
  </si>
  <si>
    <t>Ngân hàng giám sát:</t>
  </si>
  <si>
    <t>A. BÁO CÁO CHUNG VỀ HOẠT ĐỘNG ĐẦU TƯ CỦA QUỸ ETF/GENERAL INFOMATION ON ETF FUND'S INVESTMENT ACTIVITIES</t>
  </si>
  <si>
    <t>II. BÁO CÁO KẾT QUẢ HOẠT ĐỘNG / PROFIT AND LOSS REPORT</t>
  </si>
  <si>
    <t>TT
NO</t>
  </si>
  <si>
    <t>Chỉ tiêu
Indicators</t>
  </si>
  <si>
    <t>Tháng 10 năm 2020
Oct 2020</t>
  </si>
  <si>
    <t>Tháng 09 năm 2020
Sep 2020</t>
  </si>
  <si>
    <t>Lũy kế từ đầu năm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</si>
  <si>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</si>
  <si>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</si>
  <si>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</si>
  <si>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</si>
  <si>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</si>
  <si>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</si>
  <si>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</si>
  <si>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</si>
  <si>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</si>
  <si>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</si>
  <si>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</si>
  <si>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</si>
  <si>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</si>
  <si>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</si>
  <si>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</si>
  <si>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</si>
  <si>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</si>
  <si>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</si>
  <si>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</si>
  <si>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</si>
  <si>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</si>
  <si>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</si>
  <si>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</si>
  <si>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</si>
  <si>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</si>
  <si>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</si>
  <si>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</si>
  <si>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</si>
  <si>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</si>
  <si>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</si>
  <si>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</si>
  <si>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</si>
  <si>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</si>
  <si>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</si>
  <si>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</si>
  <si>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</si>
  <si>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</si>
  <si>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</si>
  <si>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</si>
  <si>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</si>
  <si>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</si>
  <si>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</si>
  <si>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</si>
  <si>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</si>
  <si>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</si>
  <si>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</si>
  <si>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</si>
  <si>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</si>
  <si>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</si>
  <si>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</si>
  <si>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</si>
  <si>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</si>
  <si>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</si>
  <si>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</si>
  <si>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</si>
  <si>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</si>
  <si>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</si>
  <si>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</si>
  <si>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</si>
  <si>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</si>
  <si>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</si>
  <si>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</si>
  <si>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</si>
  <si>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</si>
  <si>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</si>
  <si>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</si>
  <si>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</si>
  <si>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</si>
  <si>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</si>
  <si>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</si>
  <si>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</si>
  <si>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</si>
  <si>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</si>
  <si>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</si>
  <si>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</si>
  <si>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</si>
  <si>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</si>
  <si>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</si>
  <si>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</si>
  <si>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</si>
  <si>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</si>
  <si>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</si>
  <si>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</si>
  <si>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</si>
  <si>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</si>
  <si>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</si>
  <si>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</si>
  <si>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</si>
  <si>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</si>
  <si>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</si>
  <si>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</si>
  <si>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</si>
  <si>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</si>
  <si>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</si>
  <si>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</si>
  <si>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</si>
  <si>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</si>
  <si>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</si>
  <si>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</si>
  <si>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</si>
  <si>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</si>
  <si>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</si>
  <si>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</si>
  <si>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</si>
  <si>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</si>
  <si>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</si>
  <si>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</si>
  <si>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</si>
  <si>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</si>
  <si>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</si>
  <si>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</si>
  <si>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</si>
  <si>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</si>
  <si>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</si>
  <si>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</si>
  <si>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</si>
  <si>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</si>
  <si>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</si>
  <si>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Thay đổi giá trị tài sản ròng của Quỹ liên quan tới nhà đầu tư trong kỳ
Change of Net Asset Value related to investors during the period</t>
  </si>
  <si>
    <t>2242</t>
  </si>
  <si>
    <t>Thay đổi giá trị tài sản ròng của Quỹ do việc phân phối thu nhập của Quỹ cho các nhà đầu tư trong kỳ
Change of Net Asset Value due to profit distribution to investors during the period</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</si>
  <si>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</si>
  <si>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</si>
  <si>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</si>
  <si>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</si>
  <si>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</si>
  <si>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</si>
  <si>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</si>
  <si>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</si>
  <si>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</si>
  <si>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</si>
  <si>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</si>
  <si>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</si>
  <si>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</si>
  <si>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</si>
  <si>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</si>
  <si>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</si>
  <si>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</si>
  <si>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</si>
  <si>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</si>
  <si>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</si>
  <si>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</si>
  <si>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</si>
  <si>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</si>
  <si>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Phụ lục 07. Mẫu báo cáo về hoạt động đầu tư của quỹ ETF
Appendix 07. Report on Fund's Investment Activities</t>
  </si>
  <si>
    <t>BÁO CÁO HOẠT ĐỘNG ĐẦU TƯ CỦA QUỸ ETF
REPORT ON FUND'S INVESTMENT ACTIVITIES</t>
  </si>
  <si>
    <t>V. MỘT SỐ CHỈ TIÊU KHÁC / OTHER INDICATORS</t>
  </si>
  <si>
    <t>TT
No.</t>
  </si>
  <si>
    <t>Các chỉ tiêu về hiệu quả hoạt động
Investment performance indicators (*)</t>
  </si>
  <si>
    <t>2264</t>
  </si>
  <si>
    <t>- Giá trị tài sản ròng trung bình</t>
  </si>
  <si>
    <t>TSR_TB</t>
  </si>
  <si>
    <t>Tỷ lệ phí quản lý trả cho công ty quản lý quỹ/Giá trị tài sản ròng trung bình trong kỳ (%)
Management expense over average NAV ratio (%)</t>
  </si>
  <si>
    <t>2265</t>
  </si>
  <si>
    <t>Tỷ lệ phí lưu ký, giám sát trả cho NHGS/Giá trị tài sản ròng trung bình trong kỳ (%)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</si>
  <si>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</si>
  <si>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</si>
  <si>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</si>
  <si>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</si>
  <si>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</si>
  <si>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</si>
  <si>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</si>
  <si>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 hoạt động/Giá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</si>
  <si>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</si>
  <si>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</si>
  <si>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</si>
  <si>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</si>
  <si>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</si>
  <si>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</si>
  <si>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</si>
  <si>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</si>
  <si>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</si>
  <si>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</si>
  <si>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</si>
  <si>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</si>
  <si>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</si>
  <si>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</si>
  <si>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</si>
  <si>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</si>
  <si>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</si>
  <si>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</si>
  <si>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</si>
  <si>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</si>
  <si>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</si>
  <si>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</si>
  <si>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</si>
  <si>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</si>
  <si>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</si>
  <si>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</si>
  <si>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</si>
  <si>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</si>
  <si>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</si>
  <si>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</si>
  <si>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</si>
  <si>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</si>
  <si>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</si>
  <si>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</si>
  <si>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</si>
  <si>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</si>
  <si>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</si>
  <si>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</si>
  <si>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</si>
  <si>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</si>
  <si>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</si>
  <si>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</si>
  <si>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</si>
  <si>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</si>
  <si>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</si>
  <si>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Excluding the committed value of the Index Futures contracts.</t>
  </si>
  <si>
    <t>Đại diện có thẩm quyền của ngân hàng giám sát</t>
  </si>
  <si>
    <t>Phụ lục số 07. Mẫu Báo cáo hoạt động đầu tư của quỹ ETF
Appendix 07. Report on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</si>
  <si>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</si>
  <si>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Tại ngày 31 tháng 10  năm 2020 
As at 31 Oct 2020</t>
  </si>
  <si>
    <t>I. BÁO CÁO VỀ TÀI SẢN CỦA QUỸ/ ASSET REPORT</t>
  </si>
  <si>
    <t>Tại ngày 30 tháng 09  năm 2020 
As at 30 Sep 2020</t>
  </si>
  <si>
    <t>%/cùng kỳ năm trước
%/against last year (*)</t>
  </si>
  <si>
    <t>Tài sản
Assets</t>
  </si>
  <si>
    <t>2200</t>
  </si>
  <si>
    <t>I.1</t>
  </si>
  <si>
    <t>Tiền gửi ngân hàng và các khoản tương đương tiền
Cash at bank and cash equivalent</t>
  </si>
  <si>
    <t>2201</t>
  </si>
  <si>
    <t>2202</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</si>
  <si>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</si>
  <si>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</si>
  <si>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</si>
  <si>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</si>
  <si>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</si>
  <si>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</si>
  <si>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</si>
  <si>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t>
  </si>
  <si>
    <t>2203.4</t>
  </si>
  <si>
    <t>Tài khoản phong tỏa
Escrow account</t>
  </si>
  <si>
    <t>2203.5</t>
  </si>
  <si>
    <t>2204</t>
  </si>
  <si>
    <t>I.2</t>
  </si>
  <si>
    <t>Các khoản đầu tư (kê chi tiết)
Investments</t>
  </si>
  <si>
    <t>2205</t>
  </si>
  <si>
    <t>2205.1</t>
  </si>
  <si>
    <t>Cổ phiếu chưa niêm yết
Unlisted shares</t>
  </si>
  <si>
    <t>2205.2</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</si>
  <si>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</si>
  <si>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</si>
  <si>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</si>
  <si>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</si>
  <si>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</si>
  <si>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</si>
  <si>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</si>
  <si>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</si>
  <si>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</si>
  <si>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</si>
  <si>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</si>
  <si>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</si>
  <si>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Cổ tức, trái tức được nhận
Dividend, Coupon Receivables</t>
  </si>
  <si>
    <t>2206</t>
  </si>
  <si>
    <t>Phải thu cổ tức
Dividend receivables</t>
  </si>
  <si>
    <t>2206.1</t>
  </si>
  <si>
    <t>Phải thu trái tức
Coupon receivables</t>
  </si>
  <si>
    <t>2206.2</t>
  </si>
  <si>
    <t>I.4</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</si>
  <si>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</si>
  <si>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</si>
  <si>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</si>
  <si>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</si>
  <si>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</si>
  <si>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</si>
  <si>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</si>
  <si>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</si>
  <si>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I.5</t>
  </si>
  <si>
    <t>Tiền bán chứng khoán chờ thu
Securities Trading Receivables</t>
  </si>
  <si>
    <t>2208</t>
  </si>
  <si>
    <t>I.6</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</si>
  <si>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</si>
  <si>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</si>
  <si>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</si>
  <si>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</si>
  <si>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</si>
  <si>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</si>
  <si>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</si>
  <si>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</si>
  <si>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I.7</t>
  </si>
  <si>
    <t>Các tài sản khác
Other assets</t>
  </si>
  <si>
    <t>2211</t>
  </si>
  <si>
    <t>Phải thu cho khoản cổ phiếu hạn chế chờ mua
Receivable from AP/Investors on securities on hold</t>
  </si>
  <si>
    <t>2211.1</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</si>
  <si>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</si>
  <si>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</si>
  <si>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</si>
  <si>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</si>
  <si>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</si>
  <si>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</si>
  <si>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</si>
  <si>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I.8</t>
  </si>
  <si>
    <t>TỔNG TÀI SẢN
Total Assets</t>
  </si>
  <si>
    <t>2212</t>
  </si>
  <si>
    <t>Nợ
Liabilities</t>
  </si>
  <si>
    <t>2213</t>
  </si>
  <si>
    <t>II.1</t>
  </si>
  <si>
    <t>Tiền phải thanh toán mua chứng khoán
Securities Trading Payables</t>
  </si>
  <si>
    <t>2214</t>
  </si>
  <si>
    <t>II.2</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</si>
  <si>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</si>
  <si>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</si>
  <si>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</si>
  <si>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</si>
  <si>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</si>
  <si>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</si>
  <si>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</si>
  <si>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</si>
  <si>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</si>
  <si>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</si>
  <si>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</si>
  <si>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</si>
  <si>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</si>
  <si>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</si>
  <si>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</si>
  <si>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</si>
  <si>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</si>
  <si>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</si>
  <si>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</si>
  <si>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</si>
  <si>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</si>
  <si>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</si>
  <si>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</si>
  <si>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</si>
  <si>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</si>
  <si>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</si>
  <si>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</si>
  <si>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</si>
  <si>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</si>
  <si>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</si>
  <si>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</si>
  <si>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</si>
  <si>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</si>
  <si>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</si>
  <si>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</si>
  <si>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</si>
  <si>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2215.10.1</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</si>
  <si>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</si>
  <si>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</si>
  <si>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</si>
  <si>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</si>
  <si>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</si>
  <si>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</si>
  <si>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</si>
  <si>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</si>
  <si>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</si>
  <si>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</si>
  <si>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</si>
  <si>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</si>
  <si>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</si>
  <si>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</si>
  <si>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</si>
  <si>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Phải trả khác
Other payable</t>
  </si>
  <si>
    <t>2215.17</t>
  </si>
  <si>
    <t>Phải trả phí báo giá
Price feed fee payable</t>
  </si>
  <si>
    <t>2215.17.1</t>
  </si>
  <si>
    <t>Trích trước phí công tác, họp của Ban đại diện
Accrued expenses for Fund's Board of Representatives travelling, meeting</t>
  </si>
  <si>
    <t>2215.17.2</t>
  </si>
  <si>
    <t>Trích trước phí quản lý thường niên trả UBCKNN
Accrued expenses for annual fee pay to SSC</t>
  </si>
  <si>
    <t>2215.17.3</t>
  </si>
  <si>
    <t>Trích trước phí đăng ký chứng khoán tại VSD
Accrued expense for security registration at VSD</t>
  </si>
  <si>
    <t>2215.17.4</t>
  </si>
  <si>
    <t>Lệ phí cấp giấy chứng nhận hoạt động quỹ ETF trả UBCKNN
Register fee for ETF operation payable to SSC</t>
  </si>
  <si>
    <t>2215.17.5</t>
  </si>
  <si>
    <t>Phí dịch vụ đăng ký chứng khoán trả VSD
Security register fee payable to VSD</t>
  </si>
  <si>
    <t>2215.17.6</t>
  </si>
  <si>
    <t>Phải trả, phải nộp khác
Other payables</t>
  </si>
  <si>
    <t>2215.17.7</t>
  </si>
  <si>
    <t>Chi phí phải trả khác của công ty QLQ
Other expenses</t>
  </si>
  <si>
    <t>2215.17.8</t>
  </si>
  <si>
    <t>Vay ngắn hạn 
Short-term loans</t>
  </si>
  <si>
    <t>2215.18</t>
  </si>
  <si>
    <t>Gốc khoản vay ngắn hạn 
Short-term loans Principal</t>
  </si>
  <si>
    <t>2215.18.1</t>
  </si>
  <si>
    <t>Trich trước lãi vay ngắn hạn
Accrued Interest Expense</t>
  </si>
  <si>
    <t>2215.18.2</t>
  </si>
  <si>
    <t>II.3</t>
  </si>
  <si>
    <t>TỔNG NỢ
TOTAL LIABILITIES</t>
  </si>
  <si>
    <t>2216</t>
  </si>
  <si>
    <t>Tài sản ròng của Quỹ ( = I.8 - II.3)
Net Asset Value ( = I.8 - II.3)</t>
  </si>
  <si>
    <t>2217</t>
  </si>
  <si>
    <t>Tổng số chứng chỉ quỹ đang lưu hành
Total Outstanding Fund Certificates</t>
  </si>
  <si>
    <t>2218</t>
  </si>
  <si>
    <t>Giá trị tài sản ròng trên một chứng chỉ quỹ (III/V)
Net asset value per Fund certificate (III/V)</t>
  </si>
  <si>
    <t>2219</t>
  </si>
  <si>
    <t>(*) Quỹ được cấp phép thành lập ngày 22/04/2020 nên không có số liệu tại năm 2019.
Fund Registration Certificate was granted on 22/04/2020, so data for 2019 is left blank.</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</si>
  <si>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</si>
  <si>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</si>
  <si>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</si>
  <si>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</si>
  <si>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</si>
  <si>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</si>
  <si>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</si>
  <si>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</si>
  <si>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STT
No</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</si>
  <si>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</si>
  <si>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</si>
  <si>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</si>
  <si>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</si>
  <si>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</si>
  <si>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</si>
  <si>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</si>
  <si>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</si>
  <si>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</si>
  <si>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</si>
  <si>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</si>
  <si>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</si>
  <si>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</si>
  <si>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</si>
  <si>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</si>
  <si>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</si>
  <si>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</si>
  <si>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</si>
  <si>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</si>
  <si>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</si>
  <si>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</si>
  <si>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</si>
  <si>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</si>
  <si>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t>
  </si>
  <si>
    <t>Kế toán trưởng</t>
  </si>
  <si>
    <t>Tổng Giám đốc</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</si>
  <si>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</si>
  <si>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</si>
  <si>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</si>
  <si>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</si>
  <si>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</si>
  <si>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</si>
  <si>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</si>
  <si>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</si>
  <si>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</si>
  <si>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</si>
  <si>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2020
YEAR 2020</t>
  </si>
  <si>
    <t>NĂM 2019
YEAR 2019</t>
  </si>
  <si>
    <t>Số lũy kế
Year-to-date</t>
  </si>
  <si>
    <t>Tháng 10 năm 2019
Oct 2019</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</si>
  <si>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</si>
  <si>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</si>
  <si>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</si>
  <si>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</si>
  <si>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</si>
  <si>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</si>
  <si>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</si>
  <si>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</si>
  <si>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</si>
  <si>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</si>
  <si>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</si>
  <si>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</si>
  <si>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</si>
  <si>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</si>
  <si>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</si>
  <si>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</si>
  <si>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</si>
  <si>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</si>
  <si>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</si>
  <si>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</si>
  <si>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</si>
  <si>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</si>
  <si>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</si>
  <si>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</si>
  <si>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</si>
  <si>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</si>
  <si>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</si>
  <si>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</si>
  <si>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</si>
  <si>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</si>
  <si>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</si>
  <si>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</si>
  <si>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</si>
  <si>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</si>
  <si>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</si>
  <si>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</si>
  <si>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</si>
  <si>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</si>
  <si>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</si>
  <si>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</si>
  <si>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</si>
  <si>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14</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</si>
  <si>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</si>
  <si>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</si>
  <si>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</si>
  <si>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</si>
  <si>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</si>
  <si>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</si>
  <si>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</si>
  <si>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</si>
  <si>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</si>
  <si>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</si>
  <si>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</si>
  <si>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</si>
  <si>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</si>
  <si>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</si>
  <si>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</si>
  <si>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</si>
  <si>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</si>
  <si>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</si>
  <si>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</si>
  <si>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</si>
  <si>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</si>
  <si>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</si>
  <si>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</si>
  <si>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</si>
  <si>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</si>
  <si>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</si>
  <si>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</si>
  <si>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</si>
  <si>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</si>
  <si>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</si>
  <si>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</si>
  <si>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</si>
  <si>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</si>
  <si>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</si>
  <si>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</si>
  <si>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</si>
  <si>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</si>
  <si>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</si>
  <si>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</si>
  <si>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</si>
  <si>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</si>
  <si>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</si>
  <si>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</si>
  <si>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</si>
  <si>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20.10.05</t>
  </si>
  <si>
    <t>Chi phí thiết lập Quỹ
Setup Expenses</t>
  </si>
  <si>
    <t>20.10.06</t>
  </si>
  <si>
    <t>Phí quản lý thường niên trả UBCKNN
Accrued fee payable to SSC</t>
  </si>
  <si>
    <t>20.10.07</t>
  </si>
  <si>
    <t>20.10.08</t>
  </si>
  <si>
    <t>20.10.09</t>
  </si>
  <si>
    <t>20.10.10</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</si>
  <si>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</si>
  <si>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</si>
  <si>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</si>
  <si>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</si>
  <si>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</si>
  <si>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</si>
  <si>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</si>
  <si>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</si>
  <si>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</si>
  <si>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</si>
  <si>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</si>
  <si>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</si>
  <si>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</si>
  <si>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</si>
  <si>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</si>
  <si>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</si>
  <si>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</si>
  <si>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</si>
  <si>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</si>
  <si>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</si>
  <si>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</si>
  <si>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</si>
  <si>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</si>
  <si>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</si>
  <si>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</si>
  <si>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Tổng giám đốc</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</si>
  <si>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</si>
  <si>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</si>
  <si>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</si>
  <si>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</si>
  <si>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</si>
  <si>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</si>
  <si>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</si>
  <si>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</si>
  <si>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</si>
  <si>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</si>
  <si>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</si>
  <si>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</si>
  <si>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</si>
  <si>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</si>
  <si>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</si>
  <si>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</si>
  <si>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</si>
  <si>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</si>
  <si>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</si>
  <si>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</si>
  <si>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</si>
  <si>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</si>
  <si>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</si>
  <si>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</si>
  <si>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</si>
  <si>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</si>
  <si>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</si>
  <si>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</si>
  <si>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</si>
  <si>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</si>
  <si>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</si>
  <si>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</si>
  <si>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</si>
  <si>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</si>
  <si>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</si>
  <si>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</si>
  <si>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</si>
  <si>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</si>
  <si>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</si>
  <si>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</si>
  <si>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</si>
  <si>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</si>
  <si>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</si>
  <si>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</si>
  <si>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</si>
  <si>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</si>
  <si>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</si>
  <si>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</si>
  <si>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</si>
  <si>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</si>
  <si>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</si>
  <si>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</si>
  <si>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</si>
  <si>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</si>
  <si>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</si>
  <si>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</si>
  <si>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</si>
  <si>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</si>
  <si>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</si>
  <si>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</si>
  <si>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134.2</t>
  </si>
  <si>
    <t>Phải thu lãi tiền gửi có kỳ hạn dưới 3 tháng
Interest receivables from deposit with term less than three (03) months</t>
  </si>
  <si>
    <t>134.3</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</si>
  <si>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</si>
  <si>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</si>
  <si>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</si>
  <si>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</si>
  <si>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</si>
  <si>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</si>
  <si>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</si>
  <si>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</si>
  <si>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</si>
  <si>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</si>
  <si>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</si>
  <si>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</si>
  <si>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</si>
  <si>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</si>
  <si>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</si>
  <si>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</si>
  <si>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</si>
  <si>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</si>
  <si>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</si>
  <si>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</si>
  <si>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</si>
  <si>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</si>
  <si>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</si>
  <si>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</si>
  <si>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</si>
  <si>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</si>
  <si>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</si>
  <si>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</si>
  <si>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</si>
  <si>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</si>
  <si>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</si>
  <si>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</si>
  <si>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</si>
  <si>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</si>
  <si>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</si>
  <si>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</si>
  <si>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</si>
  <si>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</si>
  <si>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</si>
  <si>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</si>
  <si>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</si>
  <si>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</si>
  <si>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</si>
  <si>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</si>
  <si>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</si>
  <si>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</si>
  <si>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</si>
  <si>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</si>
  <si>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</si>
  <si>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</si>
  <si>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</si>
  <si>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</si>
  <si>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</si>
  <si>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</si>
  <si>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</si>
  <si>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</si>
  <si>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</si>
  <si>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</si>
  <si>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</si>
  <si>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</si>
  <si>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</si>
  <si>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</si>
  <si>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</si>
  <si>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</si>
  <si>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</si>
  <si>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</si>
  <si>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</si>
  <si>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</si>
  <si>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</si>
  <si>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</si>
  <si>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</si>
  <si>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</si>
  <si>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</si>
  <si>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</si>
  <si>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</si>
  <si>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</si>
  <si>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</si>
  <si>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</si>
  <si>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</si>
  <si>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</si>
  <si>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</si>
  <si>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</si>
  <si>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</si>
  <si>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</si>
  <si>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</si>
  <si>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</si>
  <si>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</si>
  <si>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</si>
  <si>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</si>
  <si>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</si>
  <si>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</si>
  <si>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</si>
  <si>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</si>
  <si>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</si>
  <si>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</si>
  <si>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</si>
  <si>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</si>
  <si>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</si>
  <si>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</si>
  <si>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</si>
  <si>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</si>
  <si>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</si>
  <si>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</si>
  <si>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</si>
  <si>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</si>
  <si>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</si>
  <si>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</si>
  <si>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</si>
  <si>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</si>
  <si>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</si>
  <si>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</si>
  <si>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</si>
  <si>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</si>
  <si>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</si>
  <si>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</si>
  <si>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</si>
  <si>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320.3.1</t>
  </si>
  <si>
    <t>320.3.2</t>
  </si>
  <si>
    <t>Phí đăng ký niêm yết trả HOSE
Listed register fee payable to HOSE</t>
  </si>
  <si>
    <t>320.3.3</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</si>
  <si>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</si>
  <si>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</si>
  <si>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</si>
  <si>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</si>
  <si>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</si>
  <si>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</si>
  <si>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</si>
  <si>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</si>
  <si>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</si>
  <si>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</si>
  <si>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</si>
  <si>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</si>
  <si>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</si>
  <si>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</si>
  <si>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</si>
  <si>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</si>
  <si>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</si>
  <si>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</si>
  <si>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</si>
  <si>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</si>
  <si>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</si>
  <si>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</si>
  <si>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</si>
  <si>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</si>
  <si>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</si>
  <si>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</si>
  <si>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</si>
  <si>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</si>
  <si>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</si>
  <si>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</si>
  <si>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</si>
  <si>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</si>
  <si>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</si>
  <si>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</si>
  <si>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</si>
  <si>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</si>
  <si>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</si>
  <si>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</si>
  <si>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</si>
  <si>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Tại ngày 31 tháng 10 năm 2020/ As at 31 Oct 2020</t>
  </si>
  <si>
    <t>Tháng 10 năm 2020/ Oct 2020</t>
  </si>
  <si>
    <t>Thông tin chung:</t>
  </si>
  <si>
    <t>Công ty Cổ phần Quản lý Quỹ Đầu tư Việt Nam</t>
  </si>
  <si>
    <t>Ngân hàng TMCP Ngoại thương Việt Nam - CN TP.HCM</t>
  </si>
  <si>
    <t xml:space="preserve">Supervising bank: </t>
  </si>
  <si>
    <t>Quỹ ETF VFMVN Diamond (FUEVFVND)</t>
  </si>
  <si>
    <t xml:space="preserve">Fund name: </t>
  </si>
  <si>
    <t>VFMVN Diamond ETF (FUEVFVND)</t>
  </si>
  <si>
    <t>Người ký báo cáo:</t>
  </si>
  <si>
    <t>Đại diện có thẩm quyền của Công ty quản lý Quỹ</t>
  </si>
  <si>
    <t>NGÔ THÙY DƯƠNG</t>
  </si>
  <si>
    <t>TRẦN THANH TÂN</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</si>
  <si>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</si>
  <si>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</si>
  <si>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</si>
  <si>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</si>
  <si>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</si>
  <si>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</si>
  <si>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</si>
  <si>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</si>
  <si>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</si>
  <si>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</si>
  <si>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</si>
  <si>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</si>
  <si>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</si>
  <si>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</si>
  <si>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</si>
  <si>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</si>
  <si>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</si>
  <si>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</si>
  <si>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</si>
  <si>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</si>
  <si>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</si>
  <si>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</si>
  <si>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B</t>
  </si>
  <si>
    <t xml:space="preserve">BÁO CÁO TÌNH HÌNH TỰ DOANH ĐẦU TƯ GIÁN TIẾP RA NƯỚC NGOÀI CỦA QUỸ </t>
  </si>
  <si>
    <t>Không có</t>
  </si>
  <si>
    <t>Phụ lục số 07. Mẫu báo cáo hoạt động đầu tư của quỹ ETF
Appendix 07. Report on Exchange traded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</si>
  <si>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</si>
  <si>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</si>
  <si>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</si>
  <si>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</si>
  <si>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</si>
  <si>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</si>
  <si>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</si>
  <si>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</si>
  <si>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</si>
  <si>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</si>
  <si>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</si>
  <si>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</si>
  <si>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</si>
  <si>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</si>
  <si>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</si>
  <si>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</si>
  <si>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</si>
  <si>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</si>
  <si>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</si>
  <si>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</si>
  <si>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</si>
  <si>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</si>
  <si>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</si>
  <si>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</si>
  <si>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</si>
  <si>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</si>
  <si>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</si>
  <si>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</si>
  <si>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</si>
  <si>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</si>
  <si>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</si>
  <si>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</si>
  <si>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</si>
  <si>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</si>
  <si>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</si>
  <si>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</si>
  <si>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</si>
  <si>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</si>
  <si>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</si>
  <si>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</si>
  <si>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Mã chứng khoán:</t>
  </si>
  <si>
    <t>FUEVFVND</t>
  </si>
  <si>
    <t>Code:</t>
  </si>
  <si>
    <t>01/11/2020</t>
  </si>
  <si>
    <t>01 Nov 2020</t>
  </si>
  <si>
    <t>Đơn vị tính/ Currency: VND</t>
  </si>
  <si>
    <t>STT
NO</t>
  </si>
  <si>
    <t>CHỈ TIÊU
CRITERIA</t>
  </si>
  <si>
    <t>MÃ SỐ
Item No</t>
  </si>
  <si>
    <t>KỲ BÁO CÁO
THIS PERIOD
31/10/2020</t>
  </si>
  <si>
    <t>KỲ TRƯỚC
LAST PERIOD
 30/09/2020</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</si>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</sst>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_);_(* \(#,##0.00\);_(* &quot;-&quot;??_);_(@_)"/>
    <numFmt numFmtId="164" formatCode="#,##0;\(#,##0\);"/>
    <numFmt numFmtId="165" formatCode="#,##0.00%"/>
    <numFmt numFmtId="166" formatCode="&quot;&quot;#,##0"/>
    <numFmt numFmtId="167" formatCode="[$-409]d\-mmm\-yyyy;@"/>
    <numFmt numFmtId="168" formatCode="dd/mmm/yyyy"/>
    <numFmt numFmtId="169" formatCode="_-* #,##0.00\ _₫_-;\-* #,##0.00\ _₫_-;_-* &quot;-&quot;??\ _₫_-;_-@_-"/>
    <numFmt numFmtId="170" formatCode="_(* #,##0_);_(* \(#,##0\);_(* &quot;-&quot;??_);_(@_)"/>
    <numFmt numFmtId="171" formatCode="[$-1010000]d/m/yyyy;@"/>
    <numFmt numFmtId="172" formatCode="#,##0;\(#,##0\);&quot; &quot;"/>
    <numFmt numFmtId="173" formatCode="#,##0.00;\(#,##0.00\);&quot; &quot;"/>
    <numFmt numFmtId="174" formatCode="#0.00%;\(#0.00\)%;&quot; &quot;"/>
  </numFmts>
  <fonts count="50"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ahoma"/>
      <family val="2"/>
    </font>
    <font>
      <i/>
      <sz val="8"/>
      <color indexed="8"/>
      <name val="Tahoma"/>
      <family val="2"/>
    </font>
    <font>
      <b/>
      <sz val="10"/>
      <color indexed="8"/>
      <name val="Tahoma"/>
      <family val="2"/>
    </font>
    <font>
      <sz val="8"/>
      <color indexed="8"/>
      <name val="Tahoma"/>
      <family val="2"/>
    </font>
    <font>
      <b/>
      <sz val="9.75"/>
      <color indexed="8"/>
      <name val="Times New Roman"/>
      <family val="2"/>
    </font>
    <font>
      <sz val="9.75"/>
      <color rgb="FF000000"/>
      <name val="Times New Roman"/>
      <family val="2"/>
    </font>
    <font>
      <b/>
      <sz val="8"/>
      <color rgb="FF000000"/>
      <name val="Tahoma"/>
      <family val="2"/>
    </font>
    <font>
      <i/>
      <sz val="8"/>
      <color rgb="FF000000"/>
      <name val="Tahoma"/>
      <family val="2"/>
    </font>
    <font>
      <b/>
      <sz val="10"/>
      <color rgb="FF000000"/>
      <name val="Tahoma"/>
      <family val="2"/>
    </font>
    <font>
      <sz val="8"/>
      <color rgb="FF000000"/>
      <name val="Tahoma"/>
      <family val="2"/>
    </font>
    <font>
      <b/>
      <sz val="9.75"/>
      <color rgb="FF000000"/>
      <name val="Times New Roman"/>
      <family val="2"/>
    </font>
    <font>
      <i/>
      <sz val="7"/>
      <color rgb="FF000000"/>
      <name val="Tahoma"/>
      <family val="2"/>
    </font>
    <font>
      <i/>
      <sz val="9.75"/>
      <color rgb="FF000000"/>
      <name val="Times New Roman"/>
      <family val="2"/>
    </font>
    <font>
      <i/>
      <sz val="7.5"/>
      <color rgb="FF000000"/>
      <name val="Tahoma"/>
      <family val="2"/>
    </font>
    <font>
      <sz val="8"/>
      <color rgb="FF000000"/>
      <name val="Times New Roman"/>
      <family val="2"/>
    </font>
    <font>
      <i/>
      <sz val="9.75"/>
      <color rgb="FF000000"/>
      <name val="Tahoma"/>
      <family val="2"/>
    </font>
    <font>
      <b/>
      <sz val="9"/>
      <color rgb="FF000000"/>
      <name val="Tahoma"/>
      <family val="2"/>
    </font>
    <font>
      <sz val="7.9"/>
      <color rgb="FF000000"/>
      <name val="Tahoma"/>
      <family val="2"/>
    </font>
    <font>
      <sz val="8"/>
      <color theme="1"/>
      <name val="Tahoma"/>
      <family val="2"/>
    </font>
    <font>
      <sz val="9.75"/>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b/>
      <i/>
      <sz val="8"/>
      <color indexed="8"/>
      <name val="Tahoma"/>
      <family val="2"/>
    </font>
    <font>
      <i/>
      <sz val="7"/>
      <color indexed="8"/>
      <name val="Tahoma"/>
      <family val="2"/>
    </font>
    <font>
      <b/>
      <sz val="8"/>
      <color theme="1"/>
      <name val="Tahoma"/>
      <family val="2"/>
    </font>
    <font>
      <sz val="8"/>
      <name val="Tahoma"/>
      <family val="2"/>
    </font>
    <font>
      <b/>
      <sz val="8"/>
      <name val="Tahoma"/>
      <family val="2"/>
    </font>
    <font>
      <b/>
      <sz val="9"/>
      <color indexed="8"/>
      <name val="Tahoma"/>
      <family val="2"/>
    </font>
    <font>
      <i/>
      <sz val="6.5"/>
      <color indexed="8"/>
      <name val="Times New Roman"/>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s>
  <borders count="44">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style="thin">
        <color theme="0" tint="-0.499984740745262"/>
      </right>
      <top style="thin">
        <color rgb="FF000000"/>
      </top>
      <bottom style="thin">
        <color theme="0" tint="-0.499984740745262"/>
      </bottom>
      <diagonal/>
    </border>
    <border>
      <left style="thin">
        <color theme="0" tint="-0.499984740745262"/>
      </left>
      <right style="thin">
        <color theme="0" tint="-0.499984740745262"/>
      </right>
      <top style="thin">
        <color rgb="FF000000"/>
      </top>
      <bottom style="thin">
        <color theme="0" tint="-0.499984740745262"/>
      </bottom>
      <diagonal/>
    </border>
    <border>
      <left style="thin">
        <color theme="0" tint="-0.499984740745262"/>
      </left>
      <right style="thin">
        <color auto="1"/>
      </right>
      <top style="thin">
        <color rgb="FF000000"/>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auto="1"/>
      </right>
      <top style="thin">
        <color theme="0" tint="-0.499984740745262"/>
      </top>
      <bottom style="thin">
        <color indexed="64"/>
      </bottom>
      <diagonal/>
    </border>
  </borders>
  <cellStyleXfs count="19">
    <xf numFmtId="0" fontId="0" fillId="0" borderId="0"/>
    <xf numFmtId="0" fontId="1" fillId="0" borderId="0"/>
    <xf numFmtId="0" fontId="3" fillId="0" borderId="0">
      <alignment vertical="center"/>
    </xf>
    <xf numFmtId="0" fontId="29" fillId="0" borderId="0">
      <alignment vertical="center"/>
    </xf>
    <xf numFmtId="0" fontId="33" fillId="0" borderId="0"/>
    <xf numFmtId="0" fontId="37" fillId="0" borderId="0" applyNumberFormat="0" applyFill="0" applyBorder="0" applyAlignment="0" applyProtection="0"/>
    <xf numFmtId="169" fontId="40" fillId="0" borderId="0" quotePrefix="1" applyFont="0" applyFill="0" applyBorder="0" applyAlignment="0">
      <protection locked="0"/>
    </xf>
    <xf numFmtId="169" fontId="40" fillId="0" borderId="0" applyFont="0" applyFill="0" applyBorder="0" applyAlignment="0" applyProtection="0"/>
    <xf numFmtId="169" fontId="41" fillId="0" borderId="0" applyFont="0" applyFill="0" applyBorder="0" applyAlignment="0" applyProtection="0"/>
    <xf numFmtId="0" fontId="40" fillId="0" borderId="0"/>
    <xf numFmtId="0" fontId="40" fillId="0" borderId="0"/>
    <xf numFmtId="0" fontId="42" fillId="0" borderId="0"/>
    <xf numFmtId="0" fontId="42" fillId="0" borderId="0"/>
    <xf numFmtId="0" fontId="2" fillId="0" borderId="0"/>
    <xf numFmtId="0" fontId="2" fillId="0" borderId="0"/>
    <xf numFmtId="0" fontId="1" fillId="0" borderId="0"/>
    <xf numFmtId="4" fontId="2" fillId="0" borderId="0" applyFont="0" applyFill="0" applyBorder="0" applyAlignment="0" applyProtection="0"/>
    <xf numFmtId="0" fontId="33" fillId="0" borderId="0"/>
    <xf numFmtId="43" fontId="2" fillId="0" borderId="0" applyFont="0" applyFill="0" applyBorder="0" applyAlignment="0" applyProtection="0"/>
  </cellStyleXfs>
  <cellXfs count="418">
    <xf numFmtId="0" fontId="0" fillId="0" borderId="0" xfId="0"/>
    <xf numFmtId="0" fontId="3" fillId="0" borderId="0" xfId="2" applyFont="1">
      <alignment vertical="center"/>
    </xf>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left" vertical="top"/>
    </xf>
    <xf numFmtId="0" fontId="8" fillId="2" borderId="0"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left" vertical="top"/>
    </xf>
    <xf numFmtId="0" fontId="5" fillId="3" borderId="2"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center" vertical="top"/>
    </xf>
    <xf numFmtId="0" fontId="5" fillId="2" borderId="6" xfId="2" applyNumberFormat="1" applyFont="1" applyFill="1" applyBorder="1" applyAlignment="1" applyProtection="1">
      <alignment horizontal="left" vertical="top" wrapText="1"/>
    </xf>
    <xf numFmtId="0" fontId="5" fillId="2" borderId="6" xfId="2" applyNumberFormat="1" applyFont="1" applyFill="1" applyBorder="1" applyAlignment="1" applyProtection="1">
      <alignment horizontal="center" vertical="top"/>
    </xf>
    <xf numFmtId="4" fontId="5" fillId="2" borderId="6" xfId="2" applyNumberFormat="1" applyFont="1" applyFill="1" applyBorder="1" applyAlignment="1" applyProtection="1">
      <alignment horizontal="right" vertical="top"/>
    </xf>
    <xf numFmtId="164" fontId="5" fillId="2" borderId="6" xfId="2" applyNumberFormat="1" applyFont="1" applyFill="1" applyBorder="1" applyAlignment="1" applyProtection="1">
      <alignment horizontal="right" vertical="top"/>
    </xf>
    <xf numFmtId="165" fontId="5" fillId="2" borderId="7" xfId="2" applyNumberFormat="1" applyFont="1" applyFill="1" applyBorder="1" applyAlignment="1" applyProtection="1">
      <alignment horizontal="right" vertical="top"/>
    </xf>
    <xf numFmtId="0" fontId="8" fillId="2" borderId="5" xfId="2" applyNumberFormat="1" applyFont="1" applyFill="1" applyBorder="1" applyAlignment="1" applyProtection="1">
      <alignment horizontal="center" vertical="top"/>
    </xf>
    <xf numFmtId="0" fontId="8" fillId="2" borderId="6" xfId="2" applyNumberFormat="1" applyFont="1" applyFill="1" applyBorder="1" applyAlignment="1" applyProtection="1">
      <alignment horizontal="left" vertical="top" wrapText="1"/>
    </xf>
    <xf numFmtId="0" fontId="8" fillId="2" borderId="6" xfId="2" applyNumberFormat="1" applyFont="1" applyFill="1" applyBorder="1" applyAlignment="1" applyProtection="1">
      <alignment horizontal="center" vertical="top"/>
    </xf>
    <xf numFmtId="4" fontId="8" fillId="2" borderId="6" xfId="2" applyNumberFormat="1" applyFont="1" applyFill="1" applyBorder="1" applyAlignment="1" applyProtection="1">
      <alignment horizontal="right" vertical="top"/>
    </xf>
    <xf numFmtId="164" fontId="8" fillId="2" borderId="6" xfId="2" applyNumberFormat="1" applyFont="1" applyFill="1" applyBorder="1" applyAlignment="1" applyProtection="1">
      <alignment horizontal="right" vertical="top"/>
    </xf>
    <xf numFmtId="165" fontId="8" fillId="2" borderId="7" xfId="2" applyNumberFormat="1" applyFont="1" applyFill="1" applyBorder="1" applyAlignment="1" applyProtection="1">
      <alignment horizontal="right" vertical="top"/>
    </xf>
    <xf numFmtId="0" fontId="5" fillId="2" borderId="8" xfId="2" applyNumberFormat="1" applyFont="1" applyFill="1" applyBorder="1" applyAlignment="1" applyProtection="1">
      <alignment horizontal="center" vertical="top"/>
    </xf>
    <xf numFmtId="0" fontId="5" fillId="2" borderId="9" xfId="2" applyNumberFormat="1" applyFont="1" applyFill="1" applyBorder="1" applyAlignment="1" applyProtection="1">
      <alignment horizontal="left" vertical="top" wrapText="1"/>
    </xf>
    <xf numFmtId="0" fontId="5" fillId="2" borderId="9" xfId="2" applyNumberFormat="1" applyFont="1" applyFill="1" applyBorder="1" applyAlignment="1" applyProtection="1">
      <alignment horizontal="center" vertical="top"/>
    </xf>
    <xf numFmtId="4" fontId="5" fillId="2" borderId="9" xfId="2" applyNumberFormat="1" applyFont="1" applyFill="1" applyBorder="1" applyAlignment="1" applyProtection="1">
      <alignment horizontal="right" vertical="top"/>
    </xf>
    <xf numFmtId="164" fontId="5" fillId="2" borderId="9" xfId="2" applyNumberFormat="1" applyFont="1" applyFill="1" applyBorder="1" applyAlignment="1" applyProtection="1">
      <alignment horizontal="right" vertical="top"/>
    </xf>
    <xf numFmtId="165" fontId="5" fillId="2" borderId="10" xfId="2" applyNumberFormat="1" applyFont="1" applyFill="1" applyBorder="1" applyAlignment="1" applyProtection="1">
      <alignment horizontal="right" vertical="top"/>
    </xf>
    <xf numFmtId="0" fontId="6" fillId="2" borderId="0" xfId="2" applyNumberFormat="1" applyFont="1" applyFill="1" applyBorder="1" applyAlignment="1" applyProtection="1">
      <alignment horizontal="left" vertical="top"/>
    </xf>
    <xf numFmtId="0" fontId="6" fillId="2" borderId="0" xfId="2" applyNumberFormat="1" applyFont="1" applyFill="1" applyBorder="1" applyAlignment="1" applyProtection="1">
      <alignment horizontal="left" vertical="top" wrapText="1"/>
    </xf>
    <xf numFmtId="0" fontId="5" fillId="3" borderId="11" xfId="2" applyNumberFormat="1" applyFont="1" applyFill="1" applyBorder="1" applyAlignment="1" applyProtection="1">
      <alignment horizontal="center" vertical="center" wrapText="1"/>
    </xf>
    <xf numFmtId="0" fontId="5" fillId="3" borderId="12" xfId="2" applyNumberFormat="1" applyFont="1" applyFill="1" applyBorder="1" applyAlignment="1" applyProtection="1">
      <alignment horizontal="center" vertical="center" wrapText="1"/>
    </xf>
    <xf numFmtId="0" fontId="5" fillId="3" borderId="13" xfId="2"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center" vertical="center" wrapText="1"/>
    </xf>
    <xf numFmtId="0" fontId="9" fillId="2" borderId="0" xfId="2" applyNumberFormat="1" applyFont="1" applyFill="1" applyBorder="1" applyAlignment="1" applyProtection="1">
      <alignment horizontal="center" vertical="top"/>
    </xf>
    <xf numFmtId="0" fontId="0" fillId="0" borderId="0" xfId="0" applyFont="1"/>
    <xf numFmtId="0" fontId="10" fillId="4" borderId="0" xfId="0" applyNumberFormat="1" applyFont="1" applyFill="1" applyBorder="1" applyAlignment="1" applyProtection="1">
      <alignment horizontal="left" vertical="top"/>
    </xf>
    <xf numFmtId="0" fontId="11" fillId="4" borderId="0" xfId="0" applyNumberFormat="1" applyFont="1" applyFill="1" applyBorder="1" applyAlignment="1" applyProtection="1">
      <alignment horizontal="left" vertical="top"/>
    </xf>
    <xf numFmtId="0" fontId="14" fillId="4" borderId="0" xfId="0" applyNumberFormat="1" applyFont="1" applyFill="1" applyBorder="1" applyAlignment="1" applyProtection="1">
      <alignment horizontal="left" vertical="top"/>
    </xf>
    <xf numFmtId="0" fontId="11" fillId="4" borderId="18" xfId="0" applyNumberFormat="1" applyFont="1" applyFill="1" applyBorder="1" applyAlignment="1" applyProtection="1">
      <alignment horizontal="center" vertical="top"/>
    </xf>
    <xf numFmtId="0" fontId="11" fillId="4" borderId="6" xfId="0" applyNumberFormat="1" applyFont="1" applyFill="1" applyBorder="1" applyAlignment="1" applyProtection="1">
      <alignment horizontal="left" vertical="top" wrapText="1"/>
    </xf>
    <xf numFmtId="0" fontId="11" fillId="4" borderId="6" xfId="0" applyNumberFormat="1" applyFont="1" applyFill="1" applyBorder="1" applyAlignment="1" applyProtection="1">
      <alignment horizontal="center" vertical="top"/>
    </xf>
    <xf numFmtId="4" fontId="11" fillId="4" borderId="6" xfId="0" applyNumberFormat="1" applyFont="1" applyFill="1" applyBorder="1" applyAlignment="1" applyProtection="1">
      <alignment horizontal="right" vertical="top"/>
    </xf>
    <xf numFmtId="164" fontId="11" fillId="4" borderId="6" xfId="0" applyNumberFormat="1" applyFont="1" applyFill="1" applyBorder="1" applyAlignment="1" applyProtection="1">
      <alignment horizontal="right" vertical="top"/>
    </xf>
    <xf numFmtId="165" fontId="11" fillId="4" borderId="19" xfId="0" applyNumberFormat="1" applyFont="1" applyFill="1" applyBorder="1" applyAlignment="1" applyProtection="1">
      <alignment horizontal="right" vertical="top"/>
    </xf>
    <xf numFmtId="0" fontId="14" fillId="4" borderId="18" xfId="0" applyNumberFormat="1" applyFont="1" applyFill="1" applyBorder="1" applyAlignment="1" applyProtection="1">
      <alignment horizontal="center" vertical="top"/>
    </xf>
    <xf numFmtId="0" fontId="14" fillId="4" borderId="6" xfId="0" applyNumberFormat="1" applyFont="1" applyFill="1" applyBorder="1" applyAlignment="1" applyProtection="1">
      <alignment horizontal="left" vertical="top" wrapText="1"/>
    </xf>
    <xf numFmtId="0" fontId="14" fillId="4" borderId="6" xfId="0" applyNumberFormat="1" applyFont="1" applyFill="1" applyBorder="1" applyAlignment="1" applyProtection="1">
      <alignment horizontal="center" vertical="top"/>
    </xf>
    <xf numFmtId="164" fontId="14" fillId="4" borderId="6" xfId="0" applyNumberFormat="1" applyFont="1" applyFill="1" applyBorder="1" applyAlignment="1" applyProtection="1">
      <alignment horizontal="right" vertical="top"/>
    </xf>
    <xf numFmtId="165" fontId="14" fillId="4" borderId="19" xfId="0" applyNumberFormat="1" applyFont="1" applyFill="1" applyBorder="1" applyAlignment="1" applyProtection="1">
      <alignment horizontal="right" vertical="top"/>
    </xf>
    <xf numFmtId="0" fontId="11" fillId="4" borderId="20" xfId="0" applyNumberFormat="1" applyFont="1" applyFill="1" applyBorder="1" applyAlignment="1" applyProtection="1">
      <alignment horizontal="center" vertical="top"/>
    </xf>
    <xf numFmtId="0" fontId="11" fillId="4" borderId="21" xfId="0" applyNumberFormat="1" applyFont="1" applyFill="1" applyBorder="1" applyAlignment="1" applyProtection="1">
      <alignment horizontal="left" vertical="top" wrapText="1"/>
    </xf>
    <xf numFmtId="0" fontId="11" fillId="4" borderId="21" xfId="0" applyNumberFormat="1" applyFont="1" applyFill="1" applyBorder="1" applyAlignment="1" applyProtection="1">
      <alignment horizontal="center" vertical="top"/>
    </xf>
    <xf numFmtId="4" fontId="11" fillId="4" borderId="21" xfId="0" applyNumberFormat="1" applyFont="1" applyFill="1" applyBorder="1" applyAlignment="1" applyProtection="1">
      <alignment horizontal="right" vertical="top"/>
    </xf>
    <xf numFmtId="165" fontId="11" fillId="4" borderId="22" xfId="0" applyNumberFormat="1" applyFont="1" applyFill="1" applyBorder="1" applyAlignment="1" applyProtection="1">
      <alignment horizontal="right" vertical="top"/>
    </xf>
    <xf numFmtId="0" fontId="14" fillId="4" borderId="0" xfId="0" applyNumberFormat="1" applyFont="1" applyFill="1" applyBorder="1" applyAlignment="1" applyProtection="1">
      <alignment horizontal="center" vertical="top"/>
    </xf>
    <xf numFmtId="0" fontId="11" fillId="4" borderId="0" xfId="0" applyNumberFormat="1" applyFont="1" applyFill="1" applyBorder="1" applyAlignment="1" applyProtection="1">
      <alignment horizontal="center" vertical="center" wrapText="1"/>
    </xf>
    <xf numFmtId="164" fontId="11" fillId="4" borderId="18" xfId="0" applyNumberFormat="1" applyFont="1" applyFill="1" applyBorder="1" applyAlignment="1" applyProtection="1">
      <alignment horizontal="center" vertical="top"/>
    </xf>
    <xf numFmtId="164" fontId="11" fillId="4" borderId="6" xfId="0" applyNumberFormat="1" applyFont="1" applyFill="1" applyBorder="1" applyAlignment="1" applyProtection="1">
      <alignment horizontal="left" vertical="top" wrapText="1"/>
    </xf>
    <xf numFmtId="164" fontId="11" fillId="4" borderId="6" xfId="0" applyNumberFormat="1" applyFont="1" applyFill="1" applyBorder="1" applyAlignment="1" applyProtection="1">
      <alignment horizontal="center" vertical="top"/>
    </xf>
    <xf numFmtId="164" fontId="11" fillId="4" borderId="19" xfId="0" applyNumberFormat="1" applyFont="1" applyFill="1" applyBorder="1" applyAlignment="1" applyProtection="1">
      <alignment horizontal="right" vertical="top"/>
    </xf>
    <xf numFmtId="164" fontId="14" fillId="4" borderId="18" xfId="0" applyNumberFormat="1" applyFont="1" applyFill="1" applyBorder="1" applyAlignment="1" applyProtection="1">
      <alignment horizontal="center" vertical="top"/>
    </xf>
    <xf numFmtId="164" fontId="14" fillId="4" borderId="6" xfId="0" applyNumberFormat="1" applyFont="1" applyFill="1" applyBorder="1" applyAlignment="1" applyProtection="1">
      <alignment horizontal="left" vertical="top" wrapText="1"/>
    </xf>
    <xf numFmtId="164" fontId="14" fillId="4" borderId="6" xfId="0" applyNumberFormat="1" applyFont="1" applyFill="1" applyBorder="1" applyAlignment="1" applyProtection="1">
      <alignment horizontal="center" vertical="top"/>
    </xf>
    <xf numFmtId="164" fontId="14" fillId="4" borderId="19" xfId="0" applyNumberFormat="1" applyFont="1" applyFill="1" applyBorder="1" applyAlignment="1" applyProtection="1">
      <alignment horizontal="right" vertical="top"/>
    </xf>
    <xf numFmtId="164" fontId="12" fillId="4" borderId="18" xfId="0" applyNumberFormat="1" applyFont="1" applyFill="1" applyBorder="1" applyAlignment="1" applyProtection="1">
      <alignment horizontal="center" vertical="top"/>
    </xf>
    <xf numFmtId="164" fontId="12" fillId="4" borderId="6" xfId="0" applyNumberFormat="1" applyFont="1" applyFill="1" applyBorder="1" applyAlignment="1" applyProtection="1">
      <alignment horizontal="left" vertical="top" wrapText="1"/>
    </xf>
    <xf numFmtId="164" fontId="12" fillId="4" borderId="6" xfId="0" applyNumberFormat="1" applyFont="1" applyFill="1" applyBorder="1" applyAlignment="1" applyProtection="1">
      <alignment horizontal="center" vertical="top"/>
    </xf>
    <xf numFmtId="164" fontId="12" fillId="4" borderId="6" xfId="0" applyNumberFormat="1" applyFont="1" applyFill="1" applyBorder="1" applyAlignment="1" applyProtection="1">
      <alignment horizontal="right" vertical="top"/>
    </xf>
    <xf numFmtId="164" fontId="12" fillId="4" borderId="19" xfId="0" applyNumberFormat="1" applyFont="1" applyFill="1" applyBorder="1" applyAlignment="1" applyProtection="1">
      <alignment horizontal="right" vertical="top"/>
    </xf>
    <xf numFmtId="164" fontId="14" fillId="4" borderId="20" xfId="0" applyNumberFormat="1" applyFont="1" applyFill="1" applyBorder="1" applyAlignment="1" applyProtection="1">
      <alignment horizontal="center" vertical="top"/>
    </xf>
    <xf numFmtId="164" fontId="14" fillId="4" borderId="21" xfId="0" applyNumberFormat="1" applyFont="1" applyFill="1" applyBorder="1" applyAlignment="1" applyProtection="1">
      <alignment horizontal="left" vertical="top" wrapText="1"/>
    </xf>
    <xf numFmtId="164" fontId="14" fillId="4" borderId="21" xfId="0" applyNumberFormat="1" applyFont="1" applyFill="1" applyBorder="1" applyAlignment="1" applyProtection="1">
      <alignment horizontal="center" vertical="top"/>
    </xf>
    <xf numFmtId="164" fontId="14" fillId="4" borderId="21" xfId="0" applyNumberFormat="1" applyFont="1" applyFill="1" applyBorder="1" applyAlignment="1" applyProtection="1">
      <alignment horizontal="right" vertical="top"/>
    </xf>
    <xf numFmtId="164" fontId="14" fillId="4" borderId="22" xfId="0" applyNumberFormat="1" applyFont="1" applyFill="1" applyBorder="1" applyAlignment="1" applyProtection="1">
      <alignment horizontal="right" vertical="top"/>
    </xf>
    <xf numFmtId="0" fontId="11" fillId="4" borderId="0" xfId="0" applyNumberFormat="1" applyFont="1" applyFill="1" applyBorder="1" applyAlignment="1" applyProtection="1">
      <alignment horizontal="center" vertical="top"/>
    </xf>
    <xf numFmtId="3" fontId="11" fillId="4" borderId="6" xfId="0" applyNumberFormat="1" applyFont="1" applyFill="1" applyBorder="1" applyAlignment="1" applyProtection="1">
      <alignment horizontal="right" vertical="top"/>
    </xf>
    <xf numFmtId="3" fontId="11" fillId="4" borderId="19" xfId="0" applyNumberFormat="1" applyFont="1" applyFill="1" applyBorder="1" applyAlignment="1" applyProtection="1">
      <alignment horizontal="right" vertical="top"/>
    </xf>
    <xf numFmtId="3" fontId="14" fillId="4" borderId="6" xfId="0" applyNumberFormat="1" applyFont="1" applyFill="1" applyBorder="1" applyAlignment="1" applyProtection="1">
      <alignment horizontal="right" vertical="top"/>
    </xf>
    <xf numFmtId="3" fontId="14" fillId="4" borderId="19" xfId="0" applyNumberFormat="1" applyFont="1" applyFill="1" applyBorder="1" applyAlignment="1" applyProtection="1">
      <alignment horizontal="right" vertical="top"/>
    </xf>
    <xf numFmtId="165" fontId="14" fillId="4" borderId="6" xfId="0" applyNumberFormat="1" applyFont="1" applyFill="1" applyBorder="1" applyAlignment="1" applyProtection="1">
      <alignment horizontal="right" vertical="top"/>
    </xf>
    <xf numFmtId="0" fontId="14" fillId="4" borderId="20" xfId="0" applyNumberFormat="1" applyFont="1" applyFill="1" applyBorder="1" applyAlignment="1" applyProtection="1">
      <alignment horizontal="center" vertical="top"/>
    </xf>
    <xf numFmtId="0" fontId="14" fillId="4" borderId="21" xfId="0" applyNumberFormat="1" applyFont="1" applyFill="1" applyBorder="1" applyAlignment="1" applyProtection="1">
      <alignment horizontal="left" vertical="top" wrapText="1"/>
    </xf>
    <xf numFmtId="0" fontId="14" fillId="4" borderId="21" xfId="0" applyNumberFormat="1" applyFont="1" applyFill="1" applyBorder="1" applyAlignment="1" applyProtection="1">
      <alignment horizontal="center" vertical="top"/>
    </xf>
    <xf numFmtId="0" fontId="11" fillId="4" borderId="0" xfId="0" applyNumberFormat="1" applyFont="1" applyFill="1" applyBorder="1" applyAlignment="1" applyProtection="1">
      <alignment horizontal="left" vertical="center"/>
    </xf>
    <xf numFmtId="0" fontId="14" fillId="4" borderId="0" xfId="0" applyNumberFormat="1" applyFont="1" applyFill="1" applyBorder="1" applyAlignment="1" applyProtection="1">
      <alignment horizontal="left" vertical="center"/>
    </xf>
    <xf numFmtId="0" fontId="19" fillId="4" borderId="0" xfId="0" applyNumberFormat="1" applyFont="1" applyFill="1" applyBorder="1" applyAlignment="1" applyProtection="1">
      <alignment horizontal="left" vertical="top"/>
    </xf>
    <xf numFmtId="0" fontId="14" fillId="4" borderId="14" xfId="0" applyNumberFormat="1" applyFont="1" applyFill="1" applyBorder="1" applyAlignment="1" applyProtection="1">
      <alignment horizontal="right" vertical="top"/>
    </xf>
    <xf numFmtId="0" fontId="10" fillId="4" borderId="14" xfId="0" applyNumberFormat="1" applyFont="1" applyFill="1" applyBorder="1" applyAlignment="1" applyProtection="1">
      <alignment horizontal="left" vertical="top"/>
    </xf>
    <xf numFmtId="0" fontId="12" fillId="4" borderId="18" xfId="0" applyNumberFormat="1" applyFont="1" applyFill="1" applyBorder="1" applyAlignment="1" applyProtection="1">
      <alignment horizontal="center" vertical="top"/>
    </xf>
    <xf numFmtId="0" fontId="12" fillId="4" borderId="6" xfId="0" applyNumberFormat="1" applyFont="1" applyFill="1" applyBorder="1" applyAlignment="1" applyProtection="1">
      <alignment horizontal="left" vertical="top" wrapText="1"/>
    </xf>
    <xf numFmtId="0" fontId="12" fillId="4" borderId="6" xfId="0" applyNumberFormat="1" applyFont="1" applyFill="1" applyBorder="1" applyAlignment="1" applyProtection="1">
      <alignment horizontal="center" vertical="top"/>
    </xf>
    <xf numFmtId="3" fontId="12" fillId="4" borderId="6" xfId="0" applyNumberFormat="1" applyFont="1" applyFill="1" applyBorder="1" applyAlignment="1" applyProtection="1">
      <alignment horizontal="right" vertical="top"/>
    </xf>
    <xf numFmtId="165" fontId="12" fillId="4" borderId="19" xfId="0" applyNumberFormat="1" applyFont="1" applyFill="1" applyBorder="1" applyAlignment="1" applyProtection="1">
      <alignment horizontal="right" vertical="top"/>
    </xf>
    <xf numFmtId="4" fontId="11" fillId="4" borderId="20" xfId="0" applyNumberFormat="1" applyFont="1" applyFill="1" applyBorder="1" applyAlignment="1" applyProtection="1">
      <alignment horizontal="center" vertical="top"/>
    </xf>
    <xf numFmtId="4" fontId="11" fillId="4" borderId="21" xfId="0" applyNumberFormat="1" applyFont="1" applyFill="1" applyBorder="1" applyAlignment="1" applyProtection="1">
      <alignment horizontal="left" vertical="top" wrapText="1"/>
    </xf>
    <xf numFmtId="4" fontId="11" fillId="4" borderId="21" xfId="0" applyNumberFormat="1" applyFont="1" applyFill="1" applyBorder="1" applyAlignment="1" applyProtection="1">
      <alignment horizontal="center" vertical="top"/>
    </xf>
    <xf numFmtId="4" fontId="11" fillId="4" borderId="22" xfId="0" applyNumberFormat="1" applyFont="1" applyFill="1" applyBorder="1" applyAlignment="1" applyProtection="1">
      <alignment horizontal="right" vertical="top"/>
    </xf>
    <xf numFmtId="0" fontId="11" fillId="4" borderId="0" xfId="0" applyNumberFormat="1" applyFont="1" applyFill="1" applyBorder="1" applyAlignment="1" applyProtection="1">
      <alignment horizontal="center" vertical="center"/>
    </xf>
    <xf numFmtId="0" fontId="12" fillId="4" borderId="0" xfId="0" applyNumberFormat="1" applyFont="1" applyFill="1" applyBorder="1" applyAlignment="1" applyProtection="1">
      <alignment horizontal="center" vertical="center"/>
    </xf>
    <xf numFmtId="0" fontId="14" fillId="4" borderId="0" xfId="0" applyNumberFormat="1" applyFont="1" applyFill="1" applyBorder="1" applyAlignment="1" applyProtection="1">
      <alignment horizontal="left" vertical="top" wrapText="1"/>
    </xf>
    <xf numFmtId="0" fontId="23" fillId="0" borderId="0" xfId="0" applyFont="1" applyAlignment="1">
      <alignment wrapText="1"/>
    </xf>
    <xf numFmtId="0" fontId="11" fillId="4" borderId="0"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horizontal="left" vertical="center" wrapText="1"/>
    </xf>
    <xf numFmtId="0" fontId="14" fillId="4" borderId="14" xfId="0" applyNumberFormat="1" applyFont="1" applyFill="1" applyBorder="1" applyAlignment="1" applyProtection="1">
      <alignment horizontal="left" vertical="top" wrapText="1"/>
    </xf>
    <xf numFmtId="0" fontId="11" fillId="3" borderId="15" xfId="0" applyNumberFormat="1" applyFont="1" applyFill="1" applyBorder="1" applyAlignment="1" applyProtection="1">
      <alignment horizontal="center" vertical="center" wrapText="1"/>
    </xf>
    <xf numFmtId="0" fontId="11" fillId="3" borderId="16" xfId="0" applyNumberFormat="1" applyFont="1" applyFill="1" applyBorder="1" applyAlignment="1" applyProtection="1">
      <alignment horizontal="center" vertical="center" wrapText="1"/>
    </xf>
    <xf numFmtId="0" fontId="11" fillId="3" borderId="17" xfId="0" applyNumberFormat="1" applyFont="1" applyFill="1" applyBorder="1" applyAlignment="1" applyProtection="1">
      <alignment horizontal="center" vertical="center" wrapText="1"/>
    </xf>
    <xf numFmtId="0" fontId="11" fillId="3" borderId="24" xfId="0" applyNumberFormat="1" applyFont="1" applyFill="1" applyBorder="1" applyAlignment="1" applyProtection="1">
      <alignment horizontal="center" vertical="center" wrapText="1"/>
    </xf>
    <xf numFmtId="0" fontId="11" fillId="3" borderId="25" xfId="0" applyNumberFormat="1" applyFont="1" applyFill="1" applyBorder="1" applyAlignment="1" applyProtection="1">
      <alignment horizontal="center" vertical="center" wrapText="1"/>
    </xf>
    <xf numFmtId="0" fontId="11" fillId="4" borderId="18" xfId="0" applyNumberFormat="1" applyFont="1" applyFill="1" applyBorder="1" applyAlignment="1" applyProtection="1">
      <alignment horizontal="left" vertical="top" wrapText="1"/>
    </xf>
    <xf numFmtId="0" fontId="11" fillId="4" borderId="6" xfId="0" applyNumberFormat="1" applyFont="1" applyFill="1" applyBorder="1" applyAlignment="1" applyProtection="1">
      <alignment horizontal="center" vertical="top" wrapText="1"/>
    </xf>
    <xf numFmtId="0" fontId="11" fillId="4" borderId="6" xfId="0" applyNumberFormat="1" applyFont="1" applyFill="1" applyBorder="1" applyAlignment="1" applyProtection="1">
      <alignment horizontal="center" vertical="center" wrapText="1"/>
    </xf>
    <xf numFmtId="164" fontId="11" fillId="4" borderId="6" xfId="0" applyNumberFormat="1" applyFont="1" applyFill="1" applyBorder="1" applyAlignment="1" applyProtection="1">
      <alignment horizontal="right" vertical="top" wrapText="1"/>
    </xf>
    <xf numFmtId="164" fontId="11" fillId="4" borderId="19" xfId="0" applyNumberFormat="1" applyFont="1" applyFill="1" applyBorder="1" applyAlignment="1" applyProtection="1">
      <alignment horizontal="right" vertical="top" wrapText="1"/>
    </xf>
    <xf numFmtId="0" fontId="14" fillId="4" borderId="18" xfId="0" applyNumberFormat="1" applyFont="1" applyFill="1" applyBorder="1" applyAlignment="1" applyProtection="1">
      <alignment horizontal="left" vertical="top" wrapText="1"/>
    </xf>
    <xf numFmtId="0" fontId="14" fillId="4" borderId="6" xfId="0" applyNumberFormat="1" applyFont="1" applyFill="1" applyBorder="1" applyAlignment="1" applyProtection="1">
      <alignment horizontal="center" vertical="top" wrapText="1"/>
    </xf>
    <xf numFmtId="0" fontId="14" fillId="4" borderId="6" xfId="0" applyNumberFormat="1" applyFont="1" applyFill="1" applyBorder="1" applyAlignment="1" applyProtection="1">
      <alignment horizontal="center" vertical="center" wrapText="1"/>
    </xf>
    <xf numFmtId="164" fontId="14" fillId="4" borderId="6" xfId="0" applyNumberFormat="1" applyFont="1" applyFill="1" applyBorder="1" applyAlignment="1" applyProtection="1">
      <alignment horizontal="right" vertical="top" wrapText="1"/>
    </xf>
    <xf numFmtId="164" fontId="14" fillId="4" borderId="19" xfId="0" applyNumberFormat="1" applyFont="1" applyFill="1" applyBorder="1" applyAlignment="1" applyProtection="1">
      <alignment horizontal="right" vertical="top" wrapText="1"/>
    </xf>
    <xf numFmtId="0" fontId="12" fillId="4" borderId="18" xfId="0" applyNumberFormat="1" applyFont="1" applyFill="1" applyBorder="1" applyAlignment="1" applyProtection="1">
      <alignment horizontal="left" vertical="top" wrapText="1"/>
    </xf>
    <xf numFmtId="0" fontId="12" fillId="4" borderId="6" xfId="0" applyNumberFormat="1" applyFont="1" applyFill="1" applyBorder="1" applyAlignment="1" applyProtection="1">
      <alignment horizontal="center" vertical="top" wrapText="1"/>
    </xf>
    <xf numFmtId="0" fontId="12" fillId="4" borderId="6" xfId="0" applyNumberFormat="1" applyFont="1" applyFill="1" applyBorder="1" applyAlignment="1" applyProtection="1">
      <alignment horizontal="center" vertical="center" wrapText="1"/>
    </xf>
    <xf numFmtId="164" fontId="12" fillId="4" borderId="6" xfId="0" applyNumberFormat="1" applyFont="1" applyFill="1" applyBorder="1" applyAlignment="1" applyProtection="1">
      <alignment horizontal="right" vertical="top" wrapText="1"/>
    </xf>
    <xf numFmtId="164" fontId="12" fillId="4" borderId="19" xfId="0" applyNumberFormat="1" applyFont="1" applyFill="1" applyBorder="1" applyAlignment="1" applyProtection="1">
      <alignment horizontal="right" vertical="top" wrapText="1"/>
    </xf>
    <xf numFmtId="0" fontId="11" fillId="4" borderId="20" xfId="0" applyNumberFormat="1" applyFont="1" applyFill="1" applyBorder="1" applyAlignment="1" applyProtection="1">
      <alignment horizontal="left" vertical="top" wrapText="1"/>
    </xf>
    <xf numFmtId="0" fontId="11" fillId="4" borderId="21" xfId="0" applyNumberFormat="1" applyFont="1" applyFill="1" applyBorder="1" applyAlignment="1" applyProtection="1">
      <alignment horizontal="center" vertical="top" wrapText="1"/>
    </xf>
    <xf numFmtId="0" fontId="11" fillId="4" borderId="21" xfId="0" applyNumberFormat="1" applyFont="1" applyFill="1" applyBorder="1" applyAlignment="1" applyProtection="1">
      <alignment horizontal="center" vertical="center" wrapText="1"/>
    </xf>
    <xf numFmtId="164" fontId="11" fillId="4" borderId="21" xfId="0" applyNumberFormat="1" applyFont="1" applyFill="1" applyBorder="1" applyAlignment="1" applyProtection="1">
      <alignment horizontal="right" vertical="top" wrapText="1"/>
    </xf>
    <xf numFmtId="164" fontId="11" fillId="4" borderId="22" xfId="0" applyNumberFormat="1" applyFont="1" applyFill="1" applyBorder="1" applyAlignment="1" applyProtection="1">
      <alignment horizontal="right" vertical="top" wrapText="1"/>
    </xf>
    <xf numFmtId="0" fontId="11" fillId="4" borderId="0" xfId="0" applyNumberFormat="1" applyFont="1" applyFill="1" applyBorder="1" applyAlignment="1" applyProtection="1">
      <alignment horizontal="center" vertical="top" wrapText="1"/>
    </xf>
    <xf numFmtId="0" fontId="12" fillId="4" borderId="0" xfId="0" applyNumberFormat="1" applyFont="1" applyFill="1" applyBorder="1" applyAlignment="1" applyProtection="1">
      <alignment horizontal="center" vertical="top" wrapText="1"/>
    </xf>
    <xf numFmtId="0" fontId="20" fillId="4" borderId="0" xfId="0" applyNumberFormat="1" applyFont="1" applyFill="1" applyBorder="1" applyAlignment="1" applyProtection="1">
      <alignment horizontal="right" vertical="top"/>
    </xf>
    <xf numFmtId="0" fontId="24" fillId="4" borderId="14" xfId="0" applyNumberFormat="1" applyFont="1" applyFill="1" applyBorder="1" applyAlignment="1" applyProtection="1">
      <alignment horizontal="left" vertical="top"/>
    </xf>
    <xf numFmtId="14" fontId="11" fillId="3" borderId="16" xfId="0" applyNumberFormat="1" applyFont="1" applyFill="1" applyBorder="1" applyAlignment="1" applyProtection="1">
      <alignment horizontal="center" vertical="center" wrapText="1"/>
    </xf>
    <xf numFmtId="166" fontId="11" fillId="4" borderId="18" xfId="0" applyNumberFormat="1" applyFont="1" applyFill="1" applyBorder="1" applyAlignment="1" applyProtection="1">
      <alignment horizontal="center" vertical="top"/>
    </xf>
    <xf numFmtId="166" fontId="11" fillId="4" borderId="6" xfId="0" applyNumberFormat="1" applyFont="1" applyFill="1" applyBorder="1" applyAlignment="1" applyProtection="1">
      <alignment horizontal="left" vertical="top" wrapText="1"/>
    </xf>
    <xf numFmtId="166" fontId="11" fillId="4" borderId="6" xfId="0" applyNumberFormat="1" applyFont="1" applyFill="1" applyBorder="1" applyAlignment="1" applyProtection="1">
      <alignment horizontal="center" vertical="top"/>
    </xf>
    <xf numFmtId="166" fontId="11" fillId="4" borderId="6" xfId="0" applyNumberFormat="1" applyFont="1" applyFill="1" applyBorder="1" applyAlignment="1" applyProtection="1">
      <alignment horizontal="right" vertical="top"/>
    </xf>
    <xf numFmtId="166" fontId="11" fillId="4" borderId="19" xfId="0" applyNumberFormat="1" applyFont="1" applyFill="1" applyBorder="1" applyAlignment="1" applyProtection="1">
      <alignment horizontal="right" vertical="top"/>
    </xf>
    <xf numFmtId="166" fontId="14" fillId="4" borderId="18" xfId="0" applyNumberFormat="1" applyFont="1" applyFill="1" applyBorder="1" applyAlignment="1" applyProtection="1">
      <alignment horizontal="center" vertical="top"/>
    </xf>
    <xf numFmtId="166" fontId="14" fillId="4" borderId="6" xfId="0" applyNumberFormat="1" applyFont="1" applyFill="1" applyBorder="1" applyAlignment="1" applyProtection="1">
      <alignment horizontal="left" vertical="top" wrapText="1"/>
    </xf>
    <xf numFmtId="166" fontId="14" fillId="4" borderId="6" xfId="0" applyNumberFormat="1" applyFont="1" applyFill="1" applyBorder="1" applyAlignment="1" applyProtection="1">
      <alignment horizontal="center" vertical="top"/>
    </xf>
    <xf numFmtId="166" fontId="14" fillId="4" borderId="6" xfId="0" applyNumberFormat="1" applyFont="1" applyFill="1" applyBorder="1" applyAlignment="1" applyProtection="1">
      <alignment horizontal="right" vertical="top"/>
    </xf>
    <xf numFmtId="166" fontId="14" fillId="4" borderId="19" xfId="0" applyNumberFormat="1" applyFont="1" applyFill="1" applyBorder="1" applyAlignment="1" applyProtection="1">
      <alignment horizontal="right" vertical="top"/>
    </xf>
    <xf numFmtId="166" fontId="12" fillId="4" borderId="18" xfId="0" applyNumberFormat="1" applyFont="1" applyFill="1" applyBorder="1" applyAlignment="1" applyProtection="1">
      <alignment horizontal="center" vertical="top"/>
    </xf>
    <xf numFmtId="166" fontId="12" fillId="4" borderId="6" xfId="0" applyNumberFormat="1" applyFont="1" applyFill="1" applyBorder="1" applyAlignment="1" applyProtection="1">
      <alignment horizontal="left" vertical="top" wrapText="1"/>
    </xf>
    <xf numFmtId="166" fontId="12" fillId="4" borderId="6" xfId="0" applyNumberFormat="1" applyFont="1" applyFill="1" applyBorder="1" applyAlignment="1" applyProtection="1">
      <alignment horizontal="center" vertical="top"/>
    </xf>
    <xf numFmtId="166" fontId="12" fillId="4" borderId="6" xfId="0" applyNumberFormat="1" applyFont="1" applyFill="1" applyBorder="1" applyAlignment="1" applyProtection="1">
      <alignment horizontal="right" vertical="top"/>
    </xf>
    <xf numFmtId="166" fontId="12" fillId="4" borderId="19" xfId="0" applyNumberFormat="1" applyFont="1" applyFill="1" applyBorder="1" applyAlignment="1" applyProtection="1">
      <alignment horizontal="right" vertical="top"/>
    </xf>
    <xf numFmtId="4" fontId="11" fillId="4" borderId="18" xfId="0" applyNumberFormat="1" applyFont="1" applyFill="1" applyBorder="1" applyAlignment="1" applyProtection="1">
      <alignment horizontal="center" vertical="top"/>
    </xf>
    <xf numFmtId="4" fontId="11" fillId="4" borderId="6" xfId="0" applyNumberFormat="1" applyFont="1" applyFill="1" applyBorder="1" applyAlignment="1" applyProtection="1">
      <alignment horizontal="left" vertical="top" wrapText="1"/>
    </xf>
    <xf numFmtId="4" fontId="11" fillId="4" borderId="6" xfId="0" applyNumberFormat="1" applyFont="1" applyFill="1" applyBorder="1" applyAlignment="1" applyProtection="1">
      <alignment horizontal="center" vertical="top"/>
    </xf>
    <xf numFmtId="4" fontId="11" fillId="4" borderId="19" xfId="0" applyNumberFormat="1" applyFont="1" applyFill="1" applyBorder="1" applyAlignment="1" applyProtection="1">
      <alignment horizontal="right" vertical="top"/>
    </xf>
    <xf numFmtId="166" fontId="14" fillId="4" borderId="20" xfId="0" applyNumberFormat="1" applyFont="1" applyFill="1" applyBorder="1" applyAlignment="1" applyProtection="1">
      <alignment horizontal="center" vertical="top"/>
    </xf>
    <xf numFmtId="166" fontId="14" fillId="4" borderId="21" xfId="0" applyNumberFormat="1" applyFont="1" applyFill="1" applyBorder="1" applyAlignment="1" applyProtection="1">
      <alignment horizontal="left" vertical="top" wrapText="1"/>
    </xf>
    <xf numFmtId="166" fontId="14" fillId="4" borderId="21" xfId="0" applyNumberFormat="1" applyFont="1" applyFill="1" applyBorder="1" applyAlignment="1" applyProtection="1">
      <alignment horizontal="center" vertical="top"/>
    </xf>
    <xf numFmtId="166" fontId="14" fillId="4" borderId="21" xfId="0" applyNumberFormat="1" applyFont="1" applyFill="1" applyBorder="1" applyAlignment="1" applyProtection="1">
      <alignment horizontal="right" vertical="top"/>
    </xf>
    <xf numFmtId="166" fontId="14" fillId="4" borderId="22" xfId="0" applyNumberFormat="1" applyFont="1" applyFill="1" applyBorder="1" applyAlignment="1" applyProtection="1">
      <alignment horizontal="right" vertical="top"/>
    </xf>
    <xf numFmtId="0" fontId="26" fillId="5" borderId="0" xfId="0" applyFont="1" applyFill="1"/>
    <xf numFmtId="0" fontId="27" fillId="5" borderId="0" xfId="0" applyFont="1" applyFill="1" applyAlignment="1">
      <alignment horizontal="left"/>
    </xf>
    <xf numFmtId="0" fontId="26" fillId="5" borderId="0" xfId="0" applyFont="1" applyFill="1" applyAlignment="1">
      <alignment horizontal="left"/>
    </xf>
    <xf numFmtId="0" fontId="27" fillId="5" borderId="0" xfId="0" applyFont="1" applyFill="1"/>
    <xf numFmtId="0" fontId="25" fillId="6" borderId="27" xfId="0" applyFont="1" applyFill="1" applyBorder="1" applyAlignment="1">
      <alignment vertical="center"/>
    </xf>
    <xf numFmtId="0" fontId="25" fillId="6" borderId="27" xfId="0" applyFont="1" applyFill="1" applyBorder="1" applyAlignment="1">
      <alignment vertical="center" wrapText="1"/>
    </xf>
    <xf numFmtId="0" fontId="25" fillId="6" borderId="28" xfId="0" applyFont="1" applyFill="1" applyBorder="1" applyAlignment="1">
      <alignment vertical="center" wrapText="1"/>
    </xf>
    <xf numFmtId="0" fontId="27" fillId="6" borderId="0" xfId="0" applyFont="1" applyFill="1" applyBorder="1" applyAlignment="1">
      <alignment vertical="center"/>
    </xf>
    <xf numFmtId="0" fontId="27" fillId="6" borderId="0" xfId="0" applyFont="1" applyFill="1" applyBorder="1" applyAlignment="1">
      <alignment vertical="center" wrapText="1"/>
    </xf>
    <xf numFmtId="0" fontId="27" fillId="6" borderId="33" xfId="0" applyFont="1" applyFill="1" applyBorder="1" applyAlignment="1">
      <alignment vertical="center" wrapText="1"/>
    </xf>
    <xf numFmtId="0" fontId="28" fillId="5" borderId="0" xfId="0" applyFont="1" applyFill="1" applyBorder="1"/>
    <xf numFmtId="0" fontId="25" fillId="6" borderId="0" xfId="0" applyFont="1" applyFill="1" applyBorder="1" applyAlignment="1">
      <alignment vertical="center"/>
    </xf>
    <xf numFmtId="0" fontId="25" fillId="6" borderId="0" xfId="0" applyFont="1" applyFill="1" applyBorder="1" applyAlignment="1">
      <alignment vertical="center" wrapText="1"/>
    </xf>
    <xf numFmtId="0" fontId="25" fillId="6" borderId="33" xfId="0" applyFont="1" applyFill="1" applyBorder="1" applyAlignment="1">
      <alignment vertical="center" wrapText="1"/>
    </xf>
    <xf numFmtId="14" fontId="25" fillId="6" borderId="0" xfId="0" applyNumberFormat="1" applyFont="1" applyFill="1" applyBorder="1" applyAlignment="1">
      <alignment horizontal="left" vertical="center"/>
    </xf>
    <xf numFmtId="167" fontId="30" fillId="2" borderId="30" xfId="3" applyNumberFormat="1" applyFont="1" applyFill="1" applyBorder="1" applyAlignment="1" applyProtection="1">
      <alignment horizontal="left" vertical="top"/>
    </xf>
    <xf numFmtId="167" fontId="30" fillId="2" borderId="30" xfId="3" applyNumberFormat="1" applyFont="1" applyFill="1" applyBorder="1" applyAlignment="1" applyProtection="1">
      <alignment vertical="top"/>
    </xf>
    <xf numFmtId="168" fontId="27" fillId="6" borderId="31" xfId="0" applyNumberFormat="1" applyFont="1" applyFill="1" applyBorder="1" applyAlignment="1"/>
    <xf numFmtId="0" fontId="31" fillId="5" borderId="0" xfId="0" applyFont="1" applyFill="1"/>
    <xf numFmtId="0" fontId="36" fillId="5" borderId="0" xfId="4" applyFont="1" applyFill="1" applyBorder="1" applyAlignment="1">
      <alignment horizontal="center" vertical="center"/>
    </xf>
    <xf numFmtId="0" fontId="35" fillId="5" borderId="0" xfId="4" applyFont="1" applyFill="1" applyBorder="1" applyAlignment="1">
      <alignment horizontal="center" vertical="center"/>
    </xf>
    <xf numFmtId="0" fontId="25" fillId="5" borderId="34" xfId="0" applyFont="1" applyFill="1" applyBorder="1" applyAlignment="1">
      <alignment horizontal="center" vertical="center"/>
    </xf>
    <xf numFmtId="0" fontId="25" fillId="5" borderId="34" xfId="0" applyFont="1" applyFill="1" applyBorder="1" applyAlignment="1">
      <alignment horizontal="left" vertical="center"/>
    </xf>
    <xf numFmtId="0" fontId="27" fillId="5" borderId="34" xfId="0" applyFont="1" applyFill="1" applyBorder="1" applyAlignment="1">
      <alignment horizontal="center" vertical="center"/>
    </xf>
    <xf numFmtId="0" fontId="38" fillId="5" borderId="34" xfId="5" applyFont="1" applyFill="1" applyBorder="1" applyAlignment="1">
      <alignment horizontal="center" vertical="center"/>
    </xf>
    <xf numFmtId="0" fontId="35" fillId="5" borderId="34" xfId="4" applyFont="1" applyFill="1" applyBorder="1" applyAlignment="1">
      <alignment horizontal="center" vertical="center"/>
    </xf>
    <xf numFmtId="0" fontId="39" fillId="5" borderId="0" xfId="0" applyFont="1" applyFill="1" applyBorder="1"/>
    <xf numFmtId="0" fontId="31" fillId="5" borderId="0" xfId="0" applyFont="1" applyFill="1" applyBorder="1" applyAlignment="1">
      <alignment vertical="center"/>
    </xf>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vertical="center" wrapText="1"/>
    </xf>
    <xf numFmtId="4" fontId="14" fillId="0" borderId="6" xfId="0" applyNumberFormat="1" applyFont="1" applyFill="1" applyBorder="1" applyAlignment="1" applyProtection="1">
      <alignment horizontal="right" vertical="top"/>
    </xf>
    <xf numFmtId="4" fontId="14" fillId="0" borderId="19" xfId="0" applyNumberFormat="1" applyFont="1" applyFill="1" applyBorder="1" applyAlignment="1" applyProtection="1">
      <alignment horizontal="right" vertical="top"/>
    </xf>
    <xf numFmtId="3" fontId="14" fillId="0" borderId="21" xfId="0" applyNumberFormat="1" applyFont="1" applyFill="1" applyBorder="1" applyAlignment="1" applyProtection="1">
      <alignment horizontal="right" vertical="top"/>
    </xf>
    <xf numFmtId="3" fontId="14" fillId="0" borderId="22" xfId="0" applyNumberFormat="1" applyFont="1" applyFill="1" applyBorder="1" applyAlignment="1" applyProtection="1">
      <alignment horizontal="right" vertical="top"/>
    </xf>
    <xf numFmtId="165" fontId="14" fillId="0" borderId="6" xfId="0" applyNumberFormat="1" applyFont="1" applyFill="1" applyBorder="1" applyAlignment="1" applyProtection="1">
      <alignment horizontal="right" vertical="top"/>
    </xf>
    <xf numFmtId="165" fontId="14" fillId="0" borderId="19" xfId="0" applyNumberFormat="1" applyFont="1" applyFill="1" applyBorder="1" applyAlignment="1" applyProtection="1">
      <alignment horizontal="right" vertical="top"/>
    </xf>
    <xf numFmtId="3" fontId="14" fillId="0" borderId="6" xfId="0" applyNumberFormat="1" applyFont="1" applyFill="1" applyBorder="1" applyAlignment="1" applyProtection="1">
      <alignment horizontal="right" vertical="top"/>
    </xf>
    <xf numFmtId="3" fontId="14" fillId="0" borderId="19" xfId="0" applyNumberFormat="1" applyFont="1" applyFill="1" applyBorder="1" applyAlignment="1" applyProtection="1">
      <alignment horizontal="right" vertical="top"/>
    </xf>
    <xf numFmtId="0" fontId="23" fillId="6" borderId="0" xfId="13" applyFont="1" applyFill="1"/>
    <xf numFmtId="0" fontId="43" fillId="6" borderId="0" xfId="13" applyFont="1" applyFill="1" applyAlignment="1">
      <alignment wrapText="1"/>
    </xf>
    <xf numFmtId="0" fontId="6" fillId="6" borderId="0" xfId="13" applyFont="1" applyFill="1" applyAlignment="1">
      <alignment horizontal="center"/>
    </xf>
    <xf numFmtId="0" fontId="5" fillId="6" borderId="0" xfId="13" applyFont="1" applyFill="1" applyAlignment="1">
      <alignment horizontal="center"/>
    </xf>
    <xf numFmtId="170" fontId="5" fillId="6" borderId="0" xfId="8" applyNumberFormat="1" applyFont="1" applyFill="1" applyAlignment="1">
      <alignment horizontal="center"/>
    </xf>
    <xf numFmtId="0" fontId="5" fillId="6" borderId="0" xfId="13" applyFont="1" applyFill="1" applyAlignment="1">
      <alignment horizontal="center" vertical="center" wrapText="1"/>
    </xf>
    <xf numFmtId="0" fontId="5" fillId="6" borderId="0" xfId="13" applyFont="1" applyFill="1" applyAlignment="1">
      <alignment horizontal="left" vertical="center"/>
    </xf>
    <xf numFmtId="0" fontId="8" fillId="6" borderId="0" xfId="13" applyFont="1" applyFill="1" applyAlignment="1">
      <alignment horizontal="left" vertical="center"/>
    </xf>
    <xf numFmtId="170" fontId="8" fillId="6" borderId="0" xfId="8" applyNumberFormat="1" applyFont="1" applyFill="1" applyAlignment="1">
      <alignment horizontal="center"/>
    </xf>
    <xf numFmtId="0" fontId="8" fillId="6" borderId="0" xfId="13" applyFont="1" applyFill="1" applyAlignment="1">
      <alignment horizontal="center"/>
    </xf>
    <xf numFmtId="0" fontId="5" fillId="6" borderId="0" xfId="13" applyFont="1" applyFill="1" applyAlignment="1">
      <alignment horizontal="center" vertical="center"/>
    </xf>
    <xf numFmtId="0" fontId="5" fillId="6" borderId="0" xfId="13" applyFont="1" applyFill="1" applyAlignment="1">
      <alignment horizontal="left" wrapText="1"/>
    </xf>
    <xf numFmtId="0" fontId="5" fillId="6" borderId="0" xfId="13" applyFont="1" applyFill="1" applyAlignment="1">
      <alignment vertical="center"/>
    </xf>
    <xf numFmtId="48" fontId="8" fillId="6" borderId="0" xfId="13" applyNumberFormat="1" applyFont="1" applyFill="1" applyAlignment="1" applyProtection="1">
      <alignment horizontal="left" vertical="center" wrapText="1"/>
      <protection locked="0"/>
    </xf>
    <xf numFmtId="0" fontId="8" fillId="6" borderId="0" xfId="13" applyFont="1" applyFill="1" applyAlignment="1">
      <alignment horizontal="left" wrapText="1"/>
    </xf>
    <xf numFmtId="0" fontId="14" fillId="4" borderId="0" xfId="15" applyNumberFormat="1" applyFont="1" applyFill="1" applyBorder="1" applyAlignment="1" applyProtection="1">
      <alignment vertical="top"/>
    </xf>
    <xf numFmtId="0" fontId="8" fillId="6" borderId="0" xfId="13" applyFont="1" applyFill="1" applyAlignment="1">
      <alignment vertical="center"/>
    </xf>
    <xf numFmtId="3" fontId="8" fillId="6" borderId="0" xfId="13" applyNumberFormat="1" applyFont="1" applyFill="1" applyAlignment="1">
      <alignment horizontal="left" vertical="center" wrapText="1"/>
    </xf>
    <xf numFmtId="48" fontId="5" fillId="6" borderId="0" xfId="13" applyNumberFormat="1" applyFont="1" applyFill="1" applyAlignment="1" applyProtection="1">
      <alignment horizontal="left" vertical="center" wrapText="1"/>
      <protection locked="0"/>
    </xf>
    <xf numFmtId="48" fontId="8" fillId="6" borderId="0" xfId="13" applyNumberFormat="1" applyFont="1" applyFill="1" applyAlignment="1" applyProtection="1">
      <alignment vertical="center" wrapText="1"/>
      <protection locked="0"/>
    </xf>
    <xf numFmtId="0" fontId="45" fillId="6" borderId="0" xfId="0" applyFont="1" applyFill="1" applyAlignment="1">
      <alignment vertical="center"/>
    </xf>
    <xf numFmtId="169" fontId="8" fillId="6" borderId="0" xfId="13" applyNumberFormat="1" applyFont="1" applyFill="1" applyAlignment="1">
      <alignment horizontal="left" vertical="center" wrapText="1"/>
    </xf>
    <xf numFmtId="0" fontId="8" fillId="6" borderId="0" xfId="13" applyFont="1" applyFill="1" applyAlignment="1">
      <alignment horizontal="left" vertical="center" wrapText="1"/>
    </xf>
    <xf numFmtId="0" fontId="23" fillId="6" borderId="0" xfId="13" applyFont="1" applyFill="1" applyAlignment="1">
      <alignment horizontal="left"/>
    </xf>
    <xf numFmtId="3" fontId="8" fillId="6" borderId="0" xfId="13" applyNumberFormat="1" applyFont="1" applyFill="1" applyAlignment="1">
      <alignment wrapText="1"/>
    </xf>
    <xf numFmtId="3" fontId="5" fillId="6" borderId="0" xfId="13" applyNumberFormat="1" applyFont="1" applyFill="1" applyAlignment="1">
      <alignment wrapText="1"/>
    </xf>
    <xf numFmtId="0" fontId="46" fillId="6" borderId="0" xfId="13" applyFont="1" applyFill="1"/>
    <xf numFmtId="0" fontId="6" fillId="6" borderId="0" xfId="13" applyFont="1" applyFill="1"/>
    <xf numFmtId="171" fontId="47" fillId="6" borderId="0" xfId="17" applyNumberFormat="1" applyFont="1" applyFill="1" applyAlignment="1">
      <alignment vertical="center" wrapText="1"/>
    </xf>
    <xf numFmtId="0" fontId="46" fillId="6" borderId="0" xfId="17" applyFont="1" applyFill="1" applyBorder="1" applyAlignment="1">
      <alignment vertical="center"/>
    </xf>
    <xf numFmtId="170" fontId="47" fillId="6" borderId="0" xfId="8" applyNumberFormat="1" applyFont="1" applyFill="1" applyBorder="1" applyAlignment="1">
      <alignment vertical="center" wrapText="1"/>
    </xf>
    <xf numFmtId="0" fontId="47" fillId="6" borderId="0" xfId="17" applyFont="1" applyFill="1" applyBorder="1" applyAlignment="1">
      <alignment vertical="center"/>
    </xf>
    <xf numFmtId="0" fontId="47" fillId="6" borderId="0" xfId="17" applyFont="1" applyFill="1" applyBorder="1" applyAlignment="1">
      <alignment vertical="center" wrapText="1"/>
    </xf>
    <xf numFmtId="170" fontId="47" fillId="6" borderId="0" xfId="8" applyNumberFormat="1" applyFont="1" applyFill="1" applyBorder="1" applyAlignment="1">
      <alignment horizontal="right" vertical="center" wrapText="1"/>
    </xf>
    <xf numFmtId="170" fontId="47" fillId="6" borderId="0" xfId="8" applyNumberFormat="1" applyFont="1" applyFill="1" applyBorder="1" applyAlignment="1">
      <alignment horizontal="left" vertical="center"/>
    </xf>
    <xf numFmtId="2" fontId="46" fillId="6" borderId="0" xfId="17" applyNumberFormat="1" applyFont="1" applyFill="1" applyAlignment="1">
      <alignment vertical="center"/>
    </xf>
    <xf numFmtId="170" fontId="47" fillId="6" borderId="0" xfId="8" applyNumberFormat="1" applyFont="1" applyFill="1" applyBorder="1" applyAlignment="1">
      <alignment horizontal="right" vertical="center"/>
    </xf>
    <xf numFmtId="170" fontId="47" fillId="6" borderId="0" xfId="8" applyNumberFormat="1" applyFont="1" applyFill="1" applyAlignment="1">
      <alignment horizontal="right" vertical="center"/>
    </xf>
    <xf numFmtId="2" fontId="46" fillId="6" borderId="0" xfId="17" applyNumberFormat="1" applyFont="1" applyFill="1" applyAlignment="1">
      <alignment horizontal="right" vertical="center"/>
    </xf>
    <xf numFmtId="170" fontId="46" fillId="6" borderId="0" xfId="8" applyNumberFormat="1" applyFont="1" applyFill="1" applyAlignment="1">
      <alignment horizontal="right" vertical="center"/>
    </xf>
    <xf numFmtId="2" fontId="47" fillId="6" borderId="0" xfId="17" applyNumberFormat="1" applyFont="1" applyFill="1" applyAlignment="1">
      <alignment vertical="center"/>
    </xf>
    <xf numFmtId="2" fontId="46" fillId="6" borderId="30" xfId="17" applyNumberFormat="1" applyFont="1" applyFill="1" applyBorder="1" applyAlignment="1">
      <alignment vertical="center"/>
    </xf>
    <xf numFmtId="170" fontId="46" fillId="6" borderId="30" xfId="8" applyNumberFormat="1" applyFont="1" applyFill="1" applyBorder="1" applyAlignment="1">
      <alignment horizontal="right" vertical="center"/>
    </xf>
    <xf numFmtId="2" fontId="46" fillId="6" borderId="0" xfId="17" applyNumberFormat="1" applyFont="1" applyFill="1" applyBorder="1" applyAlignment="1">
      <alignment horizontal="right" vertical="center"/>
    </xf>
    <xf numFmtId="0" fontId="23" fillId="6" borderId="0" xfId="13" applyFont="1" applyFill="1" applyBorder="1"/>
    <xf numFmtId="2" fontId="46" fillId="6" borderId="0" xfId="17" applyNumberFormat="1" applyFont="1" applyFill="1" applyBorder="1" applyAlignment="1">
      <alignment vertical="center"/>
    </xf>
    <xf numFmtId="0" fontId="23" fillId="6" borderId="0" xfId="13" applyFont="1" applyFill="1" applyAlignment="1">
      <alignment vertical="center"/>
    </xf>
    <xf numFmtId="2" fontId="23" fillId="6" borderId="0" xfId="17" applyNumberFormat="1" applyFont="1" applyFill="1" applyAlignment="1">
      <alignment vertical="center"/>
    </xf>
    <xf numFmtId="0" fontId="47" fillId="0" borderId="0" xfId="13" applyFont="1" applyFill="1" applyAlignment="1">
      <alignment vertical="center"/>
    </xf>
    <xf numFmtId="0" fontId="47" fillId="6" borderId="0" xfId="13" applyFont="1" applyFill="1" applyAlignment="1">
      <alignment vertical="center"/>
    </xf>
    <xf numFmtId="0" fontId="5" fillId="2" borderId="0" xfId="2" applyNumberFormat="1" applyFont="1" applyFill="1" applyBorder="1" applyAlignment="1" applyProtection="1">
      <alignment horizontal="left" vertical="center"/>
    </xf>
    <xf numFmtId="0" fontId="8" fillId="2" borderId="0" xfId="2" applyNumberFormat="1" applyFont="1" applyFill="1" applyBorder="1" applyAlignment="1" applyProtection="1">
      <alignment horizontal="left" vertical="center"/>
    </xf>
    <xf numFmtId="0" fontId="5" fillId="2" borderId="5" xfId="2" applyNumberFormat="1" applyFont="1" applyFill="1" applyBorder="1" applyAlignment="1" applyProtection="1">
      <alignment horizontal="center" vertical="center"/>
    </xf>
    <xf numFmtId="0" fontId="5" fillId="2" borderId="6" xfId="2" applyNumberFormat="1" applyFont="1" applyFill="1" applyBorder="1" applyAlignment="1" applyProtection="1">
      <alignment horizontal="left" vertical="center" wrapText="1"/>
    </xf>
    <xf numFmtId="0" fontId="5" fillId="2" borderId="6" xfId="2" applyNumberFormat="1" applyFont="1" applyFill="1" applyBorder="1" applyAlignment="1" applyProtection="1">
      <alignment horizontal="center" vertical="center"/>
    </xf>
    <xf numFmtId="172" fontId="5" fillId="2" borderId="6" xfId="2" applyNumberFormat="1" applyFont="1" applyFill="1" applyBorder="1" applyAlignment="1" applyProtection="1">
      <alignment horizontal="right" vertical="center"/>
    </xf>
    <xf numFmtId="172" fontId="5" fillId="2" borderId="7" xfId="2" applyNumberFormat="1" applyFont="1" applyFill="1" applyBorder="1" applyAlignment="1" applyProtection="1">
      <alignment horizontal="right" vertical="center"/>
    </xf>
    <xf numFmtId="0" fontId="8" fillId="2" borderId="5" xfId="2" applyNumberFormat="1" applyFont="1" applyFill="1" applyBorder="1" applyAlignment="1" applyProtection="1">
      <alignment horizontal="center" vertical="center"/>
    </xf>
    <xf numFmtId="0" fontId="8" fillId="2" borderId="6" xfId="2" applyNumberFormat="1" applyFont="1" applyFill="1" applyBorder="1" applyAlignment="1" applyProtection="1">
      <alignment horizontal="left" vertical="center" wrapText="1"/>
    </xf>
    <xf numFmtId="0" fontId="8" fillId="2" borderId="6" xfId="2" applyNumberFormat="1" applyFont="1" applyFill="1" applyBorder="1" applyAlignment="1" applyProtection="1">
      <alignment horizontal="center" vertical="center"/>
    </xf>
    <xf numFmtId="172" fontId="8" fillId="2" borderId="6" xfId="2" applyNumberFormat="1" applyFont="1" applyFill="1" applyBorder="1" applyAlignment="1" applyProtection="1">
      <alignment horizontal="right" vertical="center"/>
    </xf>
    <xf numFmtId="172" fontId="8" fillId="2" borderId="7" xfId="2" applyNumberFormat="1" applyFont="1" applyFill="1" applyBorder="1" applyAlignment="1" applyProtection="1">
      <alignment horizontal="right" vertical="center"/>
    </xf>
    <xf numFmtId="173" fontId="8" fillId="2" borderId="6" xfId="2" applyNumberFormat="1" applyFont="1" applyFill="1" applyBorder="1" applyAlignment="1" applyProtection="1">
      <alignment horizontal="right" vertical="center"/>
    </xf>
    <xf numFmtId="173" fontId="8" fillId="2" borderId="7" xfId="2" applyNumberFormat="1" applyFont="1" applyFill="1" applyBorder="1" applyAlignment="1" applyProtection="1">
      <alignment horizontal="right" vertical="center"/>
    </xf>
    <xf numFmtId="0" fontId="6" fillId="2" borderId="5" xfId="2" applyNumberFormat="1" applyFont="1" applyFill="1" applyBorder="1" applyAlignment="1" applyProtection="1">
      <alignment horizontal="center" vertical="center"/>
    </xf>
    <xf numFmtId="0" fontId="6" fillId="2" borderId="6" xfId="2" applyNumberFormat="1" applyFont="1" applyFill="1" applyBorder="1" applyAlignment="1" applyProtection="1">
      <alignment horizontal="left" vertical="center" wrapText="1"/>
    </xf>
    <xf numFmtId="0" fontId="6" fillId="2" borderId="6" xfId="2" applyNumberFormat="1" applyFont="1" applyFill="1" applyBorder="1" applyAlignment="1" applyProtection="1">
      <alignment horizontal="center" vertical="center"/>
    </xf>
    <xf numFmtId="172" fontId="6" fillId="2" borderId="6" xfId="2" applyNumberFormat="1" applyFont="1" applyFill="1" applyBorder="1" applyAlignment="1" applyProtection="1">
      <alignment horizontal="right" vertical="center"/>
    </xf>
    <xf numFmtId="172" fontId="6" fillId="2" borderId="7" xfId="2" applyNumberFormat="1" applyFont="1" applyFill="1" applyBorder="1" applyAlignment="1" applyProtection="1">
      <alignment horizontal="right" vertical="center"/>
    </xf>
    <xf numFmtId="173" fontId="6" fillId="2" borderId="6" xfId="2" applyNumberFormat="1" applyFont="1" applyFill="1" applyBorder="1" applyAlignment="1" applyProtection="1">
      <alignment horizontal="right" vertical="center"/>
    </xf>
    <xf numFmtId="173" fontId="6" fillId="2" borderId="7" xfId="2" applyNumberFormat="1" applyFont="1" applyFill="1" applyBorder="1" applyAlignment="1" applyProtection="1">
      <alignment horizontal="right" vertical="center"/>
    </xf>
    <xf numFmtId="174" fontId="6" fillId="2" borderId="6" xfId="2" applyNumberFormat="1" applyFont="1" applyFill="1" applyBorder="1" applyAlignment="1" applyProtection="1">
      <alignment horizontal="right" vertical="center"/>
    </xf>
    <xf numFmtId="174" fontId="6" fillId="2" borderId="7" xfId="2" applyNumberFormat="1" applyFont="1" applyFill="1" applyBorder="1" applyAlignment="1" applyProtection="1">
      <alignment horizontal="right" vertical="center"/>
    </xf>
    <xf numFmtId="0" fontId="6" fillId="2" borderId="8" xfId="2" applyNumberFormat="1" applyFont="1" applyFill="1" applyBorder="1" applyAlignment="1" applyProtection="1">
      <alignment horizontal="center" vertical="center"/>
    </xf>
    <xf numFmtId="0" fontId="6" fillId="2" borderId="9" xfId="2" applyNumberFormat="1" applyFont="1" applyFill="1" applyBorder="1" applyAlignment="1" applyProtection="1">
      <alignment horizontal="left" vertical="center" wrapText="1"/>
    </xf>
    <xf numFmtId="0" fontId="6" fillId="2" borderId="9" xfId="2" applyNumberFormat="1" applyFont="1" applyFill="1" applyBorder="1" applyAlignment="1" applyProtection="1">
      <alignment horizontal="center" vertical="center"/>
    </xf>
    <xf numFmtId="173" fontId="6" fillId="2" borderId="9" xfId="2" applyNumberFormat="1" applyFont="1" applyFill="1" applyBorder="1" applyAlignment="1" applyProtection="1">
      <alignment horizontal="right" vertical="center"/>
    </xf>
    <xf numFmtId="173" fontId="6" fillId="2" borderId="10" xfId="2" applyNumberFormat="1" applyFont="1" applyFill="1" applyBorder="1" applyAlignment="1" applyProtection="1">
      <alignment horizontal="right" vertical="center"/>
    </xf>
    <xf numFmtId="0" fontId="11" fillId="3" borderId="39" xfId="0" applyNumberFormat="1" applyFont="1" applyFill="1" applyBorder="1" applyAlignment="1" applyProtection="1">
      <alignment horizontal="center" vertical="center" wrapText="1"/>
    </xf>
    <xf numFmtId="0" fontId="11" fillId="3" borderId="40" xfId="0" applyNumberFormat="1" applyFont="1" applyFill="1" applyBorder="1" applyAlignment="1" applyProtection="1">
      <alignment horizontal="center" vertical="center" wrapText="1"/>
    </xf>
    <xf numFmtId="0" fontId="23" fillId="0" borderId="38" xfId="13" applyFont="1" applyFill="1" applyBorder="1" applyAlignment="1">
      <alignment horizontal="center" vertical="center"/>
    </xf>
    <xf numFmtId="49" fontId="23" fillId="0" borderId="39" xfId="13" applyNumberFormat="1" applyFont="1" applyFill="1" applyBorder="1" applyAlignment="1" applyProtection="1">
      <alignment horizontal="left" vertical="center" wrapText="1"/>
    </xf>
    <xf numFmtId="49" fontId="46" fillId="0" borderId="39" xfId="13" applyNumberFormat="1" applyFont="1" applyFill="1" applyBorder="1" applyAlignment="1" applyProtection="1">
      <alignment horizontal="center" vertical="center" wrapText="1"/>
    </xf>
    <xf numFmtId="49" fontId="46" fillId="0" borderId="39" xfId="13" applyNumberFormat="1" applyFont="1" applyFill="1" applyBorder="1" applyAlignment="1" applyProtection="1">
      <alignment horizontal="left" vertical="center" wrapText="1"/>
    </xf>
    <xf numFmtId="49" fontId="23" fillId="0" borderId="38" xfId="13" applyNumberFormat="1" applyFont="1" applyFill="1" applyBorder="1" applyAlignment="1" applyProtection="1">
      <alignment horizontal="center" vertical="center" wrapText="1"/>
    </xf>
    <xf numFmtId="0" fontId="23" fillId="0" borderId="41" xfId="13" applyFont="1" applyFill="1" applyBorder="1" applyAlignment="1">
      <alignment horizontal="center" vertical="center"/>
    </xf>
    <xf numFmtId="49" fontId="46" fillId="0" borderId="42" xfId="13" applyNumberFormat="1" applyFont="1" applyFill="1" applyBorder="1" applyAlignment="1" applyProtection="1">
      <alignment horizontal="left" vertical="center" wrapText="1"/>
    </xf>
    <xf numFmtId="49" fontId="46" fillId="0" borderId="42" xfId="13" applyNumberFormat="1" applyFont="1" applyFill="1" applyBorder="1" applyAlignment="1" applyProtection="1">
      <alignment horizontal="center" vertical="center" wrapText="1"/>
    </xf>
    <xf numFmtId="0" fontId="27" fillId="6" borderId="32" xfId="0" applyFont="1" applyFill="1" applyBorder="1" applyAlignment="1">
      <alignment horizontal="left" vertical="center" wrapText="1"/>
    </xf>
    <xf numFmtId="0" fontId="27" fillId="6" borderId="0" xfId="0" applyFont="1" applyFill="1" applyBorder="1" applyAlignment="1">
      <alignment horizontal="left" vertical="center" wrapText="1"/>
    </xf>
    <xf numFmtId="0" fontId="25" fillId="5" borderId="0" xfId="0" applyFont="1" applyFill="1" applyBorder="1" applyAlignment="1">
      <alignment horizontal="left"/>
    </xf>
    <xf numFmtId="0" fontId="27" fillId="6" borderId="26" xfId="0" applyFont="1" applyFill="1" applyBorder="1" applyAlignment="1">
      <alignment horizontal="left" wrapText="1"/>
    </xf>
    <xf numFmtId="0" fontId="27" fillId="6" borderId="27" xfId="0" applyFont="1" applyFill="1" applyBorder="1" applyAlignment="1">
      <alignment horizontal="left"/>
    </xf>
    <xf numFmtId="0" fontId="27" fillId="6" borderId="28" xfId="0" applyFont="1" applyFill="1" applyBorder="1" applyAlignment="1">
      <alignment horizontal="left"/>
    </xf>
    <xf numFmtId="0" fontId="27" fillId="6" borderId="29" xfId="0" applyFont="1" applyFill="1" applyBorder="1" applyAlignment="1">
      <alignment horizontal="left" wrapText="1"/>
    </xf>
    <xf numFmtId="0" fontId="27" fillId="6" borderId="30" xfId="0" applyFont="1" applyFill="1" applyBorder="1" applyAlignment="1">
      <alignment horizontal="left"/>
    </xf>
    <xf numFmtId="0" fontId="27" fillId="6" borderId="31" xfId="0" applyFont="1" applyFill="1" applyBorder="1" applyAlignment="1">
      <alignment horizontal="left"/>
    </xf>
    <xf numFmtId="0" fontId="25" fillId="5" borderId="0" xfId="0" applyFont="1" applyFill="1" applyAlignment="1">
      <alignment horizontal="left"/>
    </xf>
    <xf numFmtId="0" fontId="25" fillId="6" borderId="26" xfId="0" applyFont="1" applyFill="1" applyBorder="1" applyAlignment="1">
      <alignment horizontal="left" vertical="center" wrapText="1"/>
    </xf>
    <xf numFmtId="0" fontId="25" fillId="6" borderId="27" xfId="0" applyFont="1" applyFill="1" applyBorder="1" applyAlignment="1">
      <alignment horizontal="left" vertical="center" wrapText="1"/>
    </xf>
    <xf numFmtId="0" fontId="34" fillId="6" borderId="32" xfId="4" applyFont="1" applyFill="1" applyBorder="1" applyAlignment="1">
      <alignment horizontal="center" vertical="center"/>
    </xf>
    <xf numFmtId="0" fontId="34" fillId="6" borderId="0" xfId="4" applyFont="1" applyFill="1" applyBorder="1" applyAlignment="1">
      <alignment horizontal="center" vertical="center"/>
    </xf>
    <xf numFmtId="0" fontId="34" fillId="6" borderId="33" xfId="4" applyFont="1" applyFill="1" applyBorder="1" applyAlignment="1">
      <alignment horizontal="center" vertical="center"/>
    </xf>
    <xf numFmtId="0" fontId="35" fillId="6" borderId="32" xfId="4" applyFont="1" applyFill="1" applyBorder="1" applyAlignment="1">
      <alignment horizontal="center" vertical="center"/>
    </xf>
    <xf numFmtId="0" fontId="35" fillId="6" borderId="0" xfId="4" applyFont="1" applyFill="1" applyBorder="1" applyAlignment="1">
      <alignment horizontal="center" vertical="center"/>
    </xf>
    <xf numFmtId="0" fontId="35" fillId="6" borderId="33" xfId="4" applyFont="1" applyFill="1" applyBorder="1" applyAlignment="1">
      <alignment horizontal="center" vertical="center"/>
    </xf>
    <xf numFmtId="0" fontId="25" fillId="6" borderId="32" xfId="0" applyFont="1" applyFill="1" applyBorder="1" applyAlignment="1">
      <alignment horizontal="left" vertical="center" wrapText="1"/>
    </xf>
    <xf numFmtId="0" fontId="25" fillId="6" borderId="0" xfId="0" applyFont="1" applyFill="1" applyBorder="1" applyAlignment="1">
      <alignment horizontal="left" vertical="center" wrapText="1"/>
    </xf>
    <xf numFmtId="0" fontId="27" fillId="6" borderId="29" xfId="0" applyFont="1" applyFill="1" applyBorder="1" applyAlignment="1">
      <alignment horizontal="left"/>
    </xf>
    <xf numFmtId="0" fontId="32" fillId="6" borderId="26" xfId="0" applyFont="1" applyFill="1" applyBorder="1" applyAlignment="1">
      <alignment horizontal="center" vertical="center"/>
    </xf>
    <xf numFmtId="0" fontId="32" fillId="6" borderId="27" xfId="0" applyFont="1" applyFill="1" applyBorder="1" applyAlignment="1">
      <alignment horizontal="center" vertical="center"/>
    </xf>
    <xf numFmtId="0" fontId="32" fillId="6" borderId="28" xfId="0" applyFont="1" applyFill="1" applyBorder="1" applyAlignment="1">
      <alignment horizontal="center" vertical="center"/>
    </xf>
    <xf numFmtId="0" fontId="36" fillId="6" borderId="32" xfId="4" applyFont="1" applyFill="1" applyBorder="1" applyAlignment="1">
      <alignment horizontal="center" vertical="center"/>
    </xf>
    <xf numFmtId="0" fontId="36" fillId="6" borderId="0" xfId="4" applyFont="1" applyFill="1" applyBorder="1" applyAlignment="1">
      <alignment horizontal="center" vertical="center"/>
    </xf>
    <xf numFmtId="0" fontId="36" fillId="6" borderId="33" xfId="4" applyFont="1" applyFill="1" applyBorder="1" applyAlignment="1">
      <alignment horizontal="center" vertical="center"/>
    </xf>
    <xf numFmtId="0" fontId="36" fillId="6" borderId="29" xfId="4" applyFont="1" applyFill="1" applyBorder="1" applyAlignment="1">
      <alignment horizontal="center" vertical="center"/>
    </xf>
    <xf numFmtId="0" fontId="36" fillId="6" borderId="30" xfId="4" applyFont="1" applyFill="1" applyBorder="1" applyAlignment="1">
      <alignment horizontal="center" vertical="center"/>
    </xf>
    <xf numFmtId="0" fontId="36" fillId="6" borderId="31" xfId="4" applyFont="1" applyFill="1" applyBorder="1" applyAlignment="1">
      <alignment horizontal="center" vertical="center"/>
    </xf>
    <xf numFmtId="0" fontId="25" fillId="5" borderId="34" xfId="0" applyFont="1" applyFill="1" applyBorder="1" applyAlignment="1">
      <alignment horizontal="left" wrapText="1"/>
    </xf>
    <xf numFmtId="0" fontId="25" fillId="5" borderId="34" xfId="0" applyFont="1" applyFill="1" applyBorder="1" applyAlignment="1">
      <alignment horizontal="left" vertical="center"/>
    </xf>
    <xf numFmtId="0" fontId="27" fillId="5" borderId="34" xfId="0" applyFont="1" applyFill="1" applyBorder="1" applyAlignment="1">
      <alignment horizontal="left" vertical="center"/>
    </xf>
    <xf numFmtId="0" fontId="15" fillId="4" borderId="0" xfId="0" applyNumberFormat="1" applyFont="1" applyFill="1" applyBorder="1" applyAlignment="1" applyProtection="1">
      <alignment horizontal="center" vertical="top"/>
    </xf>
    <xf numFmtId="0" fontId="20" fillId="4" borderId="0" xfId="0" applyNumberFormat="1" applyFont="1" applyFill="1" applyBorder="1" applyAlignment="1" applyProtection="1">
      <alignment horizontal="center" vertical="top"/>
    </xf>
    <xf numFmtId="0" fontId="10" fillId="4" borderId="0" xfId="0" applyNumberFormat="1" applyFont="1" applyFill="1" applyBorder="1" applyAlignment="1" applyProtection="1">
      <alignment horizontal="left" vertical="top"/>
    </xf>
    <xf numFmtId="0" fontId="11" fillId="4" borderId="0" xfId="0" applyNumberFormat="1" applyFont="1" applyFill="1" applyBorder="1" applyAlignment="1" applyProtection="1">
      <alignment horizontal="center" vertical="top"/>
    </xf>
    <xf numFmtId="0" fontId="14" fillId="4" borderId="0" xfId="0" applyNumberFormat="1" applyFont="1" applyFill="1" applyBorder="1" applyAlignment="1" applyProtection="1">
      <alignment horizontal="center" vertical="top"/>
    </xf>
    <xf numFmtId="0" fontId="14" fillId="4" borderId="0" xfId="0" applyNumberFormat="1" applyFont="1" applyFill="1" applyBorder="1" applyAlignment="1" applyProtection="1">
      <alignment horizontal="center" vertical="top" wrapText="1"/>
    </xf>
    <xf numFmtId="15" fontId="14" fillId="4" borderId="0" xfId="0" applyNumberFormat="1" applyFont="1" applyFill="1" applyBorder="1" applyAlignment="1" applyProtection="1">
      <alignment horizontal="left" vertical="center"/>
    </xf>
    <xf numFmtId="0" fontId="14" fillId="4" borderId="0" xfId="0" applyNumberFormat="1" applyFont="1" applyFill="1" applyBorder="1" applyAlignment="1" applyProtection="1">
      <alignment horizontal="left" vertical="center"/>
    </xf>
    <xf numFmtId="0" fontId="12" fillId="4" borderId="0" xfId="0" applyNumberFormat="1" applyFont="1" applyFill="1" applyBorder="1" applyAlignment="1" applyProtection="1">
      <alignment horizontal="center" vertical="top" wrapText="1"/>
    </xf>
    <xf numFmtId="0" fontId="11" fillId="4" borderId="0" xfId="0" applyNumberFormat="1" applyFont="1" applyFill="1" applyBorder="1" applyAlignment="1" applyProtection="1">
      <alignment horizontal="left" vertical="top"/>
    </xf>
    <xf numFmtId="0" fontId="10" fillId="4" borderId="14" xfId="0" applyNumberFormat="1" applyFont="1" applyFill="1" applyBorder="1" applyAlignment="1" applyProtection="1">
      <alignment horizontal="left" vertical="top"/>
    </xf>
    <xf numFmtId="0" fontId="14" fillId="4" borderId="0" xfId="0" applyNumberFormat="1" applyFont="1" applyFill="1" applyBorder="1" applyAlignment="1" applyProtection="1">
      <alignment horizontal="left" vertical="top" wrapText="1"/>
    </xf>
    <xf numFmtId="14" fontId="11" fillId="4" borderId="0" xfId="0" applyNumberFormat="1" applyFont="1" applyFill="1" applyBorder="1" applyAlignment="1" applyProtection="1">
      <alignment horizontal="left" vertical="center"/>
    </xf>
    <xf numFmtId="0" fontId="11" fillId="4" borderId="0" xfId="0" applyNumberFormat="1" applyFont="1" applyFill="1" applyBorder="1" applyAlignment="1" applyProtection="1">
      <alignment horizontal="left" vertical="center"/>
    </xf>
    <xf numFmtId="0" fontId="11" fillId="4" borderId="0" xfId="0" applyNumberFormat="1" applyFont="1" applyFill="1" applyBorder="1" applyAlignment="1" applyProtection="1">
      <alignment horizontal="center" vertical="center" wrapText="1"/>
    </xf>
    <xf numFmtId="0" fontId="18" fillId="4" borderId="0" xfId="0" applyNumberFormat="1" applyFont="1" applyFill="1" applyBorder="1" applyAlignment="1" applyProtection="1">
      <alignment horizontal="center" vertical="center" wrapText="1"/>
    </xf>
    <xf numFmtId="0" fontId="13" fillId="4" borderId="0" xfId="0" applyNumberFormat="1" applyFont="1" applyFill="1" applyBorder="1" applyAlignment="1" applyProtection="1">
      <alignment horizontal="center" wrapText="1"/>
    </xf>
    <xf numFmtId="0" fontId="11" fillId="4" borderId="0"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horizontal="left" vertical="center" wrapText="1"/>
    </xf>
    <xf numFmtId="0" fontId="12" fillId="4" borderId="0" xfId="0" applyNumberFormat="1" applyFont="1" applyFill="1" applyBorder="1" applyAlignment="1" applyProtection="1">
      <alignment horizontal="center"/>
    </xf>
    <xf numFmtId="0" fontId="14" fillId="4" borderId="0" xfId="0" applyNumberFormat="1" applyFont="1" applyFill="1" applyBorder="1" applyAlignment="1" applyProtection="1">
      <alignment horizontal="left" vertical="top"/>
    </xf>
    <xf numFmtId="14" fontId="11" fillId="4" borderId="0" xfId="0" applyNumberFormat="1" applyFont="1" applyFill="1" applyBorder="1" applyAlignment="1" applyProtection="1">
      <alignment horizontal="left" vertical="top"/>
    </xf>
    <xf numFmtId="15" fontId="14" fillId="4" borderId="0" xfId="0" applyNumberFormat="1" applyFont="1" applyFill="1" applyBorder="1" applyAlignment="1" applyProtection="1">
      <alignment horizontal="left" vertical="top"/>
    </xf>
    <xf numFmtId="0" fontId="12" fillId="4" borderId="0" xfId="0" applyNumberFormat="1" applyFont="1" applyFill="1" applyBorder="1" applyAlignment="1" applyProtection="1">
      <alignment horizontal="right" vertical="top"/>
    </xf>
    <xf numFmtId="0" fontId="14" fillId="4" borderId="14" xfId="0" applyNumberFormat="1" applyFont="1" applyFill="1" applyBorder="1" applyAlignment="1" applyProtection="1">
      <alignment horizontal="right" vertical="top"/>
    </xf>
    <xf numFmtId="0" fontId="16" fillId="4" borderId="0" xfId="0" applyNumberFormat="1" applyFont="1" applyFill="1" applyBorder="1" applyAlignment="1" applyProtection="1">
      <alignment horizontal="center" vertical="center" wrapText="1"/>
    </xf>
    <xf numFmtId="0" fontId="13" fillId="4" borderId="0" xfId="0"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left" vertical="top"/>
    </xf>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top"/>
    </xf>
    <xf numFmtId="0" fontId="8"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left" vertical="top"/>
    </xf>
    <xf numFmtId="0" fontId="8" fillId="2" borderId="1" xfId="2" applyNumberFormat="1" applyFont="1" applyFill="1" applyBorder="1" applyAlignment="1" applyProtection="1">
      <alignment horizontal="right" vertical="top"/>
    </xf>
    <xf numFmtId="14" fontId="5" fillId="2" borderId="0" xfId="2" applyNumberFormat="1" applyFont="1" applyFill="1" applyBorder="1" applyAlignment="1" applyProtection="1">
      <alignment horizontal="left" vertical="top"/>
    </xf>
    <xf numFmtId="15" fontId="8" fillId="2" borderId="0" xfId="2" applyNumberFormat="1" applyFont="1" applyFill="1" applyBorder="1" applyAlignment="1" applyProtection="1">
      <alignment horizontal="left" vertical="top"/>
    </xf>
    <xf numFmtId="0" fontId="6" fillId="2" borderId="0" xfId="2" applyNumberFormat="1" applyFont="1" applyFill="1" applyBorder="1" applyAlignment="1" applyProtection="1">
      <alignment horizontal="right" vertical="top"/>
    </xf>
    <xf numFmtId="0" fontId="14" fillId="4" borderId="0" xfId="0" applyNumberFormat="1" applyFont="1" applyFill="1" applyBorder="1" applyAlignment="1" applyProtection="1">
      <alignment horizontal="center" vertical="center"/>
    </xf>
    <xf numFmtId="0" fontId="17" fillId="4" borderId="0" xfId="0" applyNumberFormat="1" applyFont="1" applyFill="1" applyBorder="1" applyAlignment="1" applyProtection="1">
      <alignment horizontal="center"/>
    </xf>
    <xf numFmtId="0" fontId="11" fillId="4" borderId="0" xfId="0" applyNumberFormat="1" applyFont="1" applyFill="1" applyBorder="1" applyAlignment="1" applyProtection="1">
      <alignment horizontal="left" vertical="top" wrapText="1"/>
    </xf>
    <xf numFmtId="0" fontId="12" fillId="4" borderId="0" xfId="0" applyNumberFormat="1" applyFont="1" applyFill="1" applyBorder="1" applyAlignment="1" applyProtection="1">
      <alignment horizontal="center" vertical="center" wrapText="1"/>
    </xf>
    <xf numFmtId="0" fontId="47" fillId="6" borderId="0" xfId="17" applyFont="1" applyFill="1" applyBorder="1" applyAlignment="1">
      <alignment horizontal="center" vertical="center"/>
    </xf>
    <xf numFmtId="0" fontId="47" fillId="0" borderId="0" xfId="13" applyFont="1" applyFill="1" applyAlignment="1">
      <alignment horizontal="center" vertical="center"/>
    </xf>
    <xf numFmtId="14" fontId="5" fillId="6" borderId="0" xfId="13" applyNumberFormat="1" applyFont="1" applyFill="1" applyAlignment="1">
      <alignment horizontal="left" vertical="center"/>
    </xf>
    <xf numFmtId="170" fontId="47" fillId="6" borderId="0" xfId="8" applyNumberFormat="1" applyFont="1" applyFill="1" applyBorder="1" applyAlignment="1">
      <alignment horizontal="center" vertical="center"/>
    </xf>
    <xf numFmtId="2" fontId="47" fillId="6" borderId="0" xfId="17" applyNumberFormat="1" applyFont="1" applyFill="1" applyAlignment="1">
      <alignment horizontal="right" vertical="center" wrapText="1"/>
    </xf>
    <xf numFmtId="0" fontId="47" fillId="6" borderId="27" xfId="17" applyFont="1" applyFill="1" applyBorder="1" applyAlignment="1">
      <alignment horizontal="center" vertical="center"/>
    </xf>
    <xf numFmtId="0" fontId="11" fillId="3" borderId="36" xfId="0" applyNumberFormat="1" applyFont="1" applyFill="1" applyBorder="1" applyAlignment="1" applyProtection="1">
      <alignment horizontal="center" vertical="center" wrapText="1"/>
    </xf>
    <xf numFmtId="0" fontId="11" fillId="3" borderId="39" xfId="0" applyNumberFormat="1" applyFont="1" applyFill="1" applyBorder="1" applyAlignment="1" applyProtection="1">
      <alignment horizontal="center" vertical="center" wrapText="1"/>
    </xf>
    <xf numFmtId="0" fontId="11" fillId="3" borderId="37" xfId="0" applyNumberFormat="1" applyFont="1" applyFill="1" applyBorder="1" applyAlignment="1" applyProtection="1">
      <alignment horizontal="center" vertical="center" wrapText="1"/>
    </xf>
    <xf numFmtId="0" fontId="23" fillId="0" borderId="39" xfId="13" applyFont="1" applyBorder="1" applyAlignment="1">
      <alignment horizontal="center" vertical="center" wrapText="1"/>
    </xf>
    <xf numFmtId="0" fontId="23" fillId="0" borderId="40" xfId="13" applyFont="1" applyBorder="1" applyAlignment="1">
      <alignment horizontal="center" vertical="center" wrapText="1"/>
    </xf>
    <xf numFmtId="0" fontId="23" fillId="0" borderId="42" xfId="13" applyFont="1" applyBorder="1" applyAlignment="1">
      <alignment horizontal="center" vertical="center" wrapText="1"/>
    </xf>
    <xf numFmtId="0" fontId="23" fillId="0" borderId="43" xfId="13" applyFont="1" applyBorder="1" applyAlignment="1">
      <alignment horizontal="center" vertical="center" wrapText="1"/>
    </xf>
    <xf numFmtId="0" fontId="47" fillId="6" borderId="0" xfId="17" applyFont="1" applyFill="1" applyAlignment="1">
      <alignment horizontal="center" vertical="center"/>
    </xf>
    <xf numFmtId="171" fontId="47" fillId="6" borderId="0" xfId="17" applyNumberFormat="1" applyFont="1" applyFill="1" applyAlignment="1">
      <alignment horizontal="center" vertical="center"/>
    </xf>
    <xf numFmtId="0" fontId="11" fillId="3" borderId="35" xfId="0" applyNumberFormat="1" applyFont="1" applyFill="1" applyBorder="1" applyAlignment="1" applyProtection="1">
      <alignment horizontal="center" vertical="center" wrapText="1"/>
    </xf>
    <xf numFmtId="0" fontId="11" fillId="3" borderId="38" xfId="0" applyNumberFormat="1" applyFont="1" applyFill="1" applyBorder="1" applyAlignment="1" applyProtection="1">
      <alignment horizontal="center" vertical="center" wrapText="1"/>
    </xf>
    <xf numFmtId="0" fontId="43" fillId="6" borderId="0" xfId="13" applyFont="1" applyFill="1" applyAlignment="1">
      <alignment horizontal="center" wrapText="1"/>
    </xf>
    <xf numFmtId="0" fontId="44" fillId="6" borderId="0" xfId="13" applyFont="1" applyFill="1" applyAlignment="1">
      <alignment horizontal="center" vertical="center" wrapText="1"/>
    </xf>
    <xf numFmtId="0" fontId="5" fillId="6" borderId="0" xfId="13" applyFont="1" applyFill="1" applyAlignment="1">
      <alignment horizontal="center" vertical="center" wrapText="1"/>
    </xf>
    <xf numFmtId="3" fontId="43" fillId="6" borderId="0" xfId="13" applyNumberFormat="1" applyFont="1" applyFill="1" applyAlignment="1">
      <alignment horizontal="center" vertical="center" wrapText="1"/>
    </xf>
    <xf numFmtId="0" fontId="43" fillId="6" borderId="0" xfId="13" applyFont="1" applyFill="1" applyAlignment="1">
      <alignment horizontal="center" vertical="center"/>
    </xf>
    <xf numFmtId="167" fontId="8" fillId="2" borderId="0" xfId="3" applyNumberFormat="1" applyFont="1" applyFill="1" applyBorder="1" applyAlignment="1" applyProtection="1">
      <alignment horizontal="left" vertical="top"/>
    </xf>
    <xf numFmtId="0" fontId="23" fillId="6" borderId="0" xfId="13" applyFont="1" applyFill="1" applyAlignment="1">
      <alignment horizontal="left"/>
    </xf>
    <xf numFmtId="0" fontId="16" fillId="4" borderId="0" xfId="0" applyNumberFormat="1" applyFont="1" applyFill="1" applyBorder="1" applyAlignment="1" applyProtection="1">
      <alignment horizontal="center" vertical="top" wrapText="1"/>
    </xf>
    <xf numFmtId="0" fontId="13" fillId="4" borderId="0" xfId="0" applyNumberFormat="1" applyFont="1" applyFill="1" applyBorder="1" applyAlignment="1" applyProtection="1">
      <alignment horizontal="center" vertical="top" wrapText="1"/>
    </xf>
    <xf numFmtId="0" fontId="14" fillId="4" borderId="0" xfId="0" applyNumberFormat="1" applyFont="1" applyFill="1" applyBorder="1" applyAlignment="1" applyProtection="1">
      <alignment horizontal="center" vertical="center" wrapText="1"/>
    </xf>
    <xf numFmtId="0" fontId="11" fillId="3" borderId="15" xfId="0" applyNumberFormat="1" applyFont="1" applyFill="1" applyBorder="1" applyAlignment="1" applyProtection="1">
      <alignment horizontal="center" vertical="center" wrapText="1"/>
    </xf>
    <xf numFmtId="0" fontId="11" fillId="3" borderId="23" xfId="0" applyNumberFormat="1" applyFont="1" applyFill="1" applyBorder="1" applyAlignment="1" applyProtection="1">
      <alignment horizontal="center" vertical="center" wrapText="1"/>
    </xf>
    <xf numFmtId="0" fontId="11" fillId="3" borderId="16" xfId="0" applyNumberFormat="1" applyFont="1" applyFill="1" applyBorder="1" applyAlignment="1" applyProtection="1">
      <alignment horizontal="center" vertical="center" wrapText="1"/>
    </xf>
    <xf numFmtId="0" fontId="11" fillId="3" borderId="24" xfId="0" applyNumberFormat="1" applyFont="1" applyFill="1" applyBorder="1" applyAlignment="1" applyProtection="1">
      <alignment horizontal="center" vertical="center" wrapText="1"/>
    </xf>
    <xf numFmtId="0" fontId="11" fillId="3" borderId="17" xfId="0" applyNumberFormat="1" applyFont="1" applyFill="1" applyBorder="1" applyAlignment="1" applyProtection="1">
      <alignment horizontal="center" vertical="center" wrapText="1"/>
    </xf>
    <xf numFmtId="0" fontId="12" fillId="4" borderId="0" xfId="0" applyNumberFormat="1" applyFont="1" applyFill="1" applyBorder="1" applyAlignment="1" applyProtection="1">
      <alignment horizontal="center" wrapText="1"/>
    </xf>
    <xf numFmtId="14" fontId="11" fillId="4" borderId="0" xfId="0" applyNumberFormat="1" applyFont="1" applyFill="1" applyBorder="1" applyAlignment="1" applyProtection="1">
      <alignment horizontal="left" vertical="top" wrapText="1"/>
    </xf>
    <xf numFmtId="15" fontId="14" fillId="4" borderId="0" xfId="0" applyNumberFormat="1" applyFont="1" applyFill="1" applyBorder="1" applyAlignment="1" applyProtection="1">
      <alignment horizontal="left" vertical="top" wrapText="1"/>
    </xf>
    <xf numFmtId="0" fontId="14" fillId="4" borderId="14" xfId="0" applyNumberFormat="1" applyFont="1" applyFill="1" applyBorder="1" applyAlignment="1" applyProtection="1">
      <alignment horizontal="left" vertical="top" wrapText="1"/>
    </xf>
    <xf numFmtId="0" fontId="14" fillId="4" borderId="14" xfId="0" applyNumberFormat="1" applyFont="1" applyFill="1" applyBorder="1" applyAlignment="1" applyProtection="1">
      <alignment horizontal="right" vertical="top" wrapText="1"/>
    </xf>
    <xf numFmtId="0" fontId="11" fillId="4" borderId="0" xfId="0" applyNumberFormat="1" applyFont="1" applyFill="1" applyBorder="1" applyAlignment="1" applyProtection="1">
      <alignment horizontal="center" wrapText="1"/>
    </xf>
    <xf numFmtId="0" fontId="12" fillId="4" borderId="0" xfId="0" applyNumberFormat="1" applyFont="1" applyFill="1" applyBorder="1" applyAlignment="1" applyProtection="1">
      <alignment horizontal="center" vertical="center"/>
    </xf>
    <xf numFmtId="0" fontId="11" fillId="4" borderId="0" xfId="0" applyNumberFormat="1" applyFont="1" applyFill="1" applyBorder="1" applyAlignment="1" applyProtection="1">
      <alignment horizontal="right" vertical="center" wrapText="1"/>
    </xf>
    <xf numFmtId="0" fontId="18" fillId="4" borderId="0" xfId="0" applyNumberFormat="1" applyFont="1" applyFill="1" applyBorder="1" applyAlignment="1" applyProtection="1">
      <alignment horizontal="center" vertical="top" wrapText="1"/>
    </xf>
    <xf numFmtId="0" fontId="21" fillId="4" borderId="0" xfId="0" applyNumberFormat="1" applyFont="1" applyFill="1" applyBorder="1" applyAlignment="1" applyProtection="1">
      <alignment horizontal="center" vertical="center" wrapText="1"/>
    </xf>
    <xf numFmtId="0" fontId="22" fillId="4" borderId="0" xfId="0" applyNumberFormat="1" applyFont="1" applyFill="1" applyBorder="1" applyAlignment="1" applyProtection="1">
      <alignment horizontal="left" vertical="top"/>
    </xf>
    <xf numFmtId="0" fontId="11" fillId="4" borderId="0" xfId="0"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center" vertical="top"/>
    </xf>
    <xf numFmtId="0" fontId="8" fillId="2" borderId="0" xfId="2" applyNumberFormat="1" applyFont="1" applyFill="1" applyBorder="1" applyAlignment="1" applyProtection="1">
      <alignment horizontal="center" vertical="center"/>
    </xf>
    <xf numFmtId="0" fontId="8"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xf>
    <xf numFmtId="0" fontId="6" fillId="2" borderId="1" xfId="2" applyNumberFormat="1" applyFont="1" applyFill="1" applyBorder="1" applyAlignment="1" applyProtection="1">
      <alignment horizontal="right" vertical="center"/>
    </xf>
    <xf numFmtId="0" fontId="49" fillId="2" borderId="0" xfId="2" applyNumberFormat="1" applyFont="1" applyFill="1" applyBorder="1" applyAlignment="1" applyProtection="1">
      <alignment horizontal="center" vertical="top"/>
    </xf>
    <xf numFmtId="0" fontId="8" fillId="2" borderId="0" xfId="2" applyNumberFormat="1" applyFont="1" applyFill="1" applyBorder="1" applyAlignment="1" applyProtection="1">
      <alignment horizontal="left" vertical="center" wrapText="1"/>
    </xf>
    <xf numFmtId="0" fontId="4" fillId="2" borderId="0" xfId="2" applyNumberFormat="1" applyFont="1" applyFill="1" applyBorder="1" applyAlignment="1" applyProtection="1">
      <alignment horizontal="left" vertical="center"/>
    </xf>
    <xf numFmtId="0" fontId="44" fillId="2" borderId="0" xfId="2" applyNumberFormat="1" applyFont="1" applyFill="1" applyBorder="1" applyAlignment="1" applyProtection="1">
      <alignment horizontal="center" vertical="center" wrapText="1"/>
    </xf>
    <xf numFmtId="0" fontId="48" fillId="2" borderId="0" xfId="2"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center" vertical="center" wrapText="1"/>
    </xf>
    <xf numFmtId="170" fontId="14" fillId="4" borderId="6" xfId="18" applyNumberFormat="1" applyFont="1" applyFill="1" applyBorder="1" applyAlignment="1" applyProtection="1">
      <alignment horizontal="right" vertical="top"/>
    </xf>
    <xf numFmtId="170" fontId="14" fillId="4" borderId="19" xfId="18" applyNumberFormat="1" applyFont="1" applyFill="1" applyBorder="1" applyAlignment="1" applyProtection="1">
      <alignment horizontal="right" vertical="top"/>
    </xf>
  </cellXfs>
  <cellStyles count="19">
    <cellStyle name="Comma" xfId="18" builtinId="3"/>
    <cellStyle name="Comma 13" xfId="6"/>
    <cellStyle name="Comma 2" xfId="7"/>
    <cellStyle name="Comma 4" xfId="8"/>
    <cellStyle name="Currency [0] 2" xfId="9"/>
    <cellStyle name="Hyperlink" xfId="5" builtinId="8"/>
    <cellStyle name="Normal" xfId="0" builtinId="0"/>
    <cellStyle name="Normal 2" xfId="1"/>
    <cellStyle name="Normal 2 2" xfId="10"/>
    <cellStyle name="Normal 3" xfId="2"/>
    <cellStyle name="Normal 3 2" xfId="11"/>
    <cellStyle name="Normal 3 2 2" xfId="12"/>
    <cellStyle name="Normal 3 2 3" xfId="13"/>
    <cellStyle name="Normal 4" xfId="14"/>
    <cellStyle name="Normal 5" xfId="15"/>
    <cellStyle name="Normal 6" xfId="3"/>
    <cellStyle name="Normal_Bao cao tai chinh 280405" xfId="4"/>
    <cellStyle name="Normal_Bao cao tai chinh 280405 2" xfId="17"/>
    <cellStyle name="Percent 2" xfId="1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0</xdr:row>
      <xdr:rowOff>276225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0" y="0"/>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0</xdr:row>
      <xdr:rowOff>276225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0" y="0"/>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485775</xdr:colOff>
      <xdr:row>0</xdr:row>
      <xdr:rowOff>323850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9891" t="25491" r="6593" b="17647"/>
        <a:stretch>
          <a:fillRect/>
        </a:stretch>
      </xdr:blipFill>
      <xdr:spPr bwMode="auto">
        <a:xfrm>
          <a:off x="47625" y="47625"/>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9526</xdr:colOff>
      <xdr:row>66</xdr:row>
      <xdr:rowOff>9526</xdr:rowOff>
    </xdr:from>
    <xdr:to>
      <xdr:col>6</xdr:col>
      <xdr:colOff>752476</xdr:colOff>
      <xdr:row>67</xdr:row>
      <xdr:rowOff>1</xdr:rowOff>
    </xdr:to>
    <xdr:sp macro="" textlink="" fLocksText="0">
      <xdr:nvSpPr>
        <xdr:cNvPr id="3" name="Text Box 2"/>
        <xdr:cNvSpPr txBox="1">
          <a:spLocks noChangeArrowheads="1"/>
        </xdr:cNvSpPr>
      </xdr:nvSpPr>
      <xdr:spPr bwMode="auto">
        <a:xfrm>
          <a:off x="9526" y="16811626"/>
          <a:ext cx="7010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9526</xdr:colOff>
      <xdr:row>67</xdr:row>
      <xdr:rowOff>9525</xdr:rowOff>
    </xdr:from>
    <xdr:to>
      <xdr:col>6</xdr:col>
      <xdr:colOff>733426</xdr:colOff>
      <xdr:row>68</xdr:row>
      <xdr:rowOff>9525</xdr:rowOff>
    </xdr:to>
    <xdr:sp macro="" textlink="" fLocksText="0">
      <xdr:nvSpPr>
        <xdr:cNvPr id="4" name="Text Box 3"/>
        <xdr:cNvSpPr txBox="1">
          <a:spLocks noChangeArrowheads="1"/>
        </xdr:cNvSpPr>
      </xdr:nvSpPr>
      <xdr:spPr bwMode="auto">
        <a:xfrm>
          <a:off x="9526" y="17011650"/>
          <a:ext cx="69913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71</xdr:row>
      <xdr:rowOff>9525</xdr:rowOff>
    </xdr:from>
    <xdr:to>
      <xdr:col>3</xdr:col>
      <xdr:colOff>142875</xdr:colOff>
      <xdr:row>72</xdr:row>
      <xdr:rowOff>9525</xdr:rowOff>
    </xdr:to>
    <xdr:sp macro="" textlink="" fLocksText="0">
      <xdr:nvSpPr>
        <xdr:cNvPr id="5" name="Text Box 4"/>
        <xdr:cNvSpPr txBox="1">
          <a:spLocks noChangeArrowheads="1"/>
        </xdr:cNvSpPr>
      </xdr:nvSpPr>
      <xdr:spPr bwMode="auto">
        <a:xfrm>
          <a:off x="9525" y="1816417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2</xdr:col>
      <xdr:colOff>657225</xdr:colOff>
      <xdr:row>71</xdr:row>
      <xdr:rowOff>9525</xdr:rowOff>
    </xdr:from>
    <xdr:to>
      <xdr:col>6</xdr:col>
      <xdr:colOff>657225</xdr:colOff>
      <xdr:row>72</xdr:row>
      <xdr:rowOff>9525</xdr:rowOff>
    </xdr:to>
    <xdr:sp macro="" textlink="" fLocksText="0">
      <xdr:nvSpPr>
        <xdr:cNvPr id="6" name="Text Box 5"/>
        <xdr:cNvSpPr txBox="1">
          <a:spLocks noChangeArrowheads="1"/>
        </xdr:cNvSpPr>
      </xdr:nvSpPr>
      <xdr:spPr bwMode="auto">
        <a:xfrm>
          <a:off x="3114675" y="181641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72</xdr:row>
      <xdr:rowOff>9525</xdr:rowOff>
    </xdr:from>
    <xdr:to>
      <xdr:col>3</xdr:col>
      <xdr:colOff>142875</xdr:colOff>
      <xdr:row>73</xdr:row>
      <xdr:rowOff>9525</xdr:rowOff>
    </xdr:to>
    <xdr:sp macro="" textlink="" fLocksText="0">
      <xdr:nvSpPr>
        <xdr:cNvPr id="7" name="Text Box 6"/>
        <xdr:cNvSpPr txBox="1">
          <a:spLocks noChangeArrowheads="1"/>
        </xdr:cNvSpPr>
      </xdr:nvSpPr>
      <xdr:spPr bwMode="auto">
        <a:xfrm>
          <a:off x="9525" y="18326100"/>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2</xdr:col>
      <xdr:colOff>657225</xdr:colOff>
      <xdr:row>72</xdr:row>
      <xdr:rowOff>9525</xdr:rowOff>
    </xdr:from>
    <xdr:to>
      <xdr:col>6</xdr:col>
      <xdr:colOff>657225</xdr:colOff>
      <xdr:row>73</xdr:row>
      <xdr:rowOff>9525</xdr:rowOff>
    </xdr:to>
    <xdr:sp macro="" textlink="" fLocksText="0">
      <xdr:nvSpPr>
        <xdr:cNvPr id="8" name="Text Box 7"/>
        <xdr:cNvSpPr txBox="1">
          <a:spLocks noChangeArrowheads="1"/>
        </xdr:cNvSpPr>
      </xdr:nvSpPr>
      <xdr:spPr bwMode="auto">
        <a:xfrm>
          <a:off x="3114675" y="18326100"/>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76</xdr:row>
      <xdr:rowOff>9525</xdr:rowOff>
    </xdr:from>
    <xdr:to>
      <xdr:col>3</xdr:col>
      <xdr:colOff>142875</xdr:colOff>
      <xdr:row>77</xdr:row>
      <xdr:rowOff>9525</xdr:rowOff>
    </xdr:to>
    <xdr:sp macro="" textlink="" fLocksText="0">
      <xdr:nvSpPr>
        <xdr:cNvPr id="9" name="Text Box 8"/>
        <xdr:cNvSpPr txBox="1">
          <a:spLocks noChangeArrowheads="1"/>
        </xdr:cNvSpPr>
      </xdr:nvSpPr>
      <xdr:spPr bwMode="auto">
        <a:xfrm>
          <a:off x="9525" y="191262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2</xdr:col>
      <xdr:colOff>657225</xdr:colOff>
      <xdr:row>76</xdr:row>
      <xdr:rowOff>9525</xdr:rowOff>
    </xdr:from>
    <xdr:to>
      <xdr:col>6</xdr:col>
      <xdr:colOff>657225</xdr:colOff>
      <xdr:row>77</xdr:row>
      <xdr:rowOff>9525</xdr:rowOff>
    </xdr:to>
    <xdr:sp macro="" textlink="" fLocksText="0">
      <xdr:nvSpPr>
        <xdr:cNvPr id="10" name="Text Box 9"/>
        <xdr:cNvSpPr txBox="1">
          <a:spLocks noChangeArrowheads="1"/>
        </xdr:cNvSpPr>
      </xdr:nvSpPr>
      <xdr:spPr bwMode="auto">
        <a:xfrm>
          <a:off x="3114675" y="191262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9525</xdr:colOff>
      <xdr:row>77</xdr:row>
      <xdr:rowOff>9525</xdr:rowOff>
    </xdr:from>
    <xdr:to>
      <xdr:col>3</xdr:col>
      <xdr:colOff>142875</xdr:colOff>
      <xdr:row>78</xdr:row>
      <xdr:rowOff>9525</xdr:rowOff>
    </xdr:to>
    <xdr:sp macro="" textlink="" fLocksText="0">
      <xdr:nvSpPr>
        <xdr:cNvPr id="11" name="Text Box 10"/>
        <xdr:cNvSpPr txBox="1">
          <a:spLocks noChangeArrowheads="1"/>
        </xdr:cNvSpPr>
      </xdr:nvSpPr>
      <xdr:spPr bwMode="auto">
        <a:xfrm>
          <a:off x="9525" y="1928812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Phó Trưởng Phòng DVKHTC2</a:t>
          </a:r>
        </a:p>
      </xdr:txBody>
    </xdr:sp>
    <xdr:clientData/>
  </xdr:twoCellAnchor>
  <xdr:twoCellAnchor editAs="oneCell">
    <xdr:from>
      <xdr:col>2</xdr:col>
      <xdr:colOff>657225</xdr:colOff>
      <xdr:row>77</xdr:row>
      <xdr:rowOff>9525</xdr:rowOff>
    </xdr:from>
    <xdr:to>
      <xdr:col>6</xdr:col>
      <xdr:colOff>657225</xdr:colOff>
      <xdr:row>78</xdr:row>
      <xdr:rowOff>9525</xdr:rowOff>
    </xdr:to>
    <xdr:sp macro="" textlink="" fLocksText="0">
      <xdr:nvSpPr>
        <xdr:cNvPr id="12" name="Text Box 11"/>
        <xdr:cNvSpPr txBox="1">
          <a:spLocks noChangeArrowheads="1"/>
        </xdr:cNvSpPr>
      </xdr:nvSpPr>
      <xdr:spPr bwMode="auto">
        <a:xfrm>
          <a:off x="3114675" y="1928812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Tổng Giám Đốc</a:t>
          </a:r>
        </a:p>
      </xdr:txBody>
    </xdr:sp>
    <xdr:clientData/>
  </xdr:twoCellAnchor>
  <xdr:twoCellAnchor editAs="oneCell">
    <xdr:from>
      <xdr:col>0</xdr:col>
      <xdr:colOff>9525</xdr:colOff>
      <xdr:row>78</xdr:row>
      <xdr:rowOff>9525</xdr:rowOff>
    </xdr:from>
    <xdr:to>
      <xdr:col>3</xdr:col>
      <xdr:colOff>142875</xdr:colOff>
      <xdr:row>79</xdr:row>
      <xdr:rowOff>9525</xdr:rowOff>
    </xdr:to>
    <xdr:sp macro="" textlink="" fLocksText="0">
      <xdr:nvSpPr>
        <xdr:cNvPr id="13" name="Text Box 12"/>
        <xdr:cNvSpPr txBox="1">
          <a:spLocks noChangeArrowheads="1"/>
        </xdr:cNvSpPr>
      </xdr:nvSpPr>
      <xdr:spPr bwMode="auto">
        <a:xfrm>
          <a:off x="9525" y="1945005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Ngô Thùy Dương</a:t>
          </a:r>
        </a:p>
      </xdr:txBody>
    </xdr:sp>
    <xdr:clientData/>
  </xdr:twoCellAnchor>
  <xdr:twoCellAnchor editAs="oneCell">
    <xdr:from>
      <xdr:col>2</xdr:col>
      <xdr:colOff>657225</xdr:colOff>
      <xdr:row>78</xdr:row>
      <xdr:rowOff>9525</xdr:rowOff>
    </xdr:from>
    <xdr:to>
      <xdr:col>6</xdr:col>
      <xdr:colOff>657225</xdr:colOff>
      <xdr:row>79</xdr:row>
      <xdr:rowOff>9525</xdr:rowOff>
    </xdr:to>
    <xdr:sp macro="" textlink="" fLocksText="0">
      <xdr:nvSpPr>
        <xdr:cNvPr id="14" name="Text Box 13"/>
        <xdr:cNvSpPr txBox="1">
          <a:spLocks noChangeArrowheads="1"/>
        </xdr:cNvSpPr>
      </xdr:nvSpPr>
      <xdr:spPr bwMode="auto">
        <a:xfrm>
          <a:off x="3114675" y="1945005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Trần Thanh Tân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0</xdr:row>
      <xdr:rowOff>276225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0" y="0"/>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4612481" y="3886200"/>
          <a:ext cx="7946231" cy="2669381"/>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95250</xdr:colOff>
      <xdr:row>0</xdr:row>
      <xdr:rowOff>38100</xdr:rowOff>
    </xdr:from>
    <xdr:to>
      <xdr:col>1</xdr:col>
      <xdr:colOff>533400</xdr:colOff>
      <xdr:row>1</xdr:row>
      <xdr:rowOff>28575</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95250" y="38100"/>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28575</xdr:rowOff>
    </xdr:from>
    <xdr:to>
      <xdr:col>0</xdr:col>
      <xdr:colOff>790575</xdr:colOff>
      <xdr:row>1</xdr:row>
      <xdr:rowOff>19050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66675" y="28575"/>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0</xdr:row>
      <xdr:rowOff>276225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0" y="0"/>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723900" cy="276225"/>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891" t="25491" r="6593" b="17647"/>
        <a:stretch>
          <a:fillRect/>
        </a:stretch>
      </xdr:blipFill>
      <xdr:spPr bwMode="auto">
        <a:xfrm>
          <a:off x="0" y="0"/>
          <a:ext cx="7239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1</xdr:col>
      <xdr:colOff>447675</xdr:colOff>
      <xdr:row>0</xdr:row>
      <xdr:rowOff>333375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185" t="22951" r="8332" b="19672"/>
        <a:stretch/>
      </xdr:blipFill>
      <xdr:spPr bwMode="auto">
        <a:xfrm>
          <a:off x="28575" y="0"/>
          <a:ext cx="838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view="pageBreakPreview" topLeftCell="A7" zoomScale="80" zoomScaleNormal="50" zoomScaleSheetLayoutView="80" workbookViewId="0">
      <selection activeCell="H31" sqref="H31"/>
    </sheetView>
  </sheetViews>
  <sheetFormatPr defaultRowHeight="15" x14ac:dyDescent="0.25"/>
  <cols>
    <col min="1" max="1" width="11.85546875" style="160" customWidth="1"/>
    <col min="2" max="2" width="6.140625" style="160" customWidth="1"/>
    <col min="3" max="3" width="11.42578125" style="160" customWidth="1"/>
    <col min="4" max="4" width="24.28515625" style="160" customWidth="1"/>
    <col min="5" max="5" width="23.140625" style="160" customWidth="1"/>
    <col min="6" max="6" width="5.28515625" style="160" customWidth="1"/>
    <col min="7" max="7" width="24.5703125" style="160" customWidth="1"/>
    <col min="8" max="8" width="21.42578125" style="160" customWidth="1"/>
    <col min="9" max="9" width="12.85546875" style="160" customWidth="1"/>
    <col min="10" max="16384" width="9.140625" style="160"/>
  </cols>
  <sheetData>
    <row r="1" spans="1:10" ht="15.75" x14ac:dyDescent="0.25">
      <c r="A1" s="288" t="s">
        <v>930</v>
      </c>
      <c r="B1" s="288"/>
    </row>
    <row r="2" spans="1:10" ht="15.75" x14ac:dyDescent="0.25">
      <c r="C2" s="289" t="s">
        <v>931</v>
      </c>
      <c r="D2" s="290"/>
      <c r="E2" s="291"/>
    </row>
    <row r="3" spans="1:10" ht="15.75" x14ac:dyDescent="0.25">
      <c r="A3" s="161"/>
      <c r="B3" s="161"/>
      <c r="C3" s="292" t="s">
        <v>932</v>
      </c>
      <c r="D3" s="293"/>
      <c r="E3" s="294"/>
    </row>
    <row r="4" spans="1:10" x14ac:dyDescent="0.25">
      <c r="A4" s="162"/>
      <c r="B4" s="162"/>
    </row>
    <row r="5" spans="1:10" ht="15.75" x14ac:dyDescent="0.25">
      <c r="A5" s="295" t="s">
        <v>933</v>
      </c>
      <c r="B5" s="295"/>
      <c r="E5" s="163"/>
      <c r="F5" s="163"/>
      <c r="G5" s="163"/>
      <c r="H5" s="163"/>
      <c r="I5" s="163"/>
    </row>
    <row r="6" spans="1:10" ht="15.75" x14ac:dyDescent="0.25">
      <c r="A6" s="161"/>
      <c r="B6" s="161"/>
      <c r="C6" s="296" t="s">
        <v>6</v>
      </c>
      <c r="D6" s="297"/>
      <c r="E6" s="164" t="s">
        <v>934</v>
      </c>
      <c r="F6" s="165"/>
      <c r="G6" s="165"/>
      <c r="H6" s="165"/>
      <c r="I6" s="166"/>
    </row>
    <row r="7" spans="1:10" ht="15.75" x14ac:dyDescent="0.25">
      <c r="A7" s="161"/>
      <c r="B7" s="161"/>
      <c r="C7" s="286" t="s">
        <v>8</v>
      </c>
      <c r="D7" s="287"/>
      <c r="E7" s="167" t="s">
        <v>9</v>
      </c>
      <c r="F7" s="168"/>
      <c r="G7" s="168"/>
      <c r="H7" s="168"/>
      <c r="I7" s="169"/>
      <c r="J7" s="170"/>
    </row>
    <row r="8" spans="1:10" ht="15.75" x14ac:dyDescent="0.25">
      <c r="A8" s="161"/>
      <c r="B8" s="161"/>
      <c r="C8" s="304" t="s">
        <v>11</v>
      </c>
      <c r="D8" s="305"/>
      <c r="E8" s="171" t="s">
        <v>935</v>
      </c>
      <c r="F8" s="172"/>
      <c r="G8" s="172"/>
      <c r="H8" s="172"/>
      <c r="I8" s="173"/>
      <c r="J8" s="170"/>
    </row>
    <row r="9" spans="1:10" ht="15.75" x14ac:dyDescent="0.25">
      <c r="A9" s="161"/>
      <c r="B9" s="161"/>
      <c r="C9" s="286" t="s">
        <v>936</v>
      </c>
      <c r="D9" s="287"/>
      <c r="E9" s="167" t="s">
        <v>582</v>
      </c>
      <c r="F9" s="168"/>
      <c r="G9" s="168"/>
      <c r="H9" s="168"/>
      <c r="I9" s="169"/>
      <c r="J9" s="170"/>
    </row>
    <row r="10" spans="1:10" ht="15.75" x14ac:dyDescent="0.25">
      <c r="A10" s="161"/>
      <c r="B10" s="161"/>
      <c r="C10" s="304" t="s">
        <v>16</v>
      </c>
      <c r="D10" s="305"/>
      <c r="E10" s="171" t="s">
        <v>937</v>
      </c>
      <c r="F10" s="172"/>
      <c r="G10" s="172"/>
      <c r="H10" s="172"/>
      <c r="I10" s="173"/>
      <c r="J10" s="170"/>
    </row>
    <row r="11" spans="1:10" ht="15.75" x14ac:dyDescent="0.25">
      <c r="A11" s="161"/>
      <c r="B11" s="161"/>
      <c r="C11" s="286" t="s">
        <v>938</v>
      </c>
      <c r="D11" s="287"/>
      <c r="E11" s="167" t="s">
        <v>939</v>
      </c>
      <c r="F11" s="168"/>
      <c r="G11" s="168"/>
      <c r="H11" s="168"/>
      <c r="I11" s="169"/>
      <c r="J11" s="170"/>
    </row>
    <row r="12" spans="1:10" ht="15.75" x14ac:dyDescent="0.25">
      <c r="A12" s="161"/>
      <c r="B12" s="161"/>
      <c r="C12" s="304" t="s">
        <v>21</v>
      </c>
      <c r="D12" s="305"/>
      <c r="E12" s="174">
        <v>44140</v>
      </c>
      <c r="F12" s="172"/>
      <c r="G12" s="172"/>
      <c r="H12" s="172"/>
      <c r="I12" s="173"/>
      <c r="J12" s="170"/>
    </row>
    <row r="13" spans="1:10" ht="15.75" x14ac:dyDescent="0.25">
      <c r="A13" s="161"/>
      <c r="B13" s="161"/>
      <c r="C13" s="306" t="s">
        <v>22</v>
      </c>
      <c r="D13" s="293"/>
      <c r="E13" s="175">
        <v>44140</v>
      </c>
      <c r="F13" s="176"/>
      <c r="G13" s="176"/>
      <c r="H13" s="176"/>
      <c r="I13" s="177"/>
      <c r="J13" s="170"/>
    </row>
    <row r="14" spans="1:10" ht="15.75" x14ac:dyDescent="0.25">
      <c r="C14" s="163"/>
      <c r="D14" s="178"/>
      <c r="E14" s="163"/>
      <c r="F14" s="163"/>
      <c r="G14" s="163"/>
      <c r="H14" s="163"/>
      <c r="I14" s="163"/>
      <c r="J14" s="163"/>
    </row>
    <row r="15" spans="1:10" ht="15.75" x14ac:dyDescent="0.25">
      <c r="A15" s="295" t="s">
        <v>940</v>
      </c>
      <c r="B15" s="295"/>
      <c r="E15" s="163"/>
      <c r="F15" s="163"/>
      <c r="G15" s="163"/>
      <c r="H15" s="163"/>
      <c r="I15" s="163"/>
      <c r="J15" s="163"/>
    </row>
    <row r="16" spans="1:10" ht="15.75" x14ac:dyDescent="0.25">
      <c r="C16" s="307" t="s">
        <v>288</v>
      </c>
      <c r="D16" s="308"/>
      <c r="E16" s="309"/>
      <c r="G16" s="307" t="s">
        <v>941</v>
      </c>
      <c r="H16" s="308"/>
      <c r="I16" s="309"/>
    </row>
    <row r="17" spans="1:9" ht="15.75" x14ac:dyDescent="0.25">
      <c r="A17" s="163"/>
      <c r="B17" s="163"/>
      <c r="C17" s="298" t="s">
        <v>290</v>
      </c>
      <c r="D17" s="299"/>
      <c r="E17" s="300"/>
      <c r="G17" s="298" t="s">
        <v>291</v>
      </c>
      <c r="H17" s="299"/>
      <c r="I17" s="300"/>
    </row>
    <row r="18" spans="1:9" ht="15.75" x14ac:dyDescent="0.25">
      <c r="A18" s="163"/>
      <c r="B18" s="163"/>
      <c r="C18" s="298"/>
      <c r="D18" s="299"/>
      <c r="E18" s="300"/>
      <c r="G18" s="301"/>
      <c r="H18" s="302"/>
      <c r="I18" s="303"/>
    </row>
    <row r="19" spans="1:9" ht="27" customHeight="1" x14ac:dyDescent="0.25">
      <c r="A19" s="163"/>
      <c r="B19" s="163"/>
      <c r="C19" s="298"/>
      <c r="D19" s="299"/>
      <c r="E19" s="300"/>
      <c r="G19" s="301"/>
      <c r="H19" s="302"/>
      <c r="I19" s="303"/>
    </row>
    <row r="20" spans="1:9" ht="15.75" x14ac:dyDescent="0.25">
      <c r="A20" s="163"/>
      <c r="B20" s="163"/>
      <c r="C20" s="298"/>
      <c r="D20" s="299"/>
      <c r="E20" s="300"/>
      <c r="G20" s="301"/>
      <c r="H20" s="302"/>
      <c r="I20" s="303"/>
    </row>
    <row r="21" spans="1:9" ht="15.75" x14ac:dyDescent="0.25">
      <c r="A21" s="163"/>
      <c r="B21" s="163"/>
      <c r="C21" s="298"/>
      <c r="D21" s="299"/>
      <c r="E21" s="300"/>
      <c r="G21" s="301"/>
      <c r="H21" s="302"/>
      <c r="I21" s="303"/>
    </row>
    <row r="22" spans="1:9" ht="15.75" x14ac:dyDescent="0.25">
      <c r="A22" s="163"/>
      <c r="B22" s="163"/>
      <c r="C22" s="298"/>
      <c r="D22" s="299"/>
      <c r="E22" s="300"/>
      <c r="G22" s="301"/>
      <c r="H22" s="302"/>
      <c r="I22" s="303"/>
    </row>
    <row r="23" spans="1:9" ht="15.75" x14ac:dyDescent="0.25">
      <c r="A23" s="163"/>
      <c r="B23" s="163"/>
      <c r="C23" s="298"/>
      <c r="D23" s="299"/>
      <c r="E23" s="300"/>
      <c r="G23" s="301"/>
      <c r="H23" s="302"/>
      <c r="I23" s="303"/>
    </row>
    <row r="24" spans="1:9" ht="15.75" x14ac:dyDescent="0.25">
      <c r="A24" s="163"/>
      <c r="B24" s="163"/>
      <c r="C24" s="310" t="s">
        <v>935</v>
      </c>
      <c r="D24" s="311"/>
      <c r="E24" s="312"/>
      <c r="G24" s="310" t="s">
        <v>934</v>
      </c>
      <c r="H24" s="311"/>
      <c r="I24" s="312"/>
    </row>
    <row r="25" spans="1:9" ht="15.75" x14ac:dyDescent="0.25">
      <c r="A25" s="163"/>
      <c r="B25" s="163"/>
      <c r="C25" s="310" t="s">
        <v>294</v>
      </c>
      <c r="D25" s="311"/>
      <c r="E25" s="312"/>
      <c r="G25" s="310" t="s">
        <v>574</v>
      </c>
      <c r="H25" s="311"/>
      <c r="I25" s="312"/>
    </row>
    <row r="26" spans="1:9" ht="15.75" x14ac:dyDescent="0.25">
      <c r="A26" s="163"/>
      <c r="B26" s="163"/>
      <c r="C26" s="313" t="s">
        <v>942</v>
      </c>
      <c r="D26" s="314"/>
      <c r="E26" s="315"/>
      <c r="G26" s="313" t="s">
        <v>943</v>
      </c>
      <c r="H26" s="314"/>
      <c r="I26" s="315"/>
    </row>
    <row r="27" spans="1:9" ht="15.75" x14ac:dyDescent="0.25">
      <c r="A27" s="163"/>
      <c r="B27" s="163"/>
      <c r="C27" s="179"/>
      <c r="D27" s="179"/>
      <c r="E27" s="179"/>
      <c r="G27" s="180"/>
      <c r="H27" s="180"/>
      <c r="I27" s="180"/>
    </row>
    <row r="28" spans="1:9" ht="15.75" x14ac:dyDescent="0.25">
      <c r="A28" s="163"/>
      <c r="B28" s="163"/>
      <c r="C28" s="179"/>
      <c r="D28" s="179"/>
      <c r="E28" s="179"/>
      <c r="G28" s="180"/>
      <c r="H28" s="180"/>
      <c r="I28" s="180"/>
    </row>
    <row r="29" spans="1:9" ht="15.75" x14ac:dyDescent="0.25">
      <c r="A29" s="163"/>
      <c r="B29" s="163"/>
      <c r="C29" s="181" t="s">
        <v>137</v>
      </c>
      <c r="D29" s="317" t="s">
        <v>944</v>
      </c>
      <c r="E29" s="317"/>
      <c r="F29" s="317"/>
      <c r="G29" s="317"/>
      <c r="H29" s="182" t="s">
        <v>945</v>
      </c>
      <c r="I29" s="180"/>
    </row>
    <row r="30" spans="1:9" ht="15.75" x14ac:dyDescent="0.25">
      <c r="A30" s="163"/>
      <c r="B30" s="163"/>
      <c r="C30" s="181" t="s">
        <v>946</v>
      </c>
      <c r="D30" s="317" t="s">
        <v>947</v>
      </c>
      <c r="E30" s="317"/>
      <c r="F30" s="317"/>
      <c r="G30" s="317"/>
      <c r="H30" s="182"/>
      <c r="I30" s="180"/>
    </row>
    <row r="31" spans="1:9" ht="15.75" x14ac:dyDescent="0.25">
      <c r="A31" s="163"/>
      <c r="B31" s="163"/>
      <c r="C31" s="183">
        <v>1</v>
      </c>
      <c r="D31" s="318" t="s">
        <v>948</v>
      </c>
      <c r="E31" s="318"/>
      <c r="F31" s="318"/>
      <c r="G31" s="318"/>
      <c r="H31" s="184" t="s">
        <v>949</v>
      </c>
      <c r="I31" s="180"/>
    </row>
    <row r="32" spans="1:9" ht="15.75" x14ac:dyDescent="0.25">
      <c r="A32" s="163"/>
      <c r="B32" s="163"/>
      <c r="C32" s="183">
        <v>2</v>
      </c>
      <c r="D32" s="318" t="s">
        <v>950</v>
      </c>
      <c r="E32" s="318"/>
      <c r="F32" s="318"/>
      <c r="G32" s="318"/>
      <c r="H32" s="184" t="s">
        <v>951</v>
      </c>
      <c r="I32" s="180"/>
    </row>
    <row r="33" spans="1:9" ht="15.75" x14ac:dyDescent="0.25">
      <c r="A33" s="163"/>
      <c r="B33" s="163"/>
      <c r="C33" s="183">
        <v>3</v>
      </c>
      <c r="D33" s="318" t="s">
        <v>952</v>
      </c>
      <c r="E33" s="318"/>
      <c r="F33" s="318"/>
      <c r="G33" s="318"/>
      <c r="H33" s="184" t="s">
        <v>953</v>
      </c>
      <c r="I33" s="180"/>
    </row>
    <row r="34" spans="1:9" ht="15.75" x14ac:dyDescent="0.25">
      <c r="A34" s="163"/>
      <c r="B34" s="163"/>
      <c r="C34" s="183">
        <v>4</v>
      </c>
      <c r="D34" s="318" t="s">
        <v>954</v>
      </c>
      <c r="E34" s="318"/>
      <c r="F34" s="318"/>
      <c r="G34" s="318"/>
      <c r="H34" s="184" t="s">
        <v>955</v>
      </c>
      <c r="I34" s="180"/>
    </row>
    <row r="35" spans="1:9" ht="15.75" x14ac:dyDescent="0.25">
      <c r="A35" s="163"/>
      <c r="B35" s="163"/>
      <c r="C35" s="183">
        <v>5</v>
      </c>
      <c r="D35" s="318" t="s">
        <v>956</v>
      </c>
      <c r="E35" s="318"/>
      <c r="F35" s="318"/>
      <c r="G35" s="318"/>
      <c r="H35" s="184" t="s">
        <v>957</v>
      </c>
      <c r="I35" s="180"/>
    </row>
    <row r="36" spans="1:9" ht="15.75" x14ac:dyDescent="0.25">
      <c r="A36" s="163"/>
      <c r="B36" s="163"/>
      <c r="C36" s="183">
        <v>6</v>
      </c>
      <c r="D36" s="318" t="s">
        <v>958</v>
      </c>
      <c r="E36" s="318"/>
      <c r="F36" s="318"/>
      <c r="G36" s="318"/>
      <c r="H36" s="184" t="s">
        <v>959</v>
      </c>
      <c r="I36" s="180"/>
    </row>
    <row r="37" spans="1:9" ht="15.75" x14ac:dyDescent="0.25">
      <c r="A37" s="163"/>
      <c r="B37" s="163"/>
      <c r="C37" s="183">
        <v>7</v>
      </c>
      <c r="D37" s="318" t="s">
        <v>960</v>
      </c>
      <c r="E37" s="318"/>
      <c r="F37" s="318"/>
      <c r="G37" s="318"/>
      <c r="H37" s="184" t="s">
        <v>961</v>
      </c>
      <c r="I37" s="180"/>
    </row>
    <row r="38" spans="1:9" ht="15.75" x14ac:dyDescent="0.25">
      <c r="A38" s="163"/>
      <c r="B38" s="163"/>
      <c r="C38" s="183">
        <v>8</v>
      </c>
      <c r="D38" s="318" t="s">
        <v>962</v>
      </c>
      <c r="E38" s="318"/>
      <c r="F38" s="318"/>
      <c r="G38" s="318"/>
      <c r="H38" s="184" t="s">
        <v>963</v>
      </c>
      <c r="I38" s="180"/>
    </row>
    <row r="39" spans="1:9" ht="15.75" x14ac:dyDescent="0.25">
      <c r="A39" s="163"/>
      <c r="B39" s="163"/>
      <c r="C39" s="183">
        <v>9</v>
      </c>
      <c r="D39" s="318" t="s">
        <v>964</v>
      </c>
      <c r="E39" s="318"/>
      <c r="F39" s="318"/>
      <c r="G39" s="318"/>
      <c r="H39" s="184" t="s">
        <v>965</v>
      </c>
      <c r="I39" s="180"/>
    </row>
    <row r="40" spans="1:9" ht="15.75" x14ac:dyDescent="0.25">
      <c r="A40" s="163"/>
      <c r="B40" s="163"/>
      <c r="C40" s="181" t="s">
        <v>966</v>
      </c>
      <c r="D40" s="316" t="s">
        <v>967</v>
      </c>
      <c r="E40" s="316"/>
      <c r="F40" s="316"/>
      <c r="G40" s="316"/>
      <c r="H40" s="185" t="s">
        <v>968</v>
      </c>
      <c r="I40" s="180"/>
    </row>
    <row r="41" spans="1:9" ht="15.75" x14ac:dyDescent="0.25">
      <c r="A41" s="163"/>
      <c r="B41" s="163"/>
      <c r="C41" s="179"/>
      <c r="D41" s="179"/>
      <c r="E41" s="179"/>
      <c r="G41" s="180"/>
      <c r="H41" s="180"/>
      <c r="I41" s="180"/>
    </row>
    <row r="42" spans="1:9" ht="15.75" x14ac:dyDescent="0.25">
      <c r="A42" s="163"/>
      <c r="B42" s="163"/>
      <c r="C42" s="179"/>
      <c r="D42" s="179"/>
      <c r="E42" s="179"/>
      <c r="G42" s="180"/>
      <c r="H42" s="180"/>
      <c r="I42" s="180"/>
    </row>
    <row r="43" spans="1:9" ht="15.75" x14ac:dyDescent="0.25">
      <c r="A43" s="163"/>
      <c r="B43" s="163"/>
      <c r="C43" s="179"/>
      <c r="D43" s="179"/>
      <c r="E43" s="179"/>
      <c r="G43" s="180"/>
      <c r="H43" s="180"/>
      <c r="I43" s="180"/>
    </row>
    <row r="44" spans="1:9" ht="15.75" x14ac:dyDescent="0.25">
      <c r="A44" s="163"/>
      <c r="B44" s="163"/>
      <c r="C44" s="179"/>
      <c r="D44" s="179"/>
      <c r="E44" s="179"/>
      <c r="G44" s="180"/>
      <c r="H44" s="180"/>
      <c r="I44" s="180"/>
    </row>
    <row r="45" spans="1:9" ht="15.75" x14ac:dyDescent="0.25">
      <c r="A45" s="163"/>
      <c r="B45" s="163"/>
      <c r="C45" s="179"/>
      <c r="D45" s="179"/>
      <c r="E45" s="179"/>
      <c r="G45" s="180"/>
      <c r="H45" s="180"/>
      <c r="I45" s="180"/>
    </row>
    <row r="46" spans="1:9" ht="15.75" x14ac:dyDescent="0.25">
      <c r="A46" s="163"/>
      <c r="B46" s="163"/>
      <c r="C46" s="179"/>
      <c r="D46" s="179"/>
      <c r="E46" s="179"/>
      <c r="G46" s="180"/>
      <c r="H46" s="180"/>
      <c r="I46" s="180"/>
    </row>
    <row r="47" spans="1:9" ht="15.75" x14ac:dyDescent="0.25">
      <c r="A47" s="163"/>
      <c r="B47" s="163"/>
      <c r="C47" s="179"/>
      <c r="D47" s="179"/>
      <c r="E47" s="179"/>
      <c r="G47" s="180"/>
      <c r="H47" s="180"/>
      <c r="I47" s="180"/>
    </row>
    <row r="48" spans="1:9" ht="15.75" x14ac:dyDescent="0.25">
      <c r="A48" s="163"/>
      <c r="B48" s="163"/>
      <c r="C48" s="179"/>
      <c r="D48" s="179"/>
      <c r="E48" s="179"/>
      <c r="G48" s="180"/>
      <c r="H48" s="180"/>
      <c r="I48" s="180"/>
    </row>
    <row r="49" spans="1:9" ht="15.75" x14ac:dyDescent="0.25">
      <c r="A49" s="163"/>
      <c r="B49" s="163"/>
      <c r="C49" s="179"/>
      <c r="D49" s="179"/>
      <c r="E49" s="179"/>
      <c r="G49" s="180"/>
      <c r="H49" s="180"/>
      <c r="I49" s="180"/>
    </row>
    <row r="50" spans="1:9" ht="15.75" x14ac:dyDescent="0.25">
      <c r="A50" s="163"/>
      <c r="B50" s="163"/>
      <c r="C50" s="179"/>
      <c r="D50" s="179"/>
      <c r="E50" s="179"/>
      <c r="G50" s="180"/>
      <c r="H50" s="180"/>
      <c r="I50" s="180"/>
    </row>
    <row r="51" spans="1:9" ht="15.75" x14ac:dyDescent="0.25">
      <c r="A51" s="163"/>
      <c r="B51" s="163"/>
      <c r="C51" s="179"/>
      <c r="D51" s="179"/>
      <c r="E51" s="179"/>
      <c r="G51" s="180"/>
      <c r="H51" s="180"/>
      <c r="I51" s="180"/>
    </row>
    <row r="52" spans="1:9" ht="15.75" x14ac:dyDescent="0.25">
      <c r="B52" s="186"/>
      <c r="C52" s="187"/>
    </row>
    <row r="69" ht="78.75" customHeight="1" x14ac:dyDescent="0.25"/>
  </sheetData>
  <mergeCells count="37">
    <mergeCell ref="D40:G40"/>
    <mergeCell ref="D29:G29"/>
    <mergeCell ref="D30:G30"/>
    <mergeCell ref="D31:G31"/>
    <mergeCell ref="D32:G32"/>
    <mergeCell ref="D33:G33"/>
    <mergeCell ref="D34:G34"/>
    <mergeCell ref="D35:G35"/>
    <mergeCell ref="D36:G36"/>
    <mergeCell ref="D37:G37"/>
    <mergeCell ref="D38:G38"/>
    <mergeCell ref="D39:G39"/>
    <mergeCell ref="C24:E24"/>
    <mergeCell ref="G24:I24"/>
    <mergeCell ref="C25:E25"/>
    <mergeCell ref="G25:I25"/>
    <mergeCell ref="C26:E26"/>
    <mergeCell ref="G26:I26"/>
    <mergeCell ref="A15:B15"/>
    <mergeCell ref="C16:E16"/>
    <mergeCell ref="G16:I16"/>
    <mergeCell ref="C17:E17"/>
    <mergeCell ref="G17:I17"/>
    <mergeCell ref="C18:E23"/>
    <mergeCell ref="G18:I23"/>
    <mergeCell ref="C8:D8"/>
    <mergeCell ref="C9:D9"/>
    <mergeCell ref="C10:D10"/>
    <mergeCell ref="C11:D11"/>
    <mergeCell ref="C12:D12"/>
    <mergeCell ref="C13:D13"/>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A1" display="06107"/>
    <hyperlink ref="H39" location="DangHD_06182!A1" display="06182"/>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topLeftCell="A28" zoomScaleNormal="100" zoomScaleSheetLayoutView="100" workbookViewId="0">
      <selection sqref="A1:B1"/>
    </sheetView>
  </sheetViews>
  <sheetFormatPr defaultRowHeight="15" x14ac:dyDescent="0.25"/>
  <cols>
    <col min="1" max="1" width="4.28515625" style="36" customWidth="1"/>
    <col min="2" max="2" width="45.85546875" style="36" customWidth="1"/>
    <col min="3" max="3" width="9.28515625" style="36" customWidth="1"/>
    <col min="4" max="5" width="17.140625" style="36" customWidth="1"/>
    <col min="6" max="6" width="11.7109375" style="36" customWidth="1"/>
    <col min="7" max="256" width="9.140625" style="36"/>
    <col min="257" max="257" width="4.28515625" style="36" customWidth="1"/>
    <col min="258" max="258" width="45.85546875" style="36" customWidth="1"/>
    <col min="259" max="259" width="9.28515625" style="36" customWidth="1"/>
    <col min="260" max="261" width="17.140625" style="36" customWidth="1"/>
    <col min="262" max="262" width="11.7109375" style="36" customWidth="1"/>
    <col min="263" max="512" width="9.140625" style="36"/>
    <col min="513" max="513" width="4.28515625" style="36" customWidth="1"/>
    <col min="514" max="514" width="45.85546875" style="36" customWidth="1"/>
    <col min="515" max="515" width="9.28515625" style="36" customWidth="1"/>
    <col min="516" max="517" width="17.140625" style="36" customWidth="1"/>
    <col min="518" max="518" width="11.7109375" style="36" customWidth="1"/>
    <col min="519" max="768" width="9.140625" style="36"/>
    <col min="769" max="769" width="4.28515625" style="36" customWidth="1"/>
    <col min="770" max="770" width="45.85546875" style="36" customWidth="1"/>
    <col min="771" max="771" width="9.28515625" style="36" customWidth="1"/>
    <col min="772" max="773" width="17.140625" style="36" customWidth="1"/>
    <col min="774" max="774" width="11.7109375" style="36" customWidth="1"/>
    <col min="775" max="1024" width="9.140625" style="36"/>
    <col min="1025" max="1025" width="4.28515625" style="36" customWidth="1"/>
    <col min="1026" max="1026" width="45.85546875" style="36" customWidth="1"/>
    <col min="1027" max="1027" width="9.28515625" style="36" customWidth="1"/>
    <col min="1028" max="1029" width="17.140625" style="36" customWidth="1"/>
    <col min="1030" max="1030" width="11.7109375" style="36" customWidth="1"/>
    <col min="1031" max="1280" width="9.140625" style="36"/>
    <col min="1281" max="1281" width="4.28515625" style="36" customWidth="1"/>
    <col min="1282" max="1282" width="45.85546875" style="36" customWidth="1"/>
    <col min="1283" max="1283" width="9.28515625" style="36" customWidth="1"/>
    <col min="1284" max="1285" width="17.140625" style="36" customWidth="1"/>
    <col min="1286" max="1286" width="11.7109375" style="36" customWidth="1"/>
    <col min="1287" max="1536" width="9.140625" style="36"/>
    <col min="1537" max="1537" width="4.28515625" style="36" customWidth="1"/>
    <col min="1538" max="1538" width="45.85546875" style="36" customWidth="1"/>
    <col min="1539" max="1539" width="9.28515625" style="36" customWidth="1"/>
    <col min="1540" max="1541" width="17.140625" style="36" customWidth="1"/>
    <col min="1542" max="1542" width="11.7109375" style="36" customWidth="1"/>
    <col min="1543" max="1792" width="9.140625" style="36"/>
    <col min="1793" max="1793" width="4.28515625" style="36" customWidth="1"/>
    <col min="1794" max="1794" width="45.85546875" style="36" customWidth="1"/>
    <col min="1795" max="1795" width="9.28515625" style="36" customWidth="1"/>
    <col min="1796" max="1797" width="17.140625" style="36" customWidth="1"/>
    <col min="1798" max="1798" width="11.7109375" style="36" customWidth="1"/>
    <col min="1799" max="2048" width="9.140625" style="36"/>
    <col min="2049" max="2049" width="4.28515625" style="36" customWidth="1"/>
    <col min="2050" max="2050" width="45.85546875" style="36" customWidth="1"/>
    <col min="2051" max="2051" width="9.28515625" style="36" customWidth="1"/>
    <col min="2052" max="2053" width="17.140625" style="36" customWidth="1"/>
    <col min="2054" max="2054" width="11.7109375" style="36" customWidth="1"/>
    <col min="2055" max="2304" width="9.140625" style="36"/>
    <col min="2305" max="2305" width="4.28515625" style="36" customWidth="1"/>
    <col min="2306" max="2306" width="45.85546875" style="36" customWidth="1"/>
    <col min="2307" max="2307" width="9.28515625" style="36" customWidth="1"/>
    <col min="2308" max="2309" width="17.140625" style="36" customWidth="1"/>
    <col min="2310" max="2310" width="11.7109375" style="36" customWidth="1"/>
    <col min="2311" max="2560" width="9.140625" style="36"/>
    <col min="2561" max="2561" width="4.28515625" style="36" customWidth="1"/>
    <col min="2562" max="2562" width="45.85546875" style="36" customWidth="1"/>
    <col min="2563" max="2563" width="9.28515625" style="36" customWidth="1"/>
    <col min="2564" max="2565" width="17.140625" style="36" customWidth="1"/>
    <col min="2566" max="2566" width="11.7109375" style="36" customWidth="1"/>
    <col min="2567" max="2816" width="9.140625" style="36"/>
    <col min="2817" max="2817" width="4.28515625" style="36" customWidth="1"/>
    <col min="2818" max="2818" width="45.85546875" style="36" customWidth="1"/>
    <col min="2819" max="2819" width="9.28515625" style="36" customWidth="1"/>
    <col min="2820" max="2821" width="17.140625" style="36" customWidth="1"/>
    <col min="2822" max="2822" width="11.7109375" style="36" customWidth="1"/>
    <col min="2823" max="3072" width="9.140625" style="36"/>
    <col min="3073" max="3073" width="4.28515625" style="36" customWidth="1"/>
    <col min="3074" max="3074" width="45.85546875" style="36" customWidth="1"/>
    <col min="3075" max="3075" width="9.28515625" style="36" customWidth="1"/>
    <col min="3076" max="3077" width="17.140625" style="36" customWidth="1"/>
    <col min="3078" max="3078" width="11.7109375" style="36" customWidth="1"/>
    <col min="3079" max="3328" width="9.140625" style="36"/>
    <col min="3329" max="3329" width="4.28515625" style="36" customWidth="1"/>
    <col min="3330" max="3330" width="45.85546875" style="36" customWidth="1"/>
    <col min="3331" max="3331" width="9.28515625" style="36" customWidth="1"/>
    <col min="3332" max="3333" width="17.140625" style="36" customWidth="1"/>
    <col min="3334" max="3334" width="11.7109375" style="36" customWidth="1"/>
    <col min="3335" max="3584" width="9.140625" style="36"/>
    <col min="3585" max="3585" width="4.28515625" style="36" customWidth="1"/>
    <col min="3586" max="3586" width="45.85546875" style="36" customWidth="1"/>
    <col min="3587" max="3587" width="9.28515625" style="36" customWidth="1"/>
    <col min="3588" max="3589" width="17.140625" style="36" customWidth="1"/>
    <col min="3590" max="3590" width="11.7109375" style="36" customWidth="1"/>
    <col min="3591" max="3840" width="9.140625" style="36"/>
    <col min="3841" max="3841" width="4.28515625" style="36" customWidth="1"/>
    <col min="3842" max="3842" width="45.85546875" style="36" customWidth="1"/>
    <col min="3843" max="3843" width="9.28515625" style="36" customWidth="1"/>
    <col min="3844" max="3845" width="17.140625" style="36" customWidth="1"/>
    <col min="3846" max="3846" width="11.7109375" style="36" customWidth="1"/>
    <col min="3847" max="4096" width="9.140625" style="36"/>
    <col min="4097" max="4097" width="4.28515625" style="36" customWidth="1"/>
    <col min="4098" max="4098" width="45.85546875" style="36" customWidth="1"/>
    <col min="4099" max="4099" width="9.28515625" style="36" customWidth="1"/>
    <col min="4100" max="4101" width="17.140625" style="36" customWidth="1"/>
    <col min="4102" max="4102" width="11.7109375" style="36" customWidth="1"/>
    <col min="4103" max="4352" width="9.140625" style="36"/>
    <col min="4353" max="4353" width="4.28515625" style="36" customWidth="1"/>
    <col min="4354" max="4354" width="45.85546875" style="36" customWidth="1"/>
    <col min="4355" max="4355" width="9.28515625" style="36" customWidth="1"/>
    <col min="4356" max="4357" width="17.140625" style="36" customWidth="1"/>
    <col min="4358" max="4358" width="11.7109375" style="36" customWidth="1"/>
    <col min="4359" max="4608" width="9.140625" style="36"/>
    <col min="4609" max="4609" width="4.28515625" style="36" customWidth="1"/>
    <col min="4610" max="4610" width="45.85546875" style="36" customWidth="1"/>
    <col min="4611" max="4611" width="9.28515625" style="36" customWidth="1"/>
    <col min="4612" max="4613" width="17.140625" style="36" customWidth="1"/>
    <col min="4614" max="4614" width="11.7109375" style="36" customWidth="1"/>
    <col min="4615" max="4864" width="9.140625" style="36"/>
    <col min="4865" max="4865" width="4.28515625" style="36" customWidth="1"/>
    <col min="4866" max="4866" width="45.85546875" style="36" customWidth="1"/>
    <col min="4867" max="4867" width="9.28515625" style="36" customWidth="1"/>
    <col min="4868" max="4869" width="17.140625" style="36" customWidth="1"/>
    <col min="4870" max="4870" width="11.7109375" style="36" customWidth="1"/>
    <col min="4871" max="5120" width="9.140625" style="36"/>
    <col min="5121" max="5121" width="4.28515625" style="36" customWidth="1"/>
    <col min="5122" max="5122" width="45.85546875" style="36" customWidth="1"/>
    <col min="5123" max="5123" width="9.28515625" style="36" customWidth="1"/>
    <col min="5124" max="5125" width="17.140625" style="36" customWidth="1"/>
    <col min="5126" max="5126" width="11.7109375" style="36" customWidth="1"/>
    <col min="5127" max="5376" width="9.140625" style="36"/>
    <col min="5377" max="5377" width="4.28515625" style="36" customWidth="1"/>
    <col min="5378" max="5378" width="45.85546875" style="36" customWidth="1"/>
    <col min="5379" max="5379" width="9.28515625" style="36" customWidth="1"/>
    <col min="5380" max="5381" width="17.140625" style="36" customWidth="1"/>
    <col min="5382" max="5382" width="11.7109375" style="36" customWidth="1"/>
    <col min="5383" max="5632" width="9.140625" style="36"/>
    <col min="5633" max="5633" width="4.28515625" style="36" customWidth="1"/>
    <col min="5634" max="5634" width="45.85546875" style="36" customWidth="1"/>
    <col min="5635" max="5635" width="9.28515625" style="36" customWidth="1"/>
    <col min="5636" max="5637" width="17.140625" style="36" customWidth="1"/>
    <col min="5638" max="5638" width="11.7109375" style="36" customWidth="1"/>
    <col min="5639" max="5888" width="9.140625" style="36"/>
    <col min="5889" max="5889" width="4.28515625" style="36" customWidth="1"/>
    <col min="5890" max="5890" width="45.85546875" style="36" customWidth="1"/>
    <col min="5891" max="5891" width="9.28515625" style="36" customWidth="1"/>
    <col min="5892" max="5893" width="17.140625" style="36" customWidth="1"/>
    <col min="5894" max="5894" width="11.7109375" style="36" customWidth="1"/>
    <col min="5895" max="6144" width="9.140625" style="36"/>
    <col min="6145" max="6145" width="4.28515625" style="36" customWidth="1"/>
    <col min="6146" max="6146" width="45.85546875" style="36" customWidth="1"/>
    <col min="6147" max="6147" width="9.28515625" style="36" customWidth="1"/>
    <col min="6148" max="6149" width="17.140625" style="36" customWidth="1"/>
    <col min="6150" max="6150" width="11.7109375" style="36" customWidth="1"/>
    <col min="6151" max="6400" width="9.140625" style="36"/>
    <col min="6401" max="6401" width="4.28515625" style="36" customWidth="1"/>
    <col min="6402" max="6402" width="45.85546875" style="36" customWidth="1"/>
    <col min="6403" max="6403" width="9.28515625" style="36" customWidth="1"/>
    <col min="6404" max="6405" width="17.140625" style="36" customWidth="1"/>
    <col min="6406" max="6406" width="11.7109375" style="36" customWidth="1"/>
    <col min="6407" max="6656" width="9.140625" style="36"/>
    <col min="6657" max="6657" width="4.28515625" style="36" customWidth="1"/>
    <col min="6658" max="6658" width="45.85546875" style="36" customWidth="1"/>
    <col min="6659" max="6659" width="9.28515625" style="36" customWidth="1"/>
    <col min="6660" max="6661" width="17.140625" style="36" customWidth="1"/>
    <col min="6662" max="6662" width="11.7109375" style="36" customWidth="1"/>
    <col min="6663" max="6912" width="9.140625" style="36"/>
    <col min="6913" max="6913" width="4.28515625" style="36" customWidth="1"/>
    <col min="6914" max="6914" width="45.85546875" style="36" customWidth="1"/>
    <col min="6915" max="6915" width="9.28515625" style="36" customWidth="1"/>
    <col min="6916" max="6917" width="17.140625" style="36" customWidth="1"/>
    <col min="6918" max="6918" width="11.7109375" style="36" customWidth="1"/>
    <col min="6919" max="7168" width="9.140625" style="36"/>
    <col min="7169" max="7169" width="4.28515625" style="36" customWidth="1"/>
    <col min="7170" max="7170" width="45.85546875" style="36" customWidth="1"/>
    <col min="7171" max="7171" width="9.28515625" style="36" customWidth="1"/>
    <col min="7172" max="7173" width="17.140625" style="36" customWidth="1"/>
    <col min="7174" max="7174" width="11.7109375" style="36" customWidth="1"/>
    <col min="7175" max="7424" width="9.140625" style="36"/>
    <col min="7425" max="7425" width="4.28515625" style="36" customWidth="1"/>
    <col min="7426" max="7426" width="45.85546875" style="36" customWidth="1"/>
    <col min="7427" max="7427" width="9.28515625" style="36" customWidth="1"/>
    <col min="7428" max="7429" width="17.140625" style="36" customWidth="1"/>
    <col min="7430" max="7430" width="11.7109375" style="36" customWidth="1"/>
    <col min="7431" max="7680" width="9.140625" style="36"/>
    <col min="7681" max="7681" width="4.28515625" style="36" customWidth="1"/>
    <col min="7682" max="7682" width="45.85546875" style="36" customWidth="1"/>
    <col min="7683" max="7683" width="9.28515625" style="36" customWidth="1"/>
    <col min="7684" max="7685" width="17.140625" style="36" customWidth="1"/>
    <col min="7686" max="7686" width="11.7109375" style="36" customWidth="1"/>
    <col min="7687" max="7936" width="9.140625" style="36"/>
    <col min="7937" max="7937" width="4.28515625" style="36" customWidth="1"/>
    <col min="7938" max="7938" width="45.85546875" style="36" customWidth="1"/>
    <col min="7939" max="7939" width="9.28515625" style="36" customWidth="1"/>
    <col min="7940" max="7941" width="17.140625" style="36" customWidth="1"/>
    <col min="7942" max="7942" width="11.7109375" style="36" customWidth="1"/>
    <col min="7943" max="8192" width="9.140625" style="36"/>
    <col min="8193" max="8193" width="4.28515625" style="36" customWidth="1"/>
    <col min="8194" max="8194" width="45.85546875" style="36" customWidth="1"/>
    <col min="8195" max="8195" width="9.28515625" style="36" customWidth="1"/>
    <col min="8196" max="8197" width="17.140625" style="36" customWidth="1"/>
    <col min="8198" max="8198" width="11.7109375" style="36" customWidth="1"/>
    <col min="8199" max="8448" width="9.140625" style="36"/>
    <col min="8449" max="8449" width="4.28515625" style="36" customWidth="1"/>
    <col min="8450" max="8450" width="45.85546875" style="36" customWidth="1"/>
    <col min="8451" max="8451" width="9.28515625" style="36" customWidth="1"/>
    <col min="8452" max="8453" width="17.140625" style="36" customWidth="1"/>
    <col min="8454" max="8454" width="11.7109375" style="36" customWidth="1"/>
    <col min="8455" max="8704" width="9.140625" style="36"/>
    <col min="8705" max="8705" width="4.28515625" style="36" customWidth="1"/>
    <col min="8706" max="8706" width="45.85546875" style="36" customWidth="1"/>
    <col min="8707" max="8707" width="9.28515625" style="36" customWidth="1"/>
    <col min="8708" max="8709" width="17.140625" style="36" customWidth="1"/>
    <col min="8710" max="8710" width="11.7109375" style="36" customWidth="1"/>
    <col min="8711" max="8960" width="9.140625" style="36"/>
    <col min="8961" max="8961" width="4.28515625" style="36" customWidth="1"/>
    <col min="8962" max="8962" width="45.85546875" style="36" customWidth="1"/>
    <col min="8963" max="8963" width="9.28515625" style="36" customWidth="1"/>
    <col min="8964" max="8965" width="17.140625" style="36" customWidth="1"/>
    <col min="8966" max="8966" width="11.7109375" style="36" customWidth="1"/>
    <col min="8967" max="9216" width="9.140625" style="36"/>
    <col min="9217" max="9217" width="4.28515625" style="36" customWidth="1"/>
    <col min="9218" max="9218" width="45.85546875" style="36" customWidth="1"/>
    <col min="9219" max="9219" width="9.28515625" style="36" customWidth="1"/>
    <col min="9220" max="9221" width="17.140625" style="36" customWidth="1"/>
    <col min="9222" max="9222" width="11.7109375" style="36" customWidth="1"/>
    <col min="9223" max="9472" width="9.140625" style="36"/>
    <col min="9473" max="9473" width="4.28515625" style="36" customWidth="1"/>
    <col min="9474" max="9474" width="45.85546875" style="36" customWidth="1"/>
    <col min="9475" max="9475" width="9.28515625" style="36" customWidth="1"/>
    <col min="9476" max="9477" width="17.140625" style="36" customWidth="1"/>
    <col min="9478" max="9478" width="11.7109375" style="36" customWidth="1"/>
    <col min="9479" max="9728" width="9.140625" style="36"/>
    <col min="9729" max="9729" width="4.28515625" style="36" customWidth="1"/>
    <col min="9730" max="9730" width="45.85546875" style="36" customWidth="1"/>
    <col min="9731" max="9731" width="9.28515625" style="36" customWidth="1"/>
    <col min="9732" max="9733" width="17.140625" style="36" customWidth="1"/>
    <col min="9734" max="9734" width="11.7109375" style="36" customWidth="1"/>
    <col min="9735" max="9984" width="9.140625" style="36"/>
    <col min="9985" max="9985" width="4.28515625" style="36" customWidth="1"/>
    <col min="9986" max="9986" width="45.85546875" style="36" customWidth="1"/>
    <col min="9987" max="9987" width="9.28515625" style="36" customWidth="1"/>
    <col min="9988" max="9989" width="17.140625" style="36" customWidth="1"/>
    <col min="9990" max="9990" width="11.7109375" style="36" customWidth="1"/>
    <col min="9991" max="10240" width="9.140625" style="36"/>
    <col min="10241" max="10241" width="4.28515625" style="36" customWidth="1"/>
    <col min="10242" max="10242" width="45.85546875" style="36" customWidth="1"/>
    <col min="10243" max="10243" width="9.28515625" style="36" customWidth="1"/>
    <col min="10244" max="10245" width="17.140625" style="36" customWidth="1"/>
    <col min="10246" max="10246" width="11.7109375" style="36" customWidth="1"/>
    <col min="10247" max="10496" width="9.140625" style="36"/>
    <col min="10497" max="10497" width="4.28515625" style="36" customWidth="1"/>
    <col min="10498" max="10498" width="45.85546875" style="36" customWidth="1"/>
    <col min="10499" max="10499" width="9.28515625" style="36" customWidth="1"/>
    <col min="10500" max="10501" width="17.140625" style="36" customWidth="1"/>
    <col min="10502" max="10502" width="11.7109375" style="36" customWidth="1"/>
    <col min="10503" max="10752" width="9.140625" style="36"/>
    <col min="10753" max="10753" width="4.28515625" style="36" customWidth="1"/>
    <col min="10754" max="10754" width="45.85546875" style="36" customWidth="1"/>
    <col min="10755" max="10755" width="9.28515625" style="36" customWidth="1"/>
    <col min="10756" max="10757" width="17.140625" style="36" customWidth="1"/>
    <col min="10758" max="10758" width="11.7109375" style="36" customWidth="1"/>
    <col min="10759" max="11008" width="9.140625" style="36"/>
    <col min="11009" max="11009" width="4.28515625" style="36" customWidth="1"/>
    <col min="11010" max="11010" width="45.85546875" style="36" customWidth="1"/>
    <col min="11011" max="11011" width="9.28515625" style="36" customWidth="1"/>
    <col min="11012" max="11013" width="17.140625" style="36" customWidth="1"/>
    <col min="11014" max="11014" width="11.7109375" style="36" customWidth="1"/>
    <col min="11015" max="11264" width="9.140625" style="36"/>
    <col min="11265" max="11265" width="4.28515625" style="36" customWidth="1"/>
    <col min="11266" max="11266" width="45.85546875" style="36" customWidth="1"/>
    <col min="11267" max="11267" width="9.28515625" style="36" customWidth="1"/>
    <col min="11268" max="11269" width="17.140625" style="36" customWidth="1"/>
    <col min="11270" max="11270" width="11.7109375" style="36" customWidth="1"/>
    <col min="11271" max="11520" width="9.140625" style="36"/>
    <col min="11521" max="11521" width="4.28515625" style="36" customWidth="1"/>
    <col min="11522" max="11522" width="45.85546875" style="36" customWidth="1"/>
    <col min="11523" max="11523" width="9.28515625" style="36" customWidth="1"/>
    <col min="11524" max="11525" width="17.140625" style="36" customWidth="1"/>
    <col min="11526" max="11526" width="11.7109375" style="36" customWidth="1"/>
    <col min="11527" max="11776" width="9.140625" style="36"/>
    <col min="11777" max="11777" width="4.28515625" style="36" customWidth="1"/>
    <col min="11778" max="11778" width="45.85546875" style="36" customWidth="1"/>
    <col min="11779" max="11779" width="9.28515625" style="36" customWidth="1"/>
    <col min="11780" max="11781" width="17.140625" style="36" customWidth="1"/>
    <col min="11782" max="11782" width="11.7109375" style="36" customWidth="1"/>
    <col min="11783" max="12032" width="9.140625" style="36"/>
    <col min="12033" max="12033" width="4.28515625" style="36" customWidth="1"/>
    <col min="12034" max="12034" width="45.85546875" style="36" customWidth="1"/>
    <col min="12035" max="12035" width="9.28515625" style="36" customWidth="1"/>
    <col min="12036" max="12037" width="17.140625" style="36" customWidth="1"/>
    <col min="12038" max="12038" width="11.7109375" style="36" customWidth="1"/>
    <col min="12039" max="12288" width="9.140625" style="36"/>
    <col min="12289" max="12289" width="4.28515625" style="36" customWidth="1"/>
    <col min="12290" max="12290" width="45.85546875" style="36" customWidth="1"/>
    <col min="12291" max="12291" width="9.28515625" style="36" customWidth="1"/>
    <col min="12292" max="12293" width="17.140625" style="36" customWidth="1"/>
    <col min="12294" max="12294" width="11.7109375" style="36" customWidth="1"/>
    <col min="12295" max="12544" width="9.140625" style="36"/>
    <col min="12545" max="12545" width="4.28515625" style="36" customWidth="1"/>
    <col min="12546" max="12546" width="45.85546875" style="36" customWidth="1"/>
    <col min="12547" max="12547" width="9.28515625" style="36" customWidth="1"/>
    <col min="12548" max="12549" width="17.140625" style="36" customWidth="1"/>
    <col min="12550" max="12550" width="11.7109375" style="36" customWidth="1"/>
    <col min="12551" max="12800" width="9.140625" style="36"/>
    <col min="12801" max="12801" width="4.28515625" style="36" customWidth="1"/>
    <col min="12802" max="12802" width="45.85546875" style="36" customWidth="1"/>
    <col min="12803" max="12803" width="9.28515625" style="36" customWidth="1"/>
    <col min="12804" max="12805" width="17.140625" style="36" customWidth="1"/>
    <col min="12806" max="12806" width="11.7109375" style="36" customWidth="1"/>
    <col min="12807" max="13056" width="9.140625" style="36"/>
    <col min="13057" max="13057" width="4.28515625" style="36" customWidth="1"/>
    <col min="13058" max="13058" width="45.85546875" style="36" customWidth="1"/>
    <col min="13059" max="13059" width="9.28515625" style="36" customWidth="1"/>
    <col min="13060" max="13061" width="17.140625" style="36" customWidth="1"/>
    <col min="13062" max="13062" width="11.7109375" style="36" customWidth="1"/>
    <col min="13063" max="13312" width="9.140625" style="36"/>
    <col min="13313" max="13313" width="4.28515625" style="36" customWidth="1"/>
    <col min="13314" max="13314" width="45.85546875" style="36" customWidth="1"/>
    <col min="13315" max="13315" width="9.28515625" style="36" customWidth="1"/>
    <col min="13316" max="13317" width="17.140625" style="36" customWidth="1"/>
    <col min="13318" max="13318" width="11.7109375" style="36" customWidth="1"/>
    <col min="13319" max="13568" width="9.140625" style="36"/>
    <col min="13569" max="13569" width="4.28515625" style="36" customWidth="1"/>
    <col min="13570" max="13570" width="45.85546875" style="36" customWidth="1"/>
    <col min="13571" max="13571" width="9.28515625" style="36" customWidth="1"/>
    <col min="13572" max="13573" width="17.140625" style="36" customWidth="1"/>
    <col min="13574" max="13574" width="11.7109375" style="36" customWidth="1"/>
    <col min="13575" max="13824" width="9.140625" style="36"/>
    <col min="13825" max="13825" width="4.28515625" style="36" customWidth="1"/>
    <col min="13826" max="13826" width="45.85546875" style="36" customWidth="1"/>
    <col min="13827" max="13827" width="9.28515625" style="36" customWidth="1"/>
    <col min="13828" max="13829" width="17.140625" style="36" customWidth="1"/>
    <col min="13830" max="13830" width="11.7109375" style="36" customWidth="1"/>
    <col min="13831" max="14080" width="9.140625" style="36"/>
    <col min="14081" max="14081" width="4.28515625" style="36" customWidth="1"/>
    <col min="14082" max="14082" width="45.85546875" style="36" customWidth="1"/>
    <col min="14083" max="14083" width="9.28515625" style="36" customWidth="1"/>
    <col min="14084" max="14085" width="17.140625" style="36" customWidth="1"/>
    <col min="14086" max="14086" width="11.7109375" style="36" customWidth="1"/>
    <col min="14087" max="14336" width="9.140625" style="36"/>
    <col min="14337" max="14337" width="4.28515625" style="36" customWidth="1"/>
    <col min="14338" max="14338" width="45.85546875" style="36" customWidth="1"/>
    <col min="14339" max="14339" width="9.28515625" style="36" customWidth="1"/>
    <col min="14340" max="14341" width="17.140625" style="36" customWidth="1"/>
    <col min="14342" max="14342" width="11.7109375" style="36" customWidth="1"/>
    <col min="14343" max="14592" width="9.140625" style="36"/>
    <col min="14593" max="14593" width="4.28515625" style="36" customWidth="1"/>
    <col min="14594" max="14594" width="45.85546875" style="36" customWidth="1"/>
    <col min="14595" max="14595" width="9.28515625" style="36" customWidth="1"/>
    <col min="14596" max="14597" width="17.140625" style="36" customWidth="1"/>
    <col min="14598" max="14598" width="11.7109375" style="36" customWidth="1"/>
    <col min="14599" max="14848" width="9.140625" style="36"/>
    <col min="14849" max="14849" width="4.28515625" style="36" customWidth="1"/>
    <col min="14850" max="14850" width="45.85546875" style="36" customWidth="1"/>
    <col min="14851" max="14851" width="9.28515625" style="36" customWidth="1"/>
    <col min="14852" max="14853" width="17.140625" style="36" customWidth="1"/>
    <col min="14854" max="14854" width="11.7109375" style="36" customWidth="1"/>
    <col min="14855" max="15104" width="9.140625" style="36"/>
    <col min="15105" max="15105" width="4.28515625" style="36" customWidth="1"/>
    <col min="15106" max="15106" width="45.85546875" style="36" customWidth="1"/>
    <col min="15107" max="15107" width="9.28515625" style="36" customWidth="1"/>
    <col min="15108" max="15109" width="17.140625" style="36" customWidth="1"/>
    <col min="15110" max="15110" width="11.7109375" style="36" customWidth="1"/>
    <col min="15111" max="15360" width="9.140625" style="36"/>
    <col min="15361" max="15361" width="4.28515625" style="36" customWidth="1"/>
    <col min="15362" max="15362" width="45.85546875" style="36" customWidth="1"/>
    <col min="15363" max="15363" width="9.28515625" style="36" customWidth="1"/>
    <col min="15364" max="15365" width="17.140625" style="36" customWidth="1"/>
    <col min="15366" max="15366" width="11.7109375" style="36" customWidth="1"/>
    <col min="15367" max="15616" width="9.140625" style="36"/>
    <col min="15617" max="15617" width="4.28515625" style="36" customWidth="1"/>
    <col min="15618" max="15618" width="45.85546875" style="36" customWidth="1"/>
    <col min="15619" max="15619" width="9.28515625" style="36" customWidth="1"/>
    <col min="15620" max="15621" width="17.140625" style="36" customWidth="1"/>
    <col min="15622" max="15622" width="11.7109375" style="36" customWidth="1"/>
    <col min="15623" max="15872" width="9.140625" style="36"/>
    <col min="15873" max="15873" width="4.28515625" style="36" customWidth="1"/>
    <col min="15874" max="15874" width="45.85546875" style="36" customWidth="1"/>
    <col min="15875" max="15875" width="9.28515625" style="36" customWidth="1"/>
    <col min="15876" max="15877" width="17.140625" style="36" customWidth="1"/>
    <col min="15878" max="15878" width="11.7109375" style="36" customWidth="1"/>
    <col min="15879" max="16128" width="9.140625" style="36"/>
    <col min="16129" max="16129" width="4.28515625" style="36" customWidth="1"/>
    <col min="16130" max="16130" width="45.85546875" style="36" customWidth="1"/>
    <col min="16131" max="16131" width="9.28515625" style="36" customWidth="1"/>
    <col min="16132" max="16133" width="17.140625" style="36" customWidth="1"/>
    <col min="16134" max="16134" width="11.7109375" style="36" customWidth="1"/>
    <col min="16135" max="16384" width="9.140625" style="36"/>
  </cols>
  <sheetData>
    <row r="1" spans="1:6" ht="22.5" customHeight="1" x14ac:dyDescent="0.25">
      <c r="A1" s="321"/>
      <c r="B1" s="321"/>
      <c r="C1" s="333" t="s">
        <v>364</v>
      </c>
      <c r="D1" s="333"/>
      <c r="E1" s="333"/>
      <c r="F1" s="333"/>
    </row>
    <row r="2" spans="1:6" ht="41.25" customHeight="1" x14ac:dyDescent="0.25">
      <c r="A2" s="334" t="s">
        <v>365</v>
      </c>
      <c r="B2" s="334"/>
      <c r="C2" s="334"/>
      <c r="D2" s="334"/>
      <c r="E2" s="334"/>
      <c r="F2" s="334"/>
    </row>
    <row r="3" spans="1:6" ht="33" customHeight="1" x14ac:dyDescent="0.25">
      <c r="A3" s="335" t="s">
        <v>144</v>
      </c>
      <c r="B3" s="335"/>
      <c r="C3" s="335"/>
      <c r="D3" s="335"/>
      <c r="E3" s="335"/>
      <c r="F3" s="335"/>
    </row>
    <row r="4" spans="1:6" ht="23.25" customHeight="1" x14ac:dyDescent="0.25">
      <c r="A4" s="327" t="s">
        <v>366</v>
      </c>
      <c r="B4" s="327"/>
      <c r="C4" s="327"/>
      <c r="D4" s="327"/>
      <c r="E4" s="327"/>
      <c r="F4" s="327"/>
    </row>
    <row r="5" spans="1:6" ht="9" customHeight="1" x14ac:dyDescent="0.25">
      <c r="A5" s="37"/>
      <c r="B5" s="37"/>
      <c r="C5" s="37"/>
      <c r="D5" s="37"/>
      <c r="E5" s="37"/>
      <c r="F5" s="37"/>
    </row>
    <row r="6" spans="1:6" ht="12.75" customHeight="1" x14ac:dyDescent="0.25">
      <c r="A6" s="57" t="s">
        <v>5</v>
      </c>
      <c r="B6" s="85" t="s">
        <v>6</v>
      </c>
      <c r="C6" s="332" t="s">
        <v>7</v>
      </c>
      <c r="D6" s="332"/>
      <c r="E6" s="332"/>
      <c r="F6" s="332"/>
    </row>
    <row r="7" spans="1:6" ht="12.75" customHeight="1" x14ac:dyDescent="0.25">
      <c r="A7" s="37"/>
      <c r="B7" s="86" t="s">
        <v>8</v>
      </c>
      <c r="C7" s="326" t="s">
        <v>9</v>
      </c>
      <c r="D7" s="326"/>
      <c r="E7" s="326"/>
      <c r="F7" s="326"/>
    </row>
    <row r="8" spans="1:6" ht="12.75" customHeight="1" x14ac:dyDescent="0.25">
      <c r="A8" s="57" t="s">
        <v>10</v>
      </c>
      <c r="B8" s="85" t="s">
        <v>146</v>
      </c>
      <c r="C8" s="336" t="s">
        <v>12</v>
      </c>
      <c r="D8" s="336"/>
      <c r="E8" s="336"/>
      <c r="F8" s="336"/>
    </row>
    <row r="9" spans="1:6" ht="12.75" customHeight="1" x14ac:dyDescent="0.25">
      <c r="A9" s="37"/>
      <c r="B9" s="86" t="s">
        <v>13</v>
      </c>
      <c r="C9" s="337" t="s">
        <v>14</v>
      </c>
      <c r="D9" s="337"/>
      <c r="E9" s="337"/>
      <c r="F9" s="337"/>
    </row>
    <row r="10" spans="1:6" ht="12.75" customHeight="1" x14ac:dyDescent="0.25">
      <c r="A10" s="57" t="s">
        <v>15</v>
      </c>
      <c r="B10" s="85" t="s">
        <v>16</v>
      </c>
      <c r="C10" s="332" t="s">
        <v>17</v>
      </c>
      <c r="D10" s="332"/>
      <c r="E10" s="332"/>
      <c r="F10" s="332"/>
    </row>
    <row r="11" spans="1:6" ht="12.75" customHeight="1" x14ac:dyDescent="0.25">
      <c r="A11" s="37"/>
      <c r="B11" s="86" t="s">
        <v>18</v>
      </c>
      <c r="C11" s="326" t="s">
        <v>19</v>
      </c>
      <c r="D11" s="326"/>
      <c r="E11" s="326"/>
      <c r="F11" s="326"/>
    </row>
    <row r="12" spans="1:6" ht="12.75" customHeight="1" x14ac:dyDescent="0.25">
      <c r="A12" s="57" t="s">
        <v>20</v>
      </c>
      <c r="B12" s="85" t="s">
        <v>21</v>
      </c>
      <c r="C12" s="331">
        <v>44140</v>
      </c>
      <c r="D12" s="332"/>
      <c r="E12" s="332"/>
      <c r="F12" s="332"/>
    </row>
    <row r="13" spans="1:6" ht="12.75" customHeight="1" x14ac:dyDescent="0.25">
      <c r="A13" s="37"/>
      <c r="B13" s="86" t="s">
        <v>22</v>
      </c>
      <c r="C13" s="325">
        <v>44140</v>
      </c>
      <c r="D13" s="326"/>
      <c r="E13" s="326"/>
      <c r="F13" s="326"/>
    </row>
    <row r="14" spans="1:6" ht="12.75" customHeight="1" x14ac:dyDescent="0.25">
      <c r="A14" s="37"/>
      <c r="B14" s="87"/>
      <c r="C14" s="327"/>
      <c r="D14" s="327"/>
      <c r="E14" s="327"/>
      <c r="F14" s="327"/>
    </row>
    <row r="15" spans="1:6" ht="12.75" customHeight="1" x14ac:dyDescent="0.25">
      <c r="A15" s="328" t="s">
        <v>147</v>
      </c>
      <c r="B15" s="328"/>
      <c r="C15" s="328"/>
      <c r="D15" s="328"/>
      <c r="E15" s="328"/>
      <c r="F15" s="328"/>
    </row>
    <row r="16" spans="1:6" ht="12.75" customHeight="1" x14ac:dyDescent="0.25">
      <c r="A16" s="328" t="s">
        <v>367</v>
      </c>
      <c r="B16" s="328"/>
      <c r="C16" s="328"/>
      <c r="D16" s="328"/>
      <c r="E16" s="328"/>
      <c r="F16" s="37"/>
    </row>
    <row r="17" spans="1:6" ht="12.75" customHeight="1" x14ac:dyDescent="0.25">
      <c r="A17" s="88"/>
      <c r="B17" s="89"/>
      <c r="C17" s="89"/>
      <c r="D17" s="89"/>
      <c r="E17" s="329" t="s">
        <v>25</v>
      </c>
      <c r="F17" s="329"/>
    </row>
    <row r="18" spans="1:6" ht="81" customHeight="1" x14ac:dyDescent="0.25">
      <c r="A18" s="106" t="s">
        <v>149</v>
      </c>
      <c r="B18" s="107" t="s">
        <v>150</v>
      </c>
      <c r="C18" s="107" t="s">
        <v>28</v>
      </c>
      <c r="D18" s="107" t="s">
        <v>366</v>
      </c>
      <c r="E18" s="107" t="s">
        <v>368</v>
      </c>
      <c r="F18" s="108" t="s">
        <v>369</v>
      </c>
    </row>
    <row r="19" spans="1:6" ht="21" x14ac:dyDescent="0.25">
      <c r="A19" s="40" t="s">
        <v>33</v>
      </c>
      <c r="B19" s="41" t="s">
        <v>370</v>
      </c>
      <c r="C19" s="42" t="s">
        <v>371</v>
      </c>
      <c r="D19" s="77">
        <v>0</v>
      </c>
      <c r="E19" s="77">
        <v>0</v>
      </c>
      <c r="F19" s="45">
        <v>0</v>
      </c>
    </row>
    <row r="20" spans="1:6" ht="21" x14ac:dyDescent="0.25">
      <c r="A20" s="46" t="s">
        <v>372</v>
      </c>
      <c r="B20" s="47" t="s">
        <v>373</v>
      </c>
      <c r="C20" s="48" t="s">
        <v>374</v>
      </c>
      <c r="D20" s="79">
        <v>20605256713</v>
      </c>
      <c r="E20" s="79">
        <v>14866265764</v>
      </c>
      <c r="F20" s="50">
        <v>0</v>
      </c>
    </row>
    <row r="21" spans="1:6" ht="21" x14ac:dyDescent="0.25">
      <c r="A21" s="46"/>
      <c r="B21" s="47" t="s">
        <v>119</v>
      </c>
      <c r="C21" s="48" t="s">
        <v>375</v>
      </c>
      <c r="D21" s="79">
        <v>0</v>
      </c>
      <c r="E21" s="79">
        <v>0</v>
      </c>
      <c r="F21" s="50">
        <v>0</v>
      </c>
    </row>
    <row r="22" spans="1:6" ht="21" x14ac:dyDescent="0.25">
      <c r="A22" s="46"/>
      <c r="B22" s="47" t="s">
        <v>123</v>
      </c>
      <c r="C22" s="48" t="s">
        <v>376</v>
      </c>
      <c r="D22" s="79">
        <v>20605256713</v>
      </c>
      <c r="E22" s="79">
        <v>1366265764</v>
      </c>
      <c r="F22" s="50">
        <v>0</v>
      </c>
    </row>
    <row r="23" spans="1:6" ht="21" x14ac:dyDescent="0.25">
      <c r="A23" s="90"/>
      <c r="B23" s="91" t="s">
        <v>377</v>
      </c>
      <c r="C23" s="92" t="s">
        <v>378</v>
      </c>
      <c r="D23" s="93">
        <v>0</v>
      </c>
      <c r="E23" s="93">
        <v>0</v>
      </c>
      <c r="F23" s="94">
        <v>0</v>
      </c>
    </row>
    <row r="24" spans="1:6" ht="21" x14ac:dyDescent="0.25">
      <c r="A24" s="90"/>
      <c r="B24" s="91" t="s">
        <v>379</v>
      </c>
      <c r="C24" s="92" t="s">
        <v>380</v>
      </c>
      <c r="D24" s="93">
        <v>0</v>
      </c>
      <c r="E24" s="93">
        <v>0</v>
      </c>
      <c r="F24" s="94">
        <v>0</v>
      </c>
    </row>
    <row r="25" spans="1:6" ht="21" x14ac:dyDescent="0.25">
      <c r="A25" s="90"/>
      <c r="B25" s="91" t="s">
        <v>381</v>
      </c>
      <c r="C25" s="92" t="s">
        <v>382</v>
      </c>
      <c r="D25" s="93">
        <v>20605256713</v>
      </c>
      <c r="E25" s="93">
        <v>1328738761</v>
      </c>
      <c r="F25" s="94">
        <v>0</v>
      </c>
    </row>
    <row r="26" spans="1:6" ht="21" x14ac:dyDescent="0.25">
      <c r="A26" s="90"/>
      <c r="B26" s="91" t="s">
        <v>383</v>
      </c>
      <c r="C26" s="92" t="s">
        <v>384</v>
      </c>
      <c r="D26" s="93">
        <v>0</v>
      </c>
      <c r="E26" s="93">
        <v>0</v>
      </c>
      <c r="F26" s="94">
        <v>0</v>
      </c>
    </row>
    <row r="27" spans="1:6" ht="21" x14ac:dyDescent="0.25">
      <c r="A27" s="90"/>
      <c r="B27" s="91" t="s">
        <v>385</v>
      </c>
      <c r="C27" s="92" t="s">
        <v>386</v>
      </c>
      <c r="D27" s="93">
        <v>0</v>
      </c>
      <c r="E27" s="93">
        <v>37527003</v>
      </c>
      <c r="F27" s="94">
        <v>0</v>
      </c>
    </row>
    <row r="28" spans="1:6" ht="21" x14ac:dyDescent="0.25">
      <c r="A28" s="46"/>
      <c r="B28" s="47" t="s">
        <v>125</v>
      </c>
      <c r="C28" s="48" t="s">
        <v>387</v>
      </c>
      <c r="D28" s="79">
        <v>0</v>
      </c>
      <c r="E28" s="79">
        <v>13500000000</v>
      </c>
      <c r="F28" s="50">
        <v>0</v>
      </c>
    </row>
    <row r="29" spans="1:6" ht="21" x14ac:dyDescent="0.25">
      <c r="A29" s="46" t="s">
        <v>388</v>
      </c>
      <c r="B29" s="47" t="s">
        <v>389</v>
      </c>
      <c r="C29" s="48" t="s">
        <v>390</v>
      </c>
      <c r="D29" s="79">
        <v>2265804129550</v>
      </c>
      <c r="E29" s="79">
        <v>2232023736450</v>
      </c>
      <c r="F29" s="50">
        <v>0</v>
      </c>
    </row>
    <row r="30" spans="1:6" ht="21" x14ac:dyDescent="0.25">
      <c r="A30" s="46"/>
      <c r="B30" s="47" t="s">
        <v>34</v>
      </c>
      <c r="C30" s="48" t="s">
        <v>391</v>
      </c>
      <c r="D30" s="79">
        <v>2265804129550</v>
      </c>
      <c r="E30" s="79">
        <v>2232023736450</v>
      </c>
      <c r="F30" s="50">
        <v>0</v>
      </c>
    </row>
    <row r="31" spans="1:6" ht="21" x14ac:dyDescent="0.25">
      <c r="A31" s="46"/>
      <c r="B31" s="47" t="s">
        <v>392</v>
      </c>
      <c r="C31" s="48" t="s">
        <v>393</v>
      </c>
      <c r="D31" s="79">
        <v>0</v>
      </c>
      <c r="E31" s="79">
        <v>0</v>
      </c>
      <c r="F31" s="50">
        <v>0</v>
      </c>
    </row>
    <row r="32" spans="1:6" ht="21" x14ac:dyDescent="0.25">
      <c r="A32" s="46"/>
      <c r="B32" s="47" t="s">
        <v>81</v>
      </c>
      <c r="C32" s="48" t="s">
        <v>394</v>
      </c>
      <c r="D32" s="79">
        <v>0</v>
      </c>
      <c r="E32" s="79">
        <v>0</v>
      </c>
      <c r="F32" s="50">
        <v>0</v>
      </c>
    </row>
    <row r="33" spans="1:6" ht="21" x14ac:dyDescent="0.25">
      <c r="A33" s="46"/>
      <c r="B33" s="47" t="s">
        <v>395</v>
      </c>
      <c r="C33" s="48" t="s">
        <v>396</v>
      </c>
      <c r="D33" s="79">
        <v>0</v>
      </c>
      <c r="E33" s="79">
        <v>0</v>
      </c>
      <c r="F33" s="50">
        <v>0</v>
      </c>
    </row>
    <row r="34" spans="1:6" ht="21" x14ac:dyDescent="0.25">
      <c r="A34" s="46"/>
      <c r="B34" s="47" t="s">
        <v>397</v>
      </c>
      <c r="C34" s="48" t="s">
        <v>398</v>
      </c>
      <c r="D34" s="79">
        <v>0</v>
      </c>
      <c r="E34" s="79">
        <v>0</v>
      </c>
      <c r="F34" s="50">
        <v>0</v>
      </c>
    </row>
    <row r="35" spans="1:6" ht="21" x14ac:dyDescent="0.25">
      <c r="A35" s="46"/>
      <c r="B35" s="47" t="s">
        <v>399</v>
      </c>
      <c r="C35" s="48" t="s">
        <v>400</v>
      </c>
      <c r="D35" s="79">
        <v>0</v>
      </c>
      <c r="E35" s="79">
        <v>0</v>
      </c>
      <c r="F35" s="50">
        <v>0</v>
      </c>
    </row>
    <row r="36" spans="1:6" ht="21" x14ac:dyDescent="0.25">
      <c r="A36" s="46"/>
      <c r="B36" s="47" t="s">
        <v>401</v>
      </c>
      <c r="C36" s="48" t="s">
        <v>402</v>
      </c>
      <c r="D36" s="79">
        <v>0</v>
      </c>
      <c r="E36" s="79">
        <v>0</v>
      </c>
      <c r="F36" s="50">
        <v>0</v>
      </c>
    </row>
    <row r="37" spans="1:6" x14ac:dyDescent="0.25">
      <c r="A37" s="46"/>
      <c r="B37" s="47" t="s">
        <v>403</v>
      </c>
      <c r="C37" s="48" t="s">
        <v>404</v>
      </c>
      <c r="D37" s="79">
        <v>0</v>
      </c>
      <c r="E37" s="79">
        <v>0</v>
      </c>
      <c r="F37" s="50">
        <v>0</v>
      </c>
    </row>
    <row r="38" spans="1:6" ht="21" x14ac:dyDescent="0.25">
      <c r="A38" s="46" t="s">
        <v>405</v>
      </c>
      <c r="B38" s="47" t="s">
        <v>406</v>
      </c>
      <c r="C38" s="48" t="s">
        <v>407</v>
      </c>
      <c r="D38" s="79">
        <v>0</v>
      </c>
      <c r="E38" s="79">
        <v>0</v>
      </c>
      <c r="F38" s="50">
        <v>0</v>
      </c>
    </row>
    <row r="39" spans="1:6" ht="21" x14ac:dyDescent="0.25">
      <c r="A39" s="46"/>
      <c r="B39" s="47" t="s">
        <v>408</v>
      </c>
      <c r="C39" s="48" t="s">
        <v>409</v>
      </c>
      <c r="D39" s="79">
        <v>0</v>
      </c>
      <c r="E39" s="79">
        <v>0</v>
      </c>
      <c r="F39" s="50">
        <v>0</v>
      </c>
    </row>
    <row r="40" spans="1:6" ht="21" x14ac:dyDescent="0.25">
      <c r="A40" s="46"/>
      <c r="B40" s="47" t="s">
        <v>410</v>
      </c>
      <c r="C40" s="48" t="s">
        <v>411</v>
      </c>
      <c r="D40" s="79">
        <v>0</v>
      </c>
      <c r="E40" s="79">
        <v>0</v>
      </c>
      <c r="F40" s="50">
        <v>0</v>
      </c>
    </row>
    <row r="41" spans="1:6" ht="21" x14ac:dyDescent="0.25">
      <c r="A41" s="46" t="s">
        <v>412</v>
      </c>
      <c r="B41" s="47" t="s">
        <v>413</v>
      </c>
      <c r="C41" s="48" t="s">
        <v>414</v>
      </c>
      <c r="D41" s="79">
        <v>0</v>
      </c>
      <c r="E41" s="79">
        <v>13545203</v>
      </c>
      <c r="F41" s="50">
        <v>0</v>
      </c>
    </row>
    <row r="42" spans="1:6" ht="31.5" x14ac:dyDescent="0.25">
      <c r="A42" s="46"/>
      <c r="B42" s="47" t="s">
        <v>415</v>
      </c>
      <c r="C42" s="48" t="s">
        <v>416</v>
      </c>
      <c r="D42" s="79">
        <v>0</v>
      </c>
      <c r="E42" s="79">
        <v>13545203</v>
      </c>
      <c r="F42" s="50">
        <v>0</v>
      </c>
    </row>
    <row r="43" spans="1:6" ht="31.5" x14ac:dyDescent="0.25">
      <c r="A43" s="46"/>
      <c r="B43" s="47" t="s">
        <v>417</v>
      </c>
      <c r="C43" s="48" t="s">
        <v>418</v>
      </c>
      <c r="D43" s="79">
        <v>0</v>
      </c>
      <c r="E43" s="79">
        <v>0</v>
      </c>
      <c r="F43" s="50">
        <v>0</v>
      </c>
    </row>
    <row r="44" spans="1:6" ht="21" x14ac:dyDescent="0.25">
      <c r="A44" s="46"/>
      <c r="B44" s="47" t="s">
        <v>419</v>
      </c>
      <c r="C44" s="48" t="s">
        <v>420</v>
      </c>
      <c r="D44" s="79">
        <v>0</v>
      </c>
      <c r="E44" s="79">
        <v>0</v>
      </c>
      <c r="F44" s="50">
        <v>0</v>
      </c>
    </row>
    <row r="45" spans="1:6" ht="21" x14ac:dyDescent="0.25">
      <c r="A45" s="46" t="s">
        <v>421</v>
      </c>
      <c r="B45" s="47" t="s">
        <v>422</v>
      </c>
      <c r="C45" s="48" t="s">
        <v>423</v>
      </c>
      <c r="D45" s="79">
        <v>133570828500</v>
      </c>
      <c r="E45" s="79">
        <v>1581941500</v>
      </c>
      <c r="F45" s="50">
        <v>0</v>
      </c>
    </row>
    <row r="46" spans="1:6" ht="21" x14ac:dyDescent="0.25">
      <c r="A46" s="46" t="s">
        <v>424</v>
      </c>
      <c r="B46" s="47" t="s">
        <v>425</v>
      </c>
      <c r="C46" s="48" t="s">
        <v>426</v>
      </c>
      <c r="D46" s="79">
        <v>0</v>
      </c>
      <c r="E46" s="79">
        <v>0</v>
      </c>
      <c r="F46" s="50">
        <v>0</v>
      </c>
    </row>
    <row r="47" spans="1:6" ht="21" x14ac:dyDescent="0.25">
      <c r="A47" s="46"/>
      <c r="B47" s="47" t="s">
        <v>427</v>
      </c>
      <c r="C47" s="48" t="s">
        <v>428</v>
      </c>
      <c r="D47" s="79">
        <v>0</v>
      </c>
      <c r="E47" s="79">
        <v>0</v>
      </c>
      <c r="F47" s="50">
        <v>0</v>
      </c>
    </row>
    <row r="48" spans="1:6" ht="21" x14ac:dyDescent="0.25">
      <c r="A48" s="46"/>
      <c r="B48" s="47" t="s">
        <v>429</v>
      </c>
      <c r="C48" s="48" t="s">
        <v>430</v>
      </c>
      <c r="D48" s="79">
        <v>0</v>
      </c>
      <c r="E48" s="79">
        <v>0</v>
      </c>
      <c r="F48" s="50">
        <v>0</v>
      </c>
    </row>
    <row r="49" spans="1:6" ht="21" x14ac:dyDescent="0.25">
      <c r="A49" s="46"/>
      <c r="B49" s="47" t="s">
        <v>431</v>
      </c>
      <c r="C49" s="48" t="s">
        <v>432</v>
      </c>
      <c r="D49" s="79">
        <v>0</v>
      </c>
      <c r="E49" s="79">
        <v>0</v>
      </c>
      <c r="F49" s="50">
        <v>0</v>
      </c>
    </row>
    <row r="50" spans="1:6" ht="21" x14ac:dyDescent="0.25">
      <c r="A50" s="46" t="s">
        <v>433</v>
      </c>
      <c r="B50" s="47" t="s">
        <v>434</v>
      </c>
      <c r="C50" s="48" t="s">
        <v>435</v>
      </c>
      <c r="D50" s="79">
        <v>0</v>
      </c>
      <c r="E50" s="79">
        <v>0</v>
      </c>
      <c r="F50" s="50">
        <v>0</v>
      </c>
    </row>
    <row r="51" spans="1:6" ht="21" x14ac:dyDescent="0.25">
      <c r="A51" s="46"/>
      <c r="B51" s="47" t="s">
        <v>436</v>
      </c>
      <c r="C51" s="48" t="s">
        <v>437</v>
      </c>
      <c r="D51" s="79">
        <v>0</v>
      </c>
      <c r="E51" s="79">
        <v>0</v>
      </c>
      <c r="F51" s="50">
        <v>0</v>
      </c>
    </row>
    <row r="52" spans="1:6" ht="21" x14ac:dyDescent="0.25">
      <c r="A52" s="46"/>
      <c r="B52" s="47" t="s">
        <v>109</v>
      </c>
      <c r="C52" s="48" t="s">
        <v>438</v>
      </c>
      <c r="D52" s="79">
        <v>0</v>
      </c>
      <c r="E52" s="79">
        <v>0</v>
      </c>
      <c r="F52" s="50">
        <v>0</v>
      </c>
    </row>
    <row r="53" spans="1:6" ht="21" x14ac:dyDescent="0.25">
      <c r="A53" s="46"/>
      <c r="B53" s="47" t="s">
        <v>439</v>
      </c>
      <c r="C53" s="48" t="s">
        <v>440</v>
      </c>
      <c r="D53" s="79">
        <v>0</v>
      </c>
      <c r="E53" s="79">
        <v>0</v>
      </c>
      <c r="F53" s="50">
        <v>0</v>
      </c>
    </row>
    <row r="54" spans="1:6" ht="21" x14ac:dyDescent="0.25">
      <c r="A54" s="46"/>
      <c r="B54" s="47" t="s">
        <v>441</v>
      </c>
      <c r="C54" s="48" t="s">
        <v>442</v>
      </c>
      <c r="D54" s="79">
        <v>0</v>
      </c>
      <c r="E54" s="79">
        <v>0</v>
      </c>
      <c r="F54" s="50">
        <v>0</v>
      </c>
    </row>
    <row r="55" spans="1:6" ht="31.5" x14ac:dyDescent="0.25">
      <c r="A55" s="46"/>
      <c r="B55" s="47" t="s">
        <v>443</v>
      </c>
      <c r="C55" s="48" t="s">
        <v>444</v>
      </c>
      <c r="D55" s="79">
        <v>0</v>
      </c>
      <c r="E55" s="79">
        <v>0</v>
      </c>
      <c r="F55" s="50">
        <v>0</v>
      </c>
    </row>
    <row r="56" spans="1:6" ht="21" x14ac:dyDescent="0.25">
      <c r="A56" s="40" t="s">
        <v>445</v>
      </c>
      <c r="B56" s="41" t="s">
        <v>446</v>
      </c>
      <c r="C56" s="42" t="s">
        <v>447</v>
      </c>
      <c r="D56" s="77">
        <v>2419980214763</v>
      </c>
      <c r="E56" s="77">
        <v>2248485488917</v>
      </c>
      <c r="F56" s="45">
        <v>0</v>
      </c>
    </row>
    <row r="57" spans="1:6" ht="21" x14ac:dyDescent="0.25">
      <c r="A57" s="40" t="s">
        <v>73</v>
      </c>
      <c r="B57" s="41" t="s">
        <v>448</v>
      </c>
      <c r="C57" s="42" t="s">
        <v>449</v>
      </c>
      <c r="D57" s="77">
        <v>0</v>
      </c>
      <c r="E57" s="77">
        <v>0</v>
      </c>
      <c r="F57" s="45">
        <v>0</v>
      </c>
    </row>
    <row r="58" spans="1:6" ht="21" x14ac:dyDescent="0.25">
      <c r="A58" s="46" t="s">
        <v>450</v>
      </c>
      <c r="B58" s="47" t="s">
        <v>451</v>
      </c>
      <c r="C58" s="48" t="s">
        <v>452</v>
      </c>
      <c r="D58" s="79">
        <v>12302825000</v>
      </c>
      <c r="E58" s="79">
        <v>0</v>
      </c>
      <c r="F58" s="50">
        <v>0</v>
      </c>
    </row>
    <row r="59" spans="1:6" ht="21" x14ac:dyDescent="0.25">
      <c r="A59" s="46" t="s">
        <v>453</v>
      </c>
      <c r="B59" s="47" t="s">
        <v>454</v>
      </c>
      <c r="C59" s="48" t="s">
        <v>455</v>
      </c>
      <c r="D59" s="79">
        <v>2789386840</v>
      </c>
      <c r="E59" s="79">
        <v>3606492946</v>
      </c>
      <c r="F59" s="50">
        <v>0</v>
      </c>
    </row>
    <row r="60" spans="1:6" ht="21" x14ac:dyDescent="0.25">
      <c r="A60" s="46"/>
      <c r="B60" s="47" t="s">
        <v>456</v>
      </c>
      <c r="C60" s="48" t="s">
        <v>457</v>
      </c>
      <c r="D60" s="79">
        <v>91095348</v>
      </c>
      <c r="E60" s="79">
        <v>1618848411</v>
      </c>
      <c r="F60" s="50">
        <v>0</v>
      </c>
    </row>
    <row r="61" spans="1:6" ht="21" x14ac:dyDescent="0.25">
      <c r="A61" s="90"/>
      <c r="B61" s="91" t="s">
        <v>458</v>
      </c>
      <c r="C61" s="92" t="s">
        <v>459</v>
      </c>
      <c r="D61" s="93">
        <v>0</v>
      </c>
      <c r="E61" s="93">
        <v>0</v>
      </c>
      <c r="F61" s="94">
        <v>0</v>
      </c>
    </row>
    <row r="62" spans="1:6" ht="21" x14ac:dyDescent="0.25">
      <c r="A62" s="90"/>
      <c r="B62" s="91" t="s">
        <v>460</v>
      </c>
      <c r="C62" s="92" t="s">
        <v>461</v>
      </c>
      <c r="D62" s="93">
        <v>0</v>
      </c>
      <c r="E62" s="93">
        <v>0</v>
      </c>
      <c r="F62" s="94">
        <v>0</v>
      </c>
    </row>
    <row r="63" spans="1:6" ht="21" x14ac:dyDescent="0.25">
      <c r="A63" s="90"/>
      <c r="B63" s="91" t="s">
        <v>462</v>
      </c>
      <c r="C63" s="92" t="s">
        <v>463</v>
      </c>
      <c r="D63" s="93">
        <v>91095348</v>
      </c>
      <c r="E63" s="93">
        <v>1618848411</v>
      </c>
      <c r="F63" s="94">
        <v>0</v>
      </c>
    </row>
    <row r="64" spans="1:6" ht="21" x14ac:dyDescent="0.25">
      <c r="A64" s="46"/>
      <c r="B64" s="47" t="s">
        <v>464</v>
      </c>
      <c r="C64" s="48" t="s">
        <v>465</v>
      </c>
      <c r="D64" s="79">
        <v>0</v>
      </c>
      <c r="E64" s="79">
        <v>0</v>
      </c>
      <c r="F64" s="50">
        <v>0</v>
      </c>
    </row>
    <row r="65" spans="1:6" ht="42" x14ac:dyDescent="0.25">
      <c r="A65" s="46"/>
      <c r="B65" s="47" t="s">
        <v>466</v>
      </c>
      <c r="C65" s="48" t="s">
        <v>467</v>
      </c>
      <c r="D65" s="79">
        <v>0</v>
      </c>
      <c r="E65" s="79">
        <v>0</v>
      </c>
      <c r="F65" s="50">
        <v>0</v>
      </c>
    </row>
    <row r="66" spans="1:6" ht="21" x14ac:dyDescent="0.25">
      <c r="A66" s="90"/>
      <c r="B66" s="91" t="s">
        <v>468</v>
      </c>
      <c r="C66" s="92" t="s">
        <v>469</v>
      </c>
      <c r="D66" s="93">
        <v>0</v>
      </c>
      <c r="E66" s="93">
        <v>0</v>
      </c>
      <c r="F66" s="94">
        <v>0</v>
      </c>
    </row>
    <row r="67" spans="1:6" ht="42" x14ac:dyDescent="0.25">
      <c r="A67" s="90"/>
      <c r="B67" s="91" t="s">
        <v>470</v>
      </c>
      <c r="C67" s="92" t="s">
        <v>471</v>
      </c>
      <c r="D67" s="93">
        <v>0</v>
      </c>
      <c r="E67" s="93">
        <v>0</v>
      </c>
      <c r="F67" s="94">
        <v>0</v>
      </c>
    </row>
    <row r="68" spans="1:6" ht="21" x14ac:dyDescent="0.25">
      <c r="A68" s="46"/>
      <c r="B68" s="47" t="s">
        <v>472</v>
      </c>
      <c r="C68" s="48" t="s">
        <v>473</v>
      </c>
      <c r="D68" s="79">
        <v>0</v>
      </c>
      <c r="E68" s="79">
        <v>0</v>
      </c>
      <c r="F68" s="50">
        <v>0</v>
      </c>
    </row>
    <row r="69" spans="1:6" ht="21" x14ac:dyDescent="0.25">
      <c r="A69" s="46"/>
      <c r="B69" s="47" t="s">
        <v>474</v>
      </c>
      <c r="C69" s="48" t="s">
        <v>475</v>
      </c>
      <c r="D69" s="79">
        <v>12753526</v>
      </c>
      <c r="E69" s="79">
        <v>11993008</v>
      </c>
      <c r="F69" s="50">
        <v>0</v>
      </c>
    </row>
    <row r="70" spans="1:6" ht="21" x14ac:dyDescent="0.25">
      <c r="A70" s="46"/>
      <c r="B70" s="47" t="s">
        <v>476</v>
      </c>
      <c r="C70" s="48" t="s">
        <v>477</v>
      </c>
      <c r="D70" s="79">
        <v>1627889072</v>
      </c>
      <c r="E70" s="79">
        <v>1344848804</v>
      </c>
      <c r="F70" s="50">
        <v>0</v>
      </c>
    </row>
    <row r="71" spans="1:6" ht="21" x14ac:dyDescent="0.25">
      <c r="A71" s="46"/>
      <c r="B71" s="47" t="s">
        <v>478</v>
      </c>
      <c r="C71" s="48" t="s">
        <v>479</v>
      </c>
      <c r="D71" s="79">
        <v>44766946</v>
      </c>
      <c r="E71" s="79">
        <v>36983344</v>
      </c>
      <c r="F71" s="50">
        <v>0</v>
      </c>
    </row>
    <row r="72" spans="1:6" ht="21" x14ac:dyDescent="0.25">
      <c r="A72" s="46"/>
      <c r="B72" s="47" t="s">
        <v>480</v>
      </c>
      <c r="C72" s="48" t="s">
        <v>481</v>
      </c>
      <c r="D72" s="79">
        <v>89533901</v>
      </c>
      <c r="E72" s="79">
        <v>73966684</v>
      </c>
      <c r="F72" s="50">
        <v>0</v>
      </c>
    </row>
    <row r="73" spans="1:6" ht="21" x14ac:dyDescent="0.25">
      <c r="A73" s="46"/>
      <c r="B73" s="47" t="s">
        <v>482</v>
      </c>
      <c r="C73" s="48" t="s">
        <v>483</v>
      </c>
      <c r="D73" s="79">
        <v>209610458</v>
      </c>
      <c r="E73" s="79">
        <v>0</v>
      </c>
      <c r="F73" s="50">
        <v>0</v>
      </c>
    </row>
    <row r="74" spans="1:6" ht="21" x14ac:dyDescent="0.25">
      <c r="A74" s="90"/>
      <c r="B74" s="91" t="s">
        <v>484</v>
      </c>
      <c r="C74" s="92" t="s">
        <v>485</v>
      </c>
      <c r="D74" s="93">
        <v>209610458</v>
      </c>
      <c r="E74" s="93">
        <v>0</v>
      </c>
      <c r="F74" s="94">
        <v>0</v>
      </c>
    </row>
    <row r="75" spans="1:6" ht="21" x14ac:dyDescent="0.25">
      <c r="A75" s="90"/>
      <c r="B75" s="91" t="s">
        <v>486</v>
      </c>
      <c r="C75" s="92" t="s">
        <v>487</v>
      </c>
      <c r="D75" s="93">
        <v>0</v>
      </c>
      <c r="E75" s="93">
        <v>0</v>
      </c>
      <c r="F75" s="94">
        <v>0</v>
      </c>
    </row>
    <row r="76" spans="1:6" ht="21" x14ac:dyDescent="0.25">
      <c r="A76" s="46"/>
      <c r="B76" s="47" t="s">
        <v>488</v>
      </c>
      <c r="C76" s="48" t="s">
        <v>489</v>
      </c>
      <c r="D76" s="79">
        <v>44597226</v>
      </c>
      <c r="E76" s="79">
        <v>39621222</v>
      </c>
      <c r="F76" s="50">
        <v>0</v>
      </c>
    </row>
    <row r="77" spans="1:6" ht="21" x14ac:dyDescent="0.25">
      <c r="A77" s="90"/>
      <c r="B77" s="91" t="s">
        <v>182</v>
      </c>
      <c r="C77" s="92" t="s">
        <v>490</v>
      </c>
      <c r="D77" s="93">
        <v>40697226</v>
      </c>
      <c r="E77" s="93">
        <v>33621222</v>
      </c>
      <c r="F77" s="94">
        <v>0</v>
      </c>
    </row>
    <row r="78" spans="1:6" ht="21" x14ac:dyDescent="0.25">
      <c r="A78" s="90"/>
      <c r="B78" s="91" t="s">
        <v>184</v>
      </c>
      <c r="C78" s="92" t="s">
        <v>491</v>
      </c>
      <c r="D78" s="93">
        <v>3900000</v>
      </c>
      <c r="E78" s="93">
        <v>6000000</v>
      </c>
      <c r="F78" s="94">
        <v>0</v>
      </c>
    </row>
    <row r="79" spans="1:6" ht="21" x14ac:dyDescent="0.25">
      <c r="A79" s="90"/>
      <c r="B79" s="91" t="s">
        <v>186</v>
      </c>
      <c r="C79" s="92" t="s">
        <v>492</v>
      </c>
      <c r="D79" s="93">
        <v>0</v>
      </c>
      <c r="E79" s="93">
        <v>0</v>
      </c>
      <c r="F79" s="94">
        <v>0</v>
      </c>
    </row>
    <row r="80" spans="1:6" ht="42" x14ac:dyDescent="0.25">
      <c r="A80" s="90"/>
      <c r="B80" s="91" t="s">
        <v>190</v>
      </c>
      <c r="C80" s="92" t="s">
        <v>493</v>
      </c>
      <c r="D80" s="93">
        <v>0</v>
      </c>
      <c r="E80" s="93">
        <v>0</v>
      </c>
      <c r="F80" s="94">
        <v>0</v>
      </c>
    </row>
    <row r="81" spans="1:6" ht="21" x14ac:dyDescent="0.25">
      <c r="A81" s="46"/>
      <c r="B81" s="47" t="s">
        <v>494</v>
      </c>
      <c r="C81" s="48" t="s">
        <v>495</v>
      </c>
      <c r="D81" s="79">
        <v>45199050</v>
      </c>
      <c r="E81" s="79">
        <v>29037913</v>
      </c>
      <c r="F81" s="50">
        <v>0</v>
      </c>
    </row>
    <row r="82" spans="1:6" ht="21" x14ac:dyDescent="0.25">
      <c r="A82" s="46"/>
      <c r="B82" s="47" t="s">
        <v>496</v>
      </c>
      <c r="C82" s="48" t="s">
        <v>497</v>
      </c>
      <c r="D82" s="79">
        <v>0</v>
      </c>
      <c r="E82" s="79">
        <v>0</v>
      </c>
      <c r="F82" s="50">
        <v>0</v>
      </c>
    </row>
    <row r="83" spans="1:6" ht="21" x14ac:dyDescent="0.25">
      <c r="A83" s="46"/>
      <c r="B83" s="47" t="s">
        <v>498</v>
      </c>
      <c r="C83" s="48" t="s">
        <v>499</v>
      </c>
      <c r="D83" s="79">
        <v>0</v>
      </c>
      <c r="E83" s="79">
        <v>0</v>
      </c>
      <c r="F83" s="50">
        <v>0</v>
      </c>
    </row>
    <row r="84" spans="1:6" ht="21" x14ac:dyDescent="0.25">
      <c r="A84" s="46"/>
      <c r="B84" s="47" t="s">
        <v>500</v>
      </c>
      <c r="C84" s="48" t="s">
        <v>501</v>
      </c>
      <c r="D84" s="79">
        <v>5500000</v>
      </c>
      <c r="E84" s="79">
        <v>16500000</v>
      </c>
      <c r="F84" s="50">
        <v>0</v>
      </c>
    </row>
    <row r="85" spans="1:6" ht="31.5" x14ac:dyDescent="0.25">
      <c r="A85" s="46"/>
      <c r="B85" s="47" t="s">
        <v>502</v>
      </c>
      <c r="C85" s="48" t="s">
        <v>503</v>
      </c>
      <c r="D85" s="79">
        <v>315308662</v>
      </c>
      <c r="E85" s="79">
        <v>213565597</v>
      </c>
      <c r="F85" s="50">
        <v>0</v>
      </c>
    </row>
    <row r="86" spans="1:6" ht="21" x14ac:dyDescent="0.25">
      <c r="A86" s="46"/>
      <c r="B86" s="47" t="s">
        <v>504</v>
      </c>
      <c r="C86" s="48" t="s">
        <v>505</v>
      </c>
      <c r="D86" s="79">
        <v>298959431</v>
      </c>
      <c r="E86" s="79">
        <v>217564978</v>
      </c>
      <c r="F86" s="50">
        <v>0</v>
      </c>
    </row>
    <row r="87" spans="1:6" ht="21" x14ac:dyDescent="0.25">
      <c r="A87" s="46"/>
      <c r="B87" s="47" t="s">
        <v>506</v>
      </c>
      <c r="C87" s="48" t="s">
        <v>507</v>
      </c>
      <c r="D87" s="79">
        <v>4173220</v>
      </c>
      <c r="E87" s="79">
        <v>3562985</v>
      </c>
      <c r="F87" s="50">
        <v>0</v>
      </c>
    </row>
    <row r="88" spans="1:6" ht="21" x14ac:dyDescent="0.25">
      <c r="A88" s="90"/>
      <c r="B88" s="91" t="s">
        <v>508</v>
      </c>
      <c r="C88" s="92" t="s">
        <v>509</v>
      </c>
      <c r="D88" s="93">
        <v>0</v>
      </c>
      <c r="E88" s="93">
        <v>0</v>
      </c>
      <c r="F88" s="94">
        <v>0</v>
      </c>
    </row>
    <row r="89" spans="1:6" ht="31.5" x14ac:dyDescent="0.25">
      <c r="A89" s="90"/>
      <c r="B89" s="91" t="s">
        <v>510</v>
      </c>
      <c r="C89" s="92" t="s">
        <v>511</v>
      </c>
      <c r="D89" s="93">
        <v>0</v>
      </c>
      <c r="E89" s="93">
        <v>0</v>
      </c>
      <c r="F89" s="94">
        <v>0</v>
      </c>
    </row>
    <row r="90" spans="1:6" ht="21" x14ac:dyDescent="0.25">
      <c r="A90" s="90"/>
      <c r="B90" s="91" t="s">
        <v>512</v>
      </c>
      <c r="C90" s="92" t="s">
        <v>513</v>
      </c>
      <c r="D90" s="93">
        <v>4173220</v>
      </c>
      <c r="E90" s="93">
        <v>3562985</v>
      </c>
      <c r="F90" s="94">
        <v>0</v>
      </c>
    </row>
    <row r="91" spans="1:6" ht="21" x14ac:dyDescent="0.25">
      <c r="A91" s="90"/>
      <c r="B91" s="91" t="s">
        <v>514</v>
      </c>
      <c r="C91" s="92" t="s">
        <v>515</v>
      </c>
      <c r="D91" s="93">
        <v>0</v>
      </c>
      <c r="E91" s="93">
        <v>0</v>
      </c>
      <c r="F91" s="94">
        <v>0</v>
      </c>
    </row>
    <row r="92" spans="1:6" ht="21" x14ac:dyDescent="0.25">
      <c r="A92" s="46"/>
      <c r="B92" s="47" t="s">
        <v>516</v>
      </c>
      <c r="C92" s="48" t="s">
        <v>517</v>
      </c>
      <c r="D92" s="79">
        <v>0</v>
      </c>
      <c r="E92" s="79">
        <v>0</v>
      </c>
      <c r="F92" s="50">
        <v>0</v>
      </c>
    </row>
    <row r="93" spans="1:6" ht="21" x14ac:dyDescent="0.25">
      <c r="A93" s="46"/>
      <c r="B93" s="47" t="s">
        <v>518</v>
      </c>
      <c r="C93" s="48" t="s">
        <v>519</v>
      </c>
      <c r="D93" s="79">
        <v>0</v>
      </c>
      <c r="E93" s="79">
        <v>0</v>
      </c>
      <c r="F93" s="50">
        <v>0</v>
      </c>
    </row>
    <row r="94" spans="1:6" ht="21" x14ac:dyDescent="0.25">
      <c r="A94" s="46"/>
      <c r="B94" s="47" t="s">
        <v>520</v>
      </c>
      <c r="C94" s="48" t="s">
        <v>521</v>
      </c>
      <c r="D94" s="79">
        <v>0</v>
      </c>
      <c r="E94" s="79">
        <v>0</v>
      </c>
      <c r="F94" s="50">
        <v>0</v>
      </c>
    </row>
    <row r="95" spans="1:6" ht="21" x14ac:dyDescent="0.25">
      <c r="A95" s="46"/>
      <c r="B95" s="47" t="s">
        <v>522</v>
      </c>
      <c r="C95" s="48" t="s">
        <v>523</v>
      </c>
      <c r="D95" s="79">
        <v>0</v>
      </c>
      <c r="E95" s="79">
        <v>0</v>
      </c>
      <c r="F95" s="50">
        <v>0</v>
      </c>
    </row>
    <row r="96" spans="1:6" ht="21" x14ac:dyDescent="0.25">
      <c r="A96" s="46"/>
      <c r="B96" s="47" t="s">
        <v>524</v>
      </c>
      <c r="C96" s="48" t="s">
        <v>525</v>
      </c>
      <c r="D96" s="79">
        <v>0</v>
      </c>
      <c r="E96" s="79">
        <v>0</v>
      </c>
      <c r="F96" s="50">
        <v>0</v>
      </c>
    </row>
    <row r="97" spans="1:6" ht="21" x14ac:dyDescent="0.25">
      <c r="A97" s="90"/>
      <c r="B97" s="91" t="s">
        <v>526</v>
      </c>
      <c r="C97" s="92" t="s">
        <v>527</v>
      </c>
      <c r="D97" s="93">
        <v>0</v>
      </c>
      <c r="E97" s="93">
        <v>0</v>
      </c>
      <c r="F97" s="94">
        <v>0</v>
      </c>
    </row>
    <row r="98" spans="1:6" ht="21" x14ac:dyDescent="0.25">
      <c r="A98" s="90"/>
      <c r="B98" s="91" t="s">
        <v>528</v>
      </c>
      <c r="C98" s="92" t="s">
        <v>529</v>
      </c>
      <c r="D98" s="93">
        <v>0</v>
      </c>
      <c r="E98" s="93">
        <v>0</v>
      </c>
      <c r="F98" s="94">
        <v>0</v>
      </c>
    </row>
    <row r="99" spans="1:6" ht="21" x14ac:dyDescent="0.25">
      <c r="A99" s="40" t="s">
        <v>530</v>
      </c>
      <c r="B99" s="41" t="s">
        <v>531</v>
      </c>
      <c r="C99" s="42" t="s">
        <v>532</v>
      </c>
      <c r="D99" s="77">
        <v>15092211840</v>
      </c>
      <c r="E99" s="77">
        <v>3606492946</v>
      </c>
      <c r="F99" s="45">
        <v>0</v>
      </c>
    </row>
    <row r="100" spans="1:6" ht="21" x14ac:dyDescent="0.25">
      <c r="A100" s="40"/>
      <c r="B100" s="41" t="s">
        <v>533</v>
      </c>
      <c r="C100" s="42" t="s">
        <v>534</v>
      </c>
      <c r="D100" s="77">
        <v>2404888002923</v>
      </c>
      <c r="E100" s="77">
        <v>2244878995971</v>
      </c>
      <c r="F100" s="45">
        <v>0</v>
      </c>
    </row>
    <row r="101" spans="1:6" ht="21" x14ac:dyDescent="0.25">
      <c r="A101" s="40"/>
      <c r="B101" s="41" t="s">
        <v>535</v>
      </c>
      <c r="C101" s="42" t="s">
        <v>536</v>
      </c>
      <c r="D101" s="77">
        <v>176300000</v>
      </c>
      <c r="E101" s="77">
        <v>168300000</v>
      </c>
      <c r="F101" s="45"/>
    </row>
    <row r="102" spans="1:6" ht="21" x14ac:dyDescent="0.25">
      <c r="A102" s="51"/>
      <c r="B102" s="52" t="s">
        <v>537</v>
      </c>
      <c r="C102" s="53" t="s">
        <v>538</v>
      </c>
      <c r="D102" s="54">
        <v>13640.88</v>
      </c>
      <c r="E102" s="54">
        <v>13338.55</v>
      </c>
      <c r="F102" s="55">
        <v>0</v>
      </c>
    </row>
    <row r="103" spans="1:6" ht="8.25" customHeight="1" x14ac:dyDescent="0.25">
      <c r="A103" s="321"/>
      <c r="B103" s="321"/>
      <c r="C103" s="321"/>
      <c r="D103" s="321"/>
      <c r="E103" s="321"/>
      <c r="F103" s="321"/>
    </row>
    <row r="104" spans="1:6" ht="23.25" customHeight="1" x14ac:dyDescent="0.25">
      <c r="A104" s="330" t="s">
        <v>539</v>
      </c>
      <c r="B104" s="330"/>
      <c r="C104" s="330"/>
      <c r="D104" s="330"/>
      <c r="E104" s="330"/>
      <c r="F104" s="330"/>
    </row>
    <row r="105" spans="1:6" ht="6.75" customHeight="1" x14ac:dyDescent="0.25">
      <c r="A105" s="321"/>
      <c r="B105" s="321"/>
      <c r="C105" s="321"/>
      <c r="D105" s="321"/>
      <c r="E105" s="321"/>
      <c r="F105" s="321"/>
    </row>
    <row r="106" spans="1:6" ht="12.75" customHeight="1" x14ac:dyDescent="0.25">
      <c r="A106" s="322" t="s">
        <v>288</v>
      </c>
      <c r="B106" s="322"/>
      <c r="C106" s="322" t="s">
        <v>289</v>
      </c>
      <c r="D106" s="322"/>
      <c r="E106" s="322"/>
      <c r="F106" s="322"/>
    </row>
    <row r="107" spans="1:6" ht="12.75" customHeight="1" x14ac:dyDescent="0.25">
      <c r="A107" s="323" t="s">
        <v>290</v>
      </c>
      <c r="B107" s="323"/>
      <c r="C107" s="324" t="s">
        <v>291</v>
      </c>
      <c r="D107" s="324"/>
      <c r="E107" s="324"/>
      <c r="F107" s="324"/>
    </row>
    <row r="108" spans="1:6" ht="30.75" customHeight="1" x14ac:dyDescent="0.25">
      <c r="A108" s="320"/>
      <c r="B108" s="320"/>
      <c r="C108" s="320"/>
      <c r="D108" s="320"/>
      <c r="E108" s="320"/>
      <c r="F108" s="320"/>
    </row>
    <row r="109" spans="1:6" ht="15.75" customHeight="1" x14ac:dyDescent="0.25">
      <c r="A109" s="321"/>
      <c r="B109" s="321"/>
      <c r="C109" s="321"/>
      <c r="D109" s="321"/>
      <c r="E109" s="321"/>
      <c r="F109" s="321"/>
    </row>
    <row r="110" spans="1:6" ht="12.75" customHeight="1" x14ac:dyDescent="0.25">
      <c r="A110" s="322" t="s">
        <v>292</v>
      </c>
      <c r="B110" s="322"/>
      <c r="C110" s="322" t="s">
        <v>293</v>
      </c>
      <c r="D110" s="322"/>
      <c r="E110" s="322"/>
      <c r="F110" s="322"/>
    </row>
    <row r="111" spans="1:6" ht="12.75" customHeight="1" x14ac:dyDescent="0.25">
      <c r="A111" s="319" t="s">
        <v>294</v>
      </c>
      <c r="B111" s="319"/>
      <c r="C111" s="319" t="s">
        <v>295</v>
      </c>
      <c r="D111" s="319"/>
      <c r="E111" s="319"/>
      <c r="F111" s="319"/>
    </row>
    <row r="112" spans="1:6" ht="12.75" customHeight="1" x14ac:dyDescent="0.25">
      <c r="A112" s="319" t="s">
        <v>296</v>
      </c>
      <c r="B112" s="319"/>
      <c r="C112" s="319" t="s">
        <v>297</v>
      </c>
      <c r="D112" s="319"/>
      <c r="E112" s="319"/>
      <c r="F112" s="319"/>
    </row>
  </sheetData>
  <mergeCells count="36">
    <mergeCell ref="C12:F12"/>
    <mergeCell ref="A1:B1"/>
    <mergeCell ref="C1:F1"/>
    <mergeCell ref="A2:F2"/>
    <mergeCell ref="A3:F3"/>
    <mergeCell ref="A4:F4"/>
    <mergeCell ref="C6:F6"/>
    <mergeCell ref="C7:F7"/>
    <mergeCell ref="C8:F8"/>
    <mergeCell ref="C9:F9"/>
    <mergeCell ref="C10:F10"/>
    <mergeCell ref="C11:F1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1:B111"/>
    <mergeCell ref="C111:F111"/>
    <mergeCell ref="A112:B112"/>
    <mergeCell ref="C112:F112"/>
    <mergeCell ref="A108:B108"/>
    <mergeCell ref="C108:F108"/>
    <mergeCell ref="A109:B109"/>
    <mergeCell ref="C109:F109"/>
    <mergeCell ref="A110:B110"/>
    <mergeCell ref="C110:F110"/>
  </mergeCells>
  <printOptions horizontalCentered="1"/>
  <pageMargins left="0" right="0" top="0.59" bottom="0.59" header="0.5" footer="0.5"/>
  <pageSetup paperSize="9" scale="94"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61" zoomScaleNormal="100" zoomScaleSheetLayoutView="100" workbookViewId="0">
      <selection activeCell="C14" sqref="C14"/>
    </sheetView>
  </sheetViews>
  <sheetFormatPr defaultRowHeight="15" x14ac:dyDescent="0.25"/>
  <cols>
    <col min="1" max="1" width="4.28515625" style="36" customWidth="1"/>
    <col min="2" max="2" width="40.42578125" style="36" customWidth="1"/>
    <col min="3" max="3" width="9.28515625" style="36" customWidth="1"/>
    <col min="4" max="6" width="17.140625" style="36" customWidth="1"/>
    <col min="7" max="256" width="9.140625" style="36"/>
    <col min="257" max="257" width="4.28515625" style="36" customWidth="1"/>
    <col min="258" max="258" width="40.42578125" style="36" customWidth="1"/>
    <col min="259" max="259" width="9.28515625" style="36" customWidth="1"/>
    <col min="260" max="262" width="17.140625" style="36" customWidth="1"/>
    <col min="263" max="512" width="9.140625" style="36"/>
    <col min="513" max="513" width="4.28515625" style="36" customWidth="1"/>
    <col min="514" max="514" width="40.42578125" style="36" customWidth="1"/>
    <col min="515" max="515" width="9.28515625" style="36" customWidth="1"/>
    <col min="516" max="518" width="17.140625" style="36" customWidth="1"/>
    <col min="519" max="768" width="9.140625" style="36"/>
    <col min="769" max="769" width="4.28515625" style="36" customWidth="1"/>
    <col min="770" max="770" width="40.42578125" style="36" customWidth="1"/>
    <col min="771" max="771" width="9.28515625" style="36" customWidth="1"/>
    <col min="772" max="774" width="17.140625" style="36" customWidth="1"/>
    <col min="775" max="1024" width="9.140625" style="36"/>
    <col min="1025" max="1025" width="4.28515625" style="36" customWidth="1"/>
    <col min="1026" max="1026" width="40.42578125" style="36" customWidth="1"/>
    <col min="1027" max="1027" width="9.28515625" style="36" customWidth="1"/>
    <col min="1028" max="1030" width="17.140625" style="36" customWidth="1"/>
    <col min="1031" max="1280" width="9.140625" style="36"/>
    <col min="1281" max="1281" width="4.28515625" style="36" customWidth="1"/>
    <col min="1282" max="1282" width="40.42578125" style="36" customWidth="1"/>
    <col min="1283" max="1283" width="9.28515625" style="36" customWidth="1"/>
    <col min="1284" max="1286" width="17.140625" style="36" customWidth="1"/>
    <col min="1287" max="1536" width="9.140625" style="36"/>
    <col min="1537" max="1537" width="4.28515625" style="36" customWidth="1"/>
    <col min="1538" max="1538" width="40.42578125" style="36" customWidth="1"/>
    <col min="1539" max="1539" width="9.28515625" style="36" customWidth="1"/>
    <col min="1540" max="1542" width="17.140625" style="36" customWidth="1"/>
    <col min="1543" max="1792" width="9.140625" style="36"/>
    <col min="1793" max="1793" width="4.28515625" style="36" customWidth="1"/>
    <col min="1794" max="1794" width="40.42578125" style="36" customWidth="1"/>
    <col min="1795" max="1795" width="9.28515625" style="36" customWidth="1"/>
    <col min="1796" max="1798" width="17.140625" style="36" customWidth="1"/>
    <col min="1799" max="2048" width="9.140625" style="36"/>
    <col min="2049" max="2049" width="4.28515625" style="36" customWidth="1"/>
    <col min="2050" max="2050" width="40.42578125" style="36" customWidth="1"/>
    <col min="2051" max="2051" width="9.28515625" style="36" customWidth="1"/>
    <col min="2052" max="2054" width="17.140625" style="36" customWidth="1"/>
    <col min="2055" max="2304" width="9.140625" style="36"/>
    <col min="2305" max="2305" width="4.28515625" style="36" customWidth="1"/>
    <col min="2306" max="2306" width="40.42578125" style="36" customWidth="1"/>
    <col min="2307" max="2307" width="9.28515625" style="36" customWidth="1"/>
    <col min="2308" max="2310" width="17.140625" style="36" customWidth="1"/>
    <col min="2311" max="2560" width="9.140625" style="36"/>
    <col min="2561" max="2561" width="4.28515625" style="36" customWidth="1"/>
    <col min="2562" max="2562" width="40.42578125" style="36" customWidth="1"/>
    <col min="2563" max="2563" width="9.28515625" style="36" customWidth="1"/>
    <col min="2564" max="2566" width="17.140625" style="36" customWidth="1"/>
    <col min="2567" max="2816" width="9.140625" style="36"/>
    <col min="2817" max="2817" width="4.28515625" style="36" customWidth="1"/>
    <col min="2818" max="2818" width="40.42578125" style="36" customWidth="1"/>
    <col min="2819" max="2819" width="9.28515625" style="36" customWidth="1"/>
    <col min="2820" max="2822" width="17.140625" style="36" customWidth="1"/>
    <col min="2823" max="3072" width="9.140625" style="36"/>
    <col min="3073" max="3073" width="4.28515625" style="36" customWidth="1"/>
    <col min="3074" max="3074" width="40.42578125" style="36" customWidth="1"/>
    <col min="3075" max="3075" width="9.28515625" style="36" customWidth="1"/>
    <col min="3076" max="3078" width="17.140625" style="36" customWidth="1"/>
    <col min="3079" max="3328" width="9.140625" style="36"/>
    <col min="3329" max="3329" width="4.28515625" style="36" customWidth="1"/>
    <col min="3330" max="3330" width="40.42578125" style="36" customWidth="1"/>
    <col min="3331" max="3331" width="9.28515625" style="36" customWidth="1"/>
    <col min="3332" max="3334" width="17.140625" style="36" customWidth="1"/>
    <col min="3335" max="3584" width="9.140625" style="36"/>
    <col min="3585" max="3585" width="4.28515625" style="36" customWidth="1"/>
    <col min="3586" max="3586" width="40.42578125" style="36" customWidth="1"/>
    <col min="3587" max="3587" width="9.28515625" style="36" customWidth="1"/>
    <col min="3588" max="3590" width="17.140625" style="36" customWidth="1"/>
    <col min="3591" max="3840" width="9.140625" style="36"/>
    <col min="3841" max="3841" width="4.28515625" style="36" customWidth="1"/>
    <col min="3842" max="3842" width="40.42578125" style="36" customWidth="1"/>
    <col min="3843" max="3843" width="9.28515625" style="36" customWidth="1"/>
    <col min="3844" max="3846" width="17.140625" style="36" customWidth="1"/>
    <col min="3847" max="4096" width="9.140625" style="36"/>
    <col min="4097" max="4097" width="4.28515625" style="36" customWidth="1"/>
    <col min="4098" max="4098" width="40.42578125" style="36" customWidth="1"/>
    <col min="4099" max="4099" width="9.28515625" style="36" customWidth="1"/>
    <col min="4100" max="4102" width="17.140625" style="36" customWidth="1"/>
    <col min="4103" max="4352" width="9.140625" style="36"/>
    <col min="4353" max="4353" width="4.28515625" style="36" customWidth="1"/>
    <col min="4354" max="4354" width="40.42578125" style="36" customWidth="1"/>
    <col min="4355" max="4355" width="9.28515625" style="36" customWidth="1"/>
    <col min="4356" max="4358" width="17.140625" style="36" customWidth="1"/>
    <col min="4359" max="4608" width="9.140625" style="36"/>
    <col min="4609" max="4609" width="4.28515625" style="36" customWidth="1"/>
    <col min="4610" max="4610" width="40.42578125" style="36" customWidth="1"/>
    <col min="4611" max="4611" width="9.28515625" style="36" customWidth="1"/>
    <col min="4612" max="4614" width="17.140625" style="36" customWidth="1"/>
    <col min="4615" max="4864" width="9.140625" style="36"/>
    <col min="4865" max="4865" width="4.28515625" style="36" customWidth="1"/>
    <col min="4866" max="4866" width="40.42578125" style="36" customWidth="1"/>
    <col min="4867" max="4867" width="9.28515625" style="36" customWidth="1"/>
    <col min="4868" max="4870" width="17.140625" style="36" customWidth="1"/>
    <col min="4871" max="5120" width="9.140625" style="36"/>
    <col min="5121" max="5121" width="4.28515625" style="36" customWidth="1"/>
    <col min="5122" max="5122" width="40.42578125" style="36" customWidth="1"/>
    <col min="5123" max="5123" width="9.28515625" style="36" customWidth="1"/>
    <col min="5124" max="5126" width="17.140625" style="36" customWidth="1"/>
    <col min="5127" max="5376" width="9.140625" style="36"/>
    <col min="5377" max="5377" width="4.28515625" style="36" customWidth="1"/>
    <col min="5378" max="5378" width="40.42578125" style="36" customWidth="1"/>
    <col min="5379" max="5379" width="9.28515625" style="36" customWidth="1"/>
    <col min="5380" max="5382" width="17.140625" style="36" customWidth="1"/>
    <col min="5383" max="5632" width="9.140625" style="36"/>
    <col min="5633" max="5633" width="4.28515625" style="36" customWidth="1"/>
    <col min="5634" max="5634" width="40.42578125" style="36" customWidth="1"/>
    <col min="5635" max="5635" width="9.28515625" style="36" customWidth="1"/>
    <col min="5636" max="5638" width="17.140625" style="36" customWidth="1"/>
    <col min="5639" max="5888" width="9.140625" style="36"/>
    <col min="5889" max="5889" width="4.28515625" style="36" customWidth="1"/>
    <col min="5890" max="5890" width="40.42578125" style="36" customWidth="1"/>
    <col min="5891" max="5891" width="9.28515625" style="36" customWidth="1"/>
    <col min="5892" max="5894" width="17.140625" style="36" customWidth="1"/>
    <col min="5895" max="6144" width="9.140625" style="36"/>
    <col min="6145" max="6145" width="4.28515625" style="36" customWidth="1"/>
    <col min="6146" max="6146" width="40.42578125" style="36" customWidth="1"/>
    <col min="6147" max="6147" width="9.28515625" style="36" customWidth="1"/>
    <col min="6148" max="6150" width="17.140625" style="36" customWidth="1"/>
    <col min="6151" max="6400" width="9.140625" style="36"/>
    <col min="6401" max="6401" width="4.28515625" style="36" customWidth="1"/>
    <col min="6402" max="6402" width="40.42578125" style="36" customWidth="1"/>
    <col min="6403" max="6403" width="9.28515625" style="36" customWidth="1"/>
    <col min="6404" max="6406" width="17.140625" style="36" customWidth="1"/>
    <col min="6407" max="6656" width="9.140625" style="36"/>
    <col min="6657" max="6657" width="4.28515625" style="36" customWidth="1"/>
    <col min="6658" max="6658" width="40.42578125" style="36" customWidth="1"/>
    <col min="6659" max="6659" width="9.28515625" style="36" customWidth="1"/>
    <col min="6660" max="6662" width="17.140625" style="36" customWidth="1"/>
    <col min="6663" max="6912" width="9.140625" style="36"/>
    <col min="6913" max="6913" width="4.28515625" style="36" customWidth="1"/>
    <col min="6914" max="6914" width="40.42578125" style="36" customWidth="1"/>
    <col min="6915" max="6915" width="9.28515625" style="36" customWidth="1"/>
    <col min="6916" max="6918" width="17.140625" style="36" customWidth="1"/>
    <col min="6919" max="7168" width="9.140625" style="36"/>
    <col min="7169" max="7169" width="4.28515625" style="36" customWidth="1"/>
    <col min="7170" max="7170" width="40.42578125" style="36" customWidth="1"/>
    <col min="7171" max="7171" width="9.28515625" style="36" customWidth="1"/>
    <col min="7172" max="7174" width="17.140625" style="36" customWidth="1"/>
    <col min="7175" max="7424" width="9.140625" style="36"/>
    <col min="7425" max="7425" width="4.28515625" style="36" customWidth="1"/>
    <col min="7426" max="7426" width="40.42578125" style="36" customWidth="1"/>
    <col min="7427" max="7427" width="9.28515625" style="36" customWidth="1"/>
    <col min="7428" max="7430" width="17.140625" style="36" customWidth="1"/>
    <col min="7431" max="7680" width="9.140625" style="36"/>
    <col min="7681" max="7681" width="4.28515625" style="36" customWidth="1"/>
    <col min="7682" max="7682" width="40.42578125" style="36" customWidth="1"/>
    <col min="7683" max="7683" width="9.28515625" style="36" customWidth="1"/>
    <col min="7684" max="7686" width="17.140625" style="36" customWidth="1"/>
    <col min="7687" max="7936" width="9.140625" style="36"/>
    <col min="7937" max="7937" width="4.28515625" style="36" customWidth="1"/>
    <col min="7938" max="7938" width="40.42578125" style="36" customWidth="1"/>
    <col min="7939" max="7939" width="9.28515625" style="36" customWidth="1"/>
    <col min="7940" max="7942" width="17.140625" style="36" customWidth="1"/>
    <col min="7943" max="8192" width="9.140625" style="36"/>
    <col min="8193" max="8193" width="4.28515625" style="36" customWidth="1"/>
    <col min="8194" max="8194" width="40.42578125" style="36" customWidth="1"/>
    <col min="8195" max="8195" width="9.28515625" style="36" customWidth="1"/>
    <col min="8196" max="8198" width="17.140625" style="36" customWidth="1"/>
    <col min="8199" max="8448" width="9.140625" style="36"/>
    <col min="8449" max="8449" width="4.28515625" style="36" customWidth="1"/>
    <col min="8450" max="8450" width="40.42578125" style="36" customWidth="1"/>
    <col min="8451" max="8451" width="9.28515625" style="36" customWidth="1"/>
    <col min="8452" max="8454" width="17.140625" style="36" customWidth="1"/>
    <col min="8455" max="8704" width="9.140625" style="36"/>
    <col min="8705" max="8705" width="4.28515625" style="36" customWidth="1"/>
    <col min="8706" max="8706" width="40.42578125" style="36" customWidth="1"/>
    <col min="8707" max="8707" width="9.28515625" style="36" customWidth="1"/>
    <col min="8708" max="8710" width="17.140625" style="36" customWidth="1"/>
    <col min="8711" max="8960" width="9.140625" style="36"/>
    <col min="8961" max="8961" width="4.28515625" style="36" customWidth="1"/>
    <col min="8962" max="8962" width="40.42578125" style="36" customWidth="1"/>
    <col min="8963" max="8963" width="9.28515625" style="36" customWidth="1"/>
    <col min="8964" max="8966" width="17.140625" style="36" customWidth="1"/>
    <col min="8967" max="9216" width="9.140625" style="36"/>
    <col min="9217" max="9217" width="4.28515625" style="36" customWidth="1"/>
    <col min="9218" max="9218" width="40.42578125" style="36" customWidth="1"/>
    <col min="9219" max="9219" width="9.28515625" style="36" customWidth="1"/>
    <col min="9220" max="9222" width="17.140625" style="36" customWidth="1"/>
    <col min="9223" max="9472" width="9.140625" style="36"/>
    <col min="9473" max="9473" width="4.28515625" style="36" customWidth="1"/>
    <col min="9474" max="9474" width="40.42578125" style="36" customWidth="1"/>
    <col min="9475" max="9475" width="9.28515625" style="36" customWidth="1"/>
    <col min="9476" max="9478" width="17.140625" style="36" customWidth="1"/>
    <col min="9479" max="9728" width="9.140625" style="36"/>
    <col min="9729" max="9729" width="4.28515625" style="36" customWidth="1"/>
    <col min="9730" max="9730" width="40.42578125" style="36" customWidth="1"/>
    <col min="9731" max="9731" width="9.28515625" style="36" customWidth="1"/>
    <col min="9732" max="9734" width="17.140625" style="36" customWidth="1"/>
    <col min="9735" max="9984" width="9.140625" style="36"/>
    <col min="9985" max="9985" width="4.28515625" style="36" customWidth="1"/>
    <col min="9986" max="9986" width="40.42578125" style="36" customWidth="1"/>
    <col min="9987" max="9987" width="9.28515625" style="36" customWidth="1"/>
    <col min="9988" max="9990" width="17.140625" style="36" customWidth="1"/>
    <col min="9991" max="10240" width="9.140625" style="36"/>
    <col min="10241" max="10241" width="4.28515625" style="36" customWidth="1"/>
    <col min="10242" max="10242" width="40.42578125" style="36" customWidth="1"/>
    <col min="10243" max="10243" width="9.28515625" style="36" customWidth="1"/>
    <col min="10244" max="10246" width="17.140625" style="36" customWidth="1"/>
    <col min="10247" max="10496" width="9.140625" style="36"/>
    <col min="10497" max="10497" width="4.28515625" style="36" customWidth="1"/>
    <col min="10498" max="10498" width="40.42578125" style="36" customWidth="1"/>
    <col min="10499" max="10499" width="9.28515625" style="36" customWidth="1"/>
    <col min="10500" max="10502" width="17.140625" style="36" customWidth="1"/>
    <col min="10503" max="10752" width="9.140625" style="36"/>
    <col min="10753" max="10753" width="4.28515625" style="36" customWidth="1"/>
    <col min="10754" max="10754" width="40.42578125" style="36" customWidth="1"/>
    <col min="10755" max="10755" width="9.28515625" style="36" customWidth="1"/>
    <col min="10756" max="10758" width="17.140625" style="36" customWidth="1"/>
    <col min="10759" max="11008" width="9.140625" style="36"/>
    <col min="11009" max="11009" width="4.28515625" style="36" customWidth="1"/>
    <col min="11010" max="11010" width="40.42578125" style="36" customWidth="1"/>
    <col min="11011" max="11011" width="9.28515625" style="36" customWidth="1"/>
    <col min="11012" max="11014" width="17.140625" style="36" customWidth="1"/>
    <col min="11015" max="11264" width="9.140625" style="36"/>
    <col min="11265" max="11265" width="4.28515625" style="36" customWidth="1"/>
    <col min="11266" max="11266" width="40.42578125" style="36" customWidth="1"/>
    <col min="11267" max="11267" width="9.28515625" style="36" customWidth="1"/>
    <col min="11268" max="11270" width="17.140625" style="36" customWidth="1"/>
    <col min="11271" max="11520" width="9.140625" style="36"/>
    <col min="11521" max="11521" width="4.28515625" style="36" customWidth="1"/>
    <col min="11522" max="11522" width="40.42578125" style="36" customWidth="1"/>
    <col min="11523" max="11523" width="9.28515625" style="36" customWidth="1"/>
    <col min="11524" max="11526" width="17.140625" style="36" customWidth="1"/>
    <col min="11527" max="11776" width="9.140625" style="36"/>
    <col min="11777" max="11777" width="4.28515625" style="36" customWidth="1"/>
    <col min="11778" max="11778" width="40.42578125" style="36" customWidth="1"/>
    <col min="11779" max="11779" width="9.28515625" style="36" customWidth="1"/>
    <col min="11780" max="11782" width="17.140625" style="36" customWidth="1"/>
    <col min="11783" max="12032" width="9.140625" style="36"/>
    <col min="12033" max="12033" width="4.28515625" style="36" customWidth="1"/>
    <col min="12034" max="12034" width="40.42578125" style="36" customWidth="1"/>
    <col min="12035" max="12035" width="9.28515625" style="36" customWidth="1"/>
    <col min="12036" max="12038" width="17.140625" style="36" customWidth="1"/>
    <col min="12039" max="12288" width="9.140625" style="36"/>
    <col min="12289" max="12289" width="4.28515625" style="36" customWidth="1"/>
    <col min="12290" max="12290" width="40.42578125" style="36" customWidth="1"/>
    <col min="12291" max="12291" width="9.28515625" style="36" customWidth="1"/>
    <col min="12292" max="12294" width="17.140625" style="36" customWidth="1"/>
    <col min="12295" max="12544" width="9.140625" style="36"/>
    <col min="12545" max="12545" width="4.28515625" style="36" customWidth="1"/>
    <col min="12546" max="12546" width="40.42578125" style="36" customWidth="1"/>
    <col min="12547" max="12547" width="9.28515625" style="36" customWidth="1"/>
    <col min="12548" max="12550" width="17.140625" style="36" customWidth="1"/>
    <col min="12551" max="12800" width="9.140625" style="36"/>
    <col min="12801" max="12801" width="4.28515625" style="36" customWidth="1"/>
    <col min="12802" max="12802" width="40.42578125" style="36" customWidth="1"/>
    <col min="12803" max="12803" width="9.28515625" style="36" customWidth="1"/>
    <col min="12804" max="12806" width="17.140625" style="36" customWidth="1"/>
    <col min="12807" max="13056" width="9.140625" style="36"/>
    <col min="13057" max="13057" width="4.28515625" style="36" customWidth="1"/>
    <col min="13058" max="13058" width="40.42578125" style="36" customWidth="1"/>
    <col min="13059" max="13059" width="9.28515625" style="36" customWidth="1"/>
    <col min="13060" max="13062" width="17.140625" style="36" customWidth="1"/>
    <col min="13063" max="13312" width="9.140625" style="36"/>
    <col min="13313" max="13313" width="4.28515625" style="36" customWidth="1"/>
    <col min="13314" max="13314" width="40.42578125" style="36" customWidth="1"/>
    <col min="13315" max="13315" width="9.28515625" style="36" customWidth="1"/>
    <col min="13316" max="13318" width="17.140625" style="36" customWidth="1"/>
    <col min="13319" max="13568" width="9.140625" style="36"/>
    <col min="13569" max="13569" width="4.28515625" style="36" customWidth="1"/>
    <col min="13570" max="13570" width="40.42578125" style="36" customWidth="1"/>
    <col min="13571" max="13571" width="9.28515625" style="36" customWidth="1"/>
    <col min="13572" max="13574" width="17.140625" style="36" customWidth="1"/>
    <col min="13575" max="13824" width="9.140625" style="36"/>
    <col min="13825" max="13825" width="4.28515625" style="36" customWidth="1"/>
    <col min="13826" max="13826" width="40.42578125" style="36" customWidth="1"/>
    <col min="13827" max="13827" width="9.28515625" style="36" customWidth="1"/>
    <col min="13828" max="13830" width="17.140625" style="36" customWidth="1"/>
    <col min="13831" max="14080" width="9.140625" style="36"/>
    <col min="14081" max="14081" width="4.28515625" style="36" customWidth="1"/>
    <col min="14082" max="14082" width="40.42578125" style="36" customWidth="1"/>
    <col min="14083" max="14083" width="9.28515625" style="36" customWidth="1"/>
    <col min="14084" max="14086" width="17.140625" style="36" customWidth="1"/>
    <col min="14087" max="14336" width="9.140625" style="36"/>
    <col min="14337" max="14337" width="4.28515625" style="36" customWidth="1"/>
    <col min="14338" max="14338" width="40.42578125" style="36" customWidth="1"/>
    <col min="14339" max="14339" width="9.28515625" style="36" customWidth="1"/>
    <col min="14340" max="14342" width="17.140625" style="36" customWidth="1"/>
    <col min="14343" max="14592" width="9.140625" style="36"/>
    <col min="14593" max="14593" width="4.28515625" style="36" customWidth="1"/>
    <col min="14594" max="14594" width="40.42578125" style="36" customWidth="1"/>
    <col min="14595" max="14595" width="9.28515625" style="36" customWidth="1"/>
    <col min="14596" max="14598" width="17.140625" style="36" customWidth="1"/>
    <col min="14599" max="14848" width="9.140625" style="36"/>
    <col min="14849" max="14849" width="4.28515625" style="36" customWidth="1"/>
    <col min="14850" max="14850" width="40.42578125" style="36" customWidth="1"/>
    <col min="14851" max="14851" width="9.28515625" style="36" customWidth="1"/>
    <col min="14852" max="14854" width="17.140625" style="36" customWidth="1"/>
    <col min="14855" max="15104" width="9.140625" style="36"/>
    <col min="15105" max="15105" width="4.28515625" style="36" customWidth="1"/>
    <col min="15106" max="15106" width="40.42578125" style="36" customWidth="1"/>
    <col min="15107" max="15107" width="9.28515625" style="36" customWidth="1"/>
    <col min="15108" max="15110" width="17.140625" style="36" customWidth="1"/>
    <col min="15111" max="15360" width="9.140625" style="36"/>
    <col min="15361" max="15361" width="4.28515625" style="36" customWidth="1"/>
    <col min="15362" max="15362" width="40.42578125" style="36" customWidth="1"/>
    <col min="15363" max="15363" width="9.28515625" style="36" customWidth="1"/>
    <col min="15364" max="15366" width="17.140625" style="36" customWidth="1"/>
    <col min="15367" max="15616" width="9.140625" style="36"/>
    <col min="15617" max="15617" width="4.28515625" style="36" customWidth="1"/>
    <col min="15618" max="15618" width="40.42578125" style="36" customWidth="1"/>
    <col min="15619" max="15619" width="9.28515625" style="36" customWidth="1"/>
    <col min="15620" max="15622" width="17.140625" style="36" customWidth="1"/>
    <col min="15623" max="15872" width="9.140625" style="36"/>
    <col min="15873" max="15873" width="4.28515625" style="36" customWidth="1"/>
    <col min="15874" max="15874" width="40.42578125" style="36" customWidth="1"/>
    <col min="15875" max="15875" width="9.28515625" style="36" customWidth="1"/>
    <col min="15876" max="15878" width="17.140625" style="36" customWidth="1"/>
    <col min="15879" max="16128" width="9.140625" style="36"/>
    <col min="16129" max="16129" width="4.28515625" style="36" customWidth="1"/>
    <col min="16130" max="16130" width="40.42578125" style="36" customWidth="1"/>
    <col min="16131" max="16131" width="9.28515625" style="36" customWidth="1"/>
    <col min="16132" max="16134" width="17.140625" style="36" customWidth="1"/>
    <col min="16135" max="16384" width="9.140625" style="36"/>
  </cols>
  <sheetData>
    <row r="1" spans="1:6" ht="24.75" customHeight="1" x14ac:dyDescent="0.25">
      <c r="A1" s="321"/>
      <c r="B1" s="321"/>
      <c r="C1" s="333" t="s">
        <v>0</v>
      </c>
      <c r="D1" s="333"/>
      <c r="E1" s="333"/>
      <c r="F1" s="333"/>
    </row>
    <row r="2" spans="1:6" ht="42.75" customHeight="1" x14ac:dyDescent="0.25">
      <c r="A2" s="344" t="s">
        <v>1</v>
      </c>
      <c r="B2" s="344"/>
      <c r="C2" s="344"/>
      <c r="D2" s="344"/>
      <c r="E2" s="344"/>
      <c r="F2" s="344"/>
    </row>
    <row r="3" spans="1:6" ht="27" customHeight="1" x14ac:dyDescent="0.25">
      <c r="A3" s="345" t="s">
        <v>144</v>
      </c>
      <c r="B3" s="345"/>
      <c r="C3" s="345"/>
      <c r="D3" s="345"/>
      <c r="E3" s="345"/>
      <c r="F3" s="345"/>
    </row>
    <row r="4" spans="1:6" ht="13.5" customHeight="1" x14ac:dyDescent="0.25">
      <c r="A4" s="323" t="s">
        <v>145</v>
      </c>
      <c r="B4" s="323"/>
      <c r="C4" s="323"/>
      <c r="D4" s="323"/>
      <c r="E4" s="323"/>
      <c r="F4" s="323"/>
    </row>
    <row r="5" spans="1:6" ht="9.75" customHeight="1" x14ac:dyDescent="0.25">
      <c r="A5" s="37"/>
      <c r="B5" s="37"/>
      <c r="C5" s="37"/>
      <c r="D5" s="37"/>
      <c r="E5" s="37"/>
      <c r="F5" s="37"/>
    </row>
    <row r="6" spans="1:6" ht="12.75" customHeight="1" x14ac:dyDescent="0.25">
      <c r="A6" s="76" t="s">
        <v>5</v>
      </c>
      <c r="B6" s="38" t="s">
        <v>6</v>
      </c>
      <c r="C6" s="328" t="s">
        <v>7</v>
      </c>
      <c r="D6" s="328"/>
      <c r="E6" s="328"/>
      <c r="F6" s="328"/>
    </row>
    <row r="7" spans="1:6" ht="12.75" customHeight="1" x14ac:dyDescent="0.25">
      <c r="A7" s="56"/>
      <c r="B7" s="39" t="s">
        <v>8</v>
      </c>
      <c r="C7" s="339" t="s">
        <v>9</v>
      </c>
      <c r="D7" s="339"/>
      <c r="E7" s="339"/>
      <c r="F7" s="339"/>
    </row>
    <row r="8" spans="1:6" ht="12.75" customHeight="1" x14ac:dyDescent="0.25">
      <c r="A8" s="76" t="s">
        <v>10</v>
      </c>
      <c r="B8" s="38" t="s">
        <v>146</v>
      </c>
      <c r="C8" s="328" t="s">
        <v>12</v>
      </c>
      <c r="D8" s="328"/>
      <c r="E8" s="328"/>
      <c r="F8" s="328"/>
    </row>
    <row r="9" spans="1:6" ht="12.75" customHeight="1" x14ac:dyDescent="0.25">
      <c r="A9" s="56"/>
      <c r="B9" s="39" t="s">
        <v>13</v>
      </c>
      <c r="C9" s="339" t="s">
        <v>14</v>
      </c>
      <c r="D9" s="339"/>
      <c r="E9" s="339"/>
      <c r="F9" s="339"/>
    </row>
    <row r="10" spans="1:6" ht="12.75" customHeight="1" x14ac:dyDescent="0.25">
      <c r="A10" s="76" t="s">
        <v>15</v>
      </c>
      <c r="B10" s="38" t="s">
        <v>16</v>
      </c>
      <c r="C10" s="328" t="s">
        <v>17</v>
      </c>
      <c r="D10" s="328"/>
      <c r="E10" s="328"/>
      <c r="F10" s="328"/>
    </row>
    <row r="11" spans="1:6" ht="12.75" customHeight="1" x14ac:dyDescent="0.25">
      <c r="A11" s="56"/>
      <c r="B11" s="39" t="s">
        <v>18</v>
      </c>
      <c r="C11" s="339" t="s">
        <v>19</v>
      </c>
      <c r="D11" s="339"/>
      <c r="E11" s="339"/>
      <c r="F11" s="339"/>
    </row>
    <row r="12" spans="1:6" ht="12.75" customHeight="1" x14ac:dyDescent="0.25">
      <c r="A12" s="76" t="s">
        <v>20</v>
      </c>
      <c r="B12" s="38" t="s">
        <v>21</v>
      </c>
      <c r="C12" s="340">
        <v>44140</v>
      </c>
      <c r="D12" s="328"/>
      <c r="E12" s="328"/>
      <c r="F12" s="328"/>
    </row>
    <row r="13" spans="1:6" ht="12.75" customHeight="1" x14ac:dyDescent="0.25">
      <c r="A13" s="56"/>
      <c r="B13" s="39" t="s">
        <v>22</v>
      </c>
      <c r="C13" s="341">
        <v>44140</v>
      </c>
      <c r="D13" s="339"/>
      <c r="E13" s="339"/>
      <c r="F13" s="339"/>
    </row>
    <row r="14" spans="1:6" ht="12.75" customHeight="1" x14ac:dyDescent="0.25">
      <c r="A14" s="37"/>
      <c r="B14" s="39"/>
      <c r="C14" s="39"/>
      <c r="D14" s="39"/>
      <c r="E14" s="342"/>
      <c r="F14" s="342"/>
    </row>
    <row r="15" spans="1:6" ht="12.75" customHeight="1" x14ac:dyDescent="0.25">
      <c r="A15" s="328" t="s">
        <v>147</v>
      </c>
      <c r="B15" s="328"/>
      <c r="C15" s="328"/>
      <c r="D15" s="328"/>
      <c r="E15" s="328"/>
      <c r="F15" s="328"/>
    </row>
    <row r="16" spans="1:6" ht="12.75" customHeight="1" x14ac:dyDescent="0.25">
      <c r="A16" s="328" t="s">
        <v>148</v>
      </c>
      <c r="B16" s="328"/>
      <c r="C16" s="328"/>
      <c r="D16" s="328"/>
      <c r="E16" s="328"/>
      <c r="F16" s="328"/>
    </row>
    <row r="17" spans="1:6" ht="12.75" customHeight="1" x14ac:dyDescent="0.25">
      <c r="A17" s="343" t="s">
        <v>25</v>
      </c>
      <c r="B17" s="343"/>
      <c r="C17" s="343"/>
      <c r="D17" s="343"/>
      <c r="E17" s="343"/>
      <c r="F17" s="343"/>
    </row>
    <row r="18" spans="1:6" ht="81.75" customHeight="1" x14ac:dyDescent="0.25">
      <c r="A18" s="106" t="s">
        <v>149</v>
      </c>
      <c r="B18" s="107" t="s">
        <v>150</v>
      </c>
      <c r="C18" s="107" t="s">
        <v>28</v>
      </c>
      <c r="D18" s="107" t="s">
        <v>151</v>
      </c>
      <c r="E18" s="107" t="s">
        <v>152</v>
      </c>
      <c r="F18" s="108" t="s">
        <v>153</v>
      </c>
    </row>
    <row r="19" spans="1:6" ht="21" x14ac:dyDescent="0.25">
      <c r="A19" s="58" t="s">
        <v>33</v>
      </c>
      <c r="B19" s="59" t="s">
        <v>154</v>
      </c>
      <c r="C19" s="60" t="s">
        <v>155</v>
      </c>
      <c r="D19" s="44">
        <v>5760973789</v>
      </c>
      <c r="E19" s="44">
        <v>3380961009</v>
      </c>
      <c r="F19" s="61">
        <v>18740398388</v>
      </c>
    </row>
    <row r="20" spans="1:6" ht="21" x14ac:dyDescent="0.25">
      <c r="A20" s="62" t="s">
        <v>5</v>
      </c>
      <c r="B20" s="63" t="s">
        <v>156</v>
      </c>
      <c r="C20" s="64" t="s">
        <v>157</v>
      </c>
      <c r="D20" s="49">
        <v>5736060000</v>
      </c>
      <c r="E20" s="49">
        <v>3366356000</v>
      </c>
      <c r="F20" s="65">
        <v>18678302000</v>
      </c>
    </row>
    <row r="21" spans="1:6" ht="21" x14ac:dyDescent="0.25">
      <c r="A21" s="66"/>
      <c r="B21" s="67" t="s">
        <v>158</v>
      </c>
      <c r="C21" s="68" t="s">
        <v>159</v>
      </c>
      <c r="D21" s="69">
        <v>5736060000</v>
      </c>
      <c r="E21" s="69">
        <v>3366356000</v>
      </c>
      <c r="F21" s="70">
        <v>18678302000</v>
      </c>
    </row>
    <row r="22" spans="1:6" ht="21" x14ac:dyDescent="0.25">
      <c r="A22" s="66"/>
      <c r="B22" s="67" t="s">
        <v>160</v>
      </c>
      <c r="C22" s="68" t="s">
        <v>161</v>
      </c>
      <c r="D22" s="69">
        <v>0</v>
      </c>
      <c r="E22" s="69">
        <v>0</v>
      </c>
      <c r="F22" s="70">
        <v>0</v>
      </c>
    </row>
    <row r="23" spans="1:6" ht="21" x14ac:dyDescent="0.25">
      <c r="A23" s="62" t="s">
        <v>10</v>
      </c>
      <c r="B23" s="63" t="s">
        <v>162</v>
      </c>
      <c r="C23" s="64" t="s">
        <v>163</v>
      </c>
      <c r="D23" s="49">
        <v>24913789</v>
      </c>
      <c r="E23" s="49">
        <v>14605009</v>
      </c>
      <c r="F23" s="65">
        <v>62096388</v>
      </c>
    </row>
    <row r="24" spans="1:6" ht="21" x14ac:dyDescent="0.25">
      <c r="A24" s="66"/>
      <c r="B24" s="67" t="s">
        <v>164</v>
      </c>
      <c r="C24" s="68" t="s">
        <v>165</v>
      </c>
      <c r="D24" s="69">
        <v>24913789</v>
      </c>
      <c r="E24" s="69">
        <v>14605009</v>
      </c>
      <c r="F24" s="70">
        <v>62096388</v>
      </c>
    </row>
    <row r="25" spans="1:6" ht="21" x14ac:dyDescent="0.25">
      <c r="A25" s="66"/>
      <c r="B25" s="67" t="s">
        <v>166</v>
      </c>
      <c r="C25" s="68" t="s">
        <v>167</v>
      </c>
      <c r="D25" s="69">
        <v>0</v>
      </c>
      <c r="E25" s="69">
        <v>0</v>
      </c>
      <c r="F25" s="70">
        <v>0</v>
      </c>
    </row>
    <row r="26" spans="1:6" ht="21" x14ac:dyDescent="0.25">
      <c r="A26" s="62" t="s">
        <v>15</v>
      </c>
      <c r="B26" s="63" t="s">
        <v>168</v>
      </c>
      <c r="C26" s="64" t="s">
        <v>169</v>
      </c>
      <c r="D26" s="49">
        <v>0</v>
      </c>
      <c r="E26" s="49">
        <v>0</v>
      </c>
      <c r="F26" s="65">
        <v>0</v>
      </c>
    </row>
    <row r="27" spans="1:6" ht="21" x14ac:dyDescent="0.25">
      <c r="A27" s="66"/>
      <c r="B27" s="67" t="s">
        <v>170</v>
      </c>
      <c r="C27" s="68" t="s">
        <v>171</v>
      </c>
      <c r="D27" s="69">
        <v>0</v>
      </c>
      <c r="E27" s="69">
        <v>0</v>
      </c>
      <c r="F27" s="70">
        <v>0</v>
      </c>
    </row>
    <row r="28" spans="1:6" ht="21" x14ac:dyDescent="0.25">
      <c r="A28" s="66"/>
      <c r="B28" s="67" t="s">
        <v>172</v>
      </c>
      <c r="C28" s="68" t="s">
        <v>173</v>
      </c>
      <c r="D28" s="69">
        <v>0</v>
      </c>
      <c r="E28" s="69">
        <v>0</v>
      </c>
      <c r="F28" s="70">
        <v>0</v>
      </c>
    </row>
    <row r="29" spans="1:6" ht="52.5" x14ac:dyDescent="0.25">
      <c r="A29" s="66"/>
      <c r="B29" s="67" t="s">
        <v>174</v>
      </c>
      <c r="C29" s="68" t="s">
        <v>175</v>
      </c>
      <c r="D29" s="69">
        <v>0</v>
      </c>
      <c r="E29" s="69">
        <v>0</v>
      </c>
      <c r="F29" s="70">
        <v>0</v>
      </c>
    </row>
    <row r="30" spans="1:6" ht="21" x14ac:dyDescent="0.25">
      <c r="A30" s="58" t="s">
        <v>73</v>
      </c>
      <c r="B30" s="59" t="s">
        <v>176</v>
      </c>
      <c r="C30" s="60" t="s">
        <v>177</v>
      </c>
      <c r="D30" s="44">
        <v>2269513112</v>
      </c>
      <c r="E30" s="44">
        <v>1698275470</v>
      </c>
      <c r="F30" s="61">
        <v>8152854939</v>
      </c>
    </row>
    <row r="31" spans="1:6" ht="21" x14ac:dyDescent="0.25">
      <c r="A31" s="62" t="s">
        <v>5</v>
      </c>
      <c r="B31" s="63" t="s">
        <v>178</v>
      </c>
      <c r="C31" s="64" t="s">
        <v>179</v>
      </c>
      <c r="D31" s="49">
        <v>1627889072</v>
      </c>
      <c r="E31" s="49">
        <v>1344848804</v>
      </c>
      <c r="F31" s="65">
        <v>6058668282</v>
      </c>
    </row>
    <row r="32" spans="1:6" ht="31.5" x14ac:dyDescent="0.25">
      <c r="A32" s="62" t="s">
        <v>10</v>
      </c>
      <c r="B32" s="63" t="s">
        <v>180</v>
      </c>
      <c r="C32" s="64" t="s">
        <v>181</v>
      </c>
      <c r="D32" s="49">
        <v>150526801</v>
      </c>
      <c r="E32" s="49">
        <v>124317313</v>
      </c>
      <c r="F32" s="65">
        <v>579089572</v>
      </c>
    </row>
    <row r="33" spans="1:6" ht="21" x14ac:dyDescent="0.25">
      <c r="A33" s="66"/>
      <c r="B33" s="67" t="s">
        <v>182</v>
      </c>
      <c r="C33" s="68" t="s">
        <v>183</v>
      </c>
      <c r="D33" s="69">
        <v>40697226</v>
      </c>
      <c r="E33" s="69">
        <v>33621222</v>
      </c>
      <c r="F33" s="70">
        <v>158228380</v>
      </c>
    </row>
    <row r="34" spans="1:6" ht="21" x14ac:dyDescent="0.25">
      <c r="A34" s="66"/>
      <c r="B34" s="67" t="s">
        <v>184</v>
      </c>
      <c r="C34" s="68" t="s">
        <v>185</v>
      </c>
      <c r="D34" s="69">
        <v>1800000</v>
      </c>
      <c r="E34" s="69">
        <v>200000</v>
      </c>
      <c r="F34" s="70">
        <v>7500000</v>
      </c>
    </row>
    <row r="35" spans="1:6" ht="21" x14ac:dyDescent="0.25">
      <c r="A35" s="66"/>
      <c r="B35" s="67" t="s">
        <v>186</v>
      </c>
      <c r="C35" s="68" t="s">
        <v>187</v>
      </c>
      <c r="D35" s="69">
        <v>18495674</v>
      </c>
      <c r="E35" s="69">
        <v>16529407</v>
      </c>
      <c r="F35" s="70">
        <v>64916623</v>
      </c>
    </row>
    <row r="36" spans="1:6" ht="21" x14ac:dyDescent="0.25">
      <c r="A36" s="66"/>
      <c r="B36" s="67" t="s">
        <v>188</v>
      </c>
      <c r="C36" s="68" t="s">
        <v>189</v>
      </c>
      <c r="D36" s="69">
        <v>89533901</v>
      </c>
      <c r="E36" s="69">
        <v>73966684</v>
      </c>
      <c r="F36" s="70">
        <v>348444569</v>
      </c>
    </row>
    <row r="37" spans="1:6" ht="42" x14ac:dyDescent="0.25">
      <c r="A37" s="66"/>
      <c r="B37" s="67" t="s">
        <v>190</v>
      </c>
      <c r="C37" s="68" t="s">
        <v>191</v>
      </c>
      <c r="D37" s="69">
        <v>0</v>
      </c>
      <c r="E37" s="69">
        <v>0</v>
      </c>
      <c r="F37" s="70">
        <v>0</v>
      </c>
    </row>
    <row r="38" spans="1:6" ht="52.5" x14ac:dyDescent="0.25">
      <c r="A38" s="62" t="s">
        <v>15</v>
      </c>
      <c r="B38" s="63" t="s">
        <v>192</v>
      </c>
      <c r="C38" s="64" t="s">
        <v>193</v>
      </c>
      <c r="D38" s="49">
        <v>233404464</v>
      </c>
      <c r="E38" s="49">
        <v>201637576</v>
      </c>
      <c r="F38" s="65">
        <v>973889374</v>
      </c>
    </row>
    <row r="39" spans="1:6" ht="21" x14ac:dyDescent="0.25">
      <c r="A39" s="66"/>
      <c r="B39" s="67" t="s">
        <v>194</v>
      </c>
      <c r="C39" s="68" t="s">
        <v>195</v>
      </c>
      <c r="D39" s="69">
        <v>44766946</v>
      </c>
      <c r="E39" s="69">
        <v>36983344</v>
      </c>
      <c r="F39" s="70">
        <v>183553046</v>
      </c>
    </row>
    <row r="40" spans="1:6" ht="21" x14ac:dyDescent="0.25">
      <c r="A40" s="66"/>
      <c r="B40" s="67" t="s">
        <v>196</v>
      </c>
      <c r="C40" s="68" t="s">
        <v>197</v>
      </c>
      <c r="D40" s="69">
        <v>5500000</v>
      </c>
      <c r="E40" s="69">
        <v>5500000</v>
      </c>
      <c r="F40" s="70">
        <v>31048387</v>
      </c>
    </row>
    <row r="41" spans="1:6" ht="31.5" x14ac:dyDescent="0.25">
      <c r="A41" s="66"/>
      <c r="B41" s="67" t="s">
        <v>198</v>
      </c>
      <c r="C41" s="68" t="s">
        <v>199</v>
      </c>
      <c r="D41" s="69">
        <v>101743065</v>
      </c>
      <c r="E41" s="69">
        <v>84053051</v>
      </c>
      <c r="F41" s="70">
        <v>375599382</v>
      </c>
    </row>
    <row r="42" spans="1:6" ht="21" x14ac:dyDescent="0.25">
      <c r="A42" s="66"/>
      <c r="B42" s="67" t="s">
        <v>200</v>
      </c>
      <c r="C42" s="68" t="s">
        <v>201</v>
      </c>
      <c r="D42" s="69">
        <v>81394453</v>
      </c>
      <c r="E42" s="69">
        <v>75101181</v>
      </c>
      <c r="F42" s="70">
        <v>383688559</v>
      </c>
    </row>
    <row r="43" spans="1:6" ht="21" x14ac:dyDescent="0.25">
      <c r="A43" s="62" t="s">
        <v>20</v>
      </c>
      <c r="B43" s="63" t="s">
        <v>202</v>
      </c>
      <c r="C43" s="64" t="s">
        <v>203</v>
      </c>
      <c r="D43" s="49">
        <v>16161137</v>
      </c>
      <c r="E43" s="49">
        <v>15639810</v>
      </c>
      <c r="F43" s="65">
        <v>78199050</v>
      </c>
    </row>
    <row r="44" spans="1:6" ht="52.5" x14ac:dyDescent="0.25">
      <c r="A44" s="62" t="s">
        <v>44</v>
      </c>
      <c r="B44" s="63" t="s">
        <v>204</v>
      </c>
      <c r="C44" s="64" t="s">
        <v>205</v>
      </c>
      <c r="D44" s="49">
        <v>9760518</v>
      </c>
      <c r="E44" s="49">
        <v>9735985</v>
      </c>
      <c r="F44" s="65">
        <v>48753526</v>
      </c>
    </row>
    <row r="45" spans="1:6" ht="21" x14ac:dyDescent="0.25">
      <c r="A45" s="66"/>
      <c r="B45" s="67" t="s">
        <v>206</v>
      </c>
      <c r="C45" s="68" t="s">
        <v>207</v>
      </c>
      <c r="D45" s="69">
        <v>9760518</v>
      </c>
      <c r="E45" s="69">
        <v>9735985</v>
      </c>
      <c r="F45" s="70">
        <v>48753526</v>
      </c>
    </row>
    <row r="46" spans="1:6" ht="21" x14ac:dyDescent="0.25">
      <c r="A46" s="66"/>
      <c r="B46" s="67" t="s">
        <v>208</v>
      </c>
      <c r="C46" s="68" t="s">
        <v>209</v>
      </c>
      <c r="D46" s="69">
        <v>0</v>
      </c>
      <c r="E46" s="69">
        <v>0</v>
      </c>
      <c r="F46" s="70">
        <v>0</v>
      </c>
    </row>
    <row r="47" spans="1:6" ht="21" x14ac:dyDescent="0.25">
      <c r="A47" s="66"/>
      <c r="B47" s="67" t="s">
        <v>210</v>
      </c>
      <c r="C47" s="68" t="s">
        <v>211</v>
      </c>
      <c r="D47" s="69">
        <v>0</v>
      </c>
      <c r="E47" s="69">
        <v>0</v>
      </c>
      <c r="F47" s="70">
        <v>0</v>
      </c>
    </row>
    <row r="48" spans="1:6" ht="115.5" x14ac:dyDescent="0.25">
      <c r="A48" s="62" t="s">
        <v>47</v>
      </c>
      <c r="B48" s="63" t="s">
        <v>212</v>
      </c>
      <c r="C48" s="64" t="s">
        <v>213</v>
      </c>
      <c r="D48" s="49">
        <v>0</v>
      </c>
      <c r="E48" s="49">
        <v>0</v>
      </c>
      <c r="F48" s="65">
        <v>0</v>
      </c>
    </row>
    <row r="49" spans="1:6" ht="21" x14ac:dyDescent="0.25">
      <c r="A49" s="66"/>
      <c r="B49" s="67" t="s">
        <v>214</v>
      </c>
      <c r="C49" s="68" t="s">
        <v>215</v>
      </c>
      <c r="D49" s="69">
        <v>0</v>
      </c>
      <c r="E49" s="69">
        <v>0</v>
      </c>
      <c r="F49" s="70">
        <v>0</v>
      </c>
    </row>
    <row r="50" spans="1:6" ht="21" x14ac:dyDescent="0.25">
      <c r="A50" s="66"/>
      <c r="B50" s="67" t="s">
        <v>216</v>
      </c>
      <c r="C50" s="68" t="s">
        <v>217</v>
      </c>
      <c r="D50" s="69">
        <v>0</v>
      </c>
      <c r="E50" s="69">
        <v>0</v>
      </c>
      <c r="F50" s="70">
        <v>0</v>
      </c>
    </row>
    <row r="51" spans="1:6" ht="31.5" x14ac:dyDescent="0.25">
      <c r="A51" s="66"/>
      <c r="B51" s="67" t="s">
        <v>218</v>
      </c>
      <c r="C51" s="68" t="s">
        <v>219</v>
      </c>
      <c r="D51" s="69">
        <v>0</v>
      </c>
      <c r="E51" s="69">
        <v>0</v>
      </c>
      <c r="F51" s="70">
        <v>0</v>
      </c>
    </row>
    <row r="52" spans="1:6" ht="21" x14ac:dyDescent="0.25">
      <c r="A52" s="66"/>
      <c r="B52" s="67" t="s">
        <v>220</v>
      </c>
      <c r="C52" s="68" t="s">
        <v>221</v>
      </c>
      <c r="D52" s="69">
        <v>0</v>
      </c>
      <c r="E52" s="69">
        <v>0</v>
      </c>
      <c r="F52" s="70">
        <v>0</v>
      </c>
    </row>
    <row r="53" spans="1:6" ht="21" x14ac:dyDescent="0.25">
      <c r="A53" s="66"/>
      <c r="B53" s="67" t="s">
        <v>222</v>
      </c>
      <c r="C53" s="68" t="s">
        <v>223</v>
      </c>
      <c r="D53" s="69">
        <v>0</v>
      </c>
      <c r="E53" s="69">
        <v>0</v>
      </c>
      <c r="F53" s="70">
        <v>0</v>
      </c>
    </row>
    <row r="54" spans="1:6" ht="42" x14ac:dyDescent="0.25">
      <c r="A54" s="62" t="s">
        <v>50</v>
      </c>
      <c r="B54" s="63" t="s">
        <v>224</v>
      </c>
      <c r="C54" s="64" t="s">
        <v>225</v>
      </c>
      <c r="D54" s="49">
        <v>229483265</v>
      </c>
      <c r="E54" s="49">
        <v>0</v>
      </c>
      <c r="F54" s="65">
        <v>334390222</v>
      </c>
    </row>
    <row r="55" spans="1:6" ht="21" x14ac:dyDescent="0.25">
      <c r="A55" s="66"/>
      <c r="B55" s="67" t="s">
        <v>226</v>
      </c>
      <c r="C55" s="68" t="s">
        <v>227</v>
      </c>
      <c r="D55" s="69">
        <v>229483265</v>
      </c>
      <c r="E55" s="69">
        <v>0</v>
      </c>
      <c r="F55" s="70">
        <v>334390222</v>
      </c>
    </row>
    <row r="56" spans="1:6" ht="21" x14ac:dyDescent="0.25">
      <c r="A56" s="66"/>
      <c r="B56" s="67" t="s">
        <v>228</v>
      </c>
      <c r="C56" s="68" t="s">
        <v>229</v>
      </c>
      <c r="D56" s="69">
        <v>0</v>
      </c>
      <c r="E56" s="69">
        <v>0</v>
      </c>
      <c r="F56" s="70">
        <v>0</v>
      </c>
    </row>
    <row r="57" spans="1:6" ht="21" x14ac:dyDescent="0.25">
      <c r="A57" s="62" t="s">
        <v>53</v>
      </c>
      <c r="B57" s="63" t="s">
        <v>230</v>
      </c>
      <c r="C57" s="64" t="s">
        <v>231</v>
      </c>
      <c r="D57" s="49">
        <v>2287855</v>
      </c>
      <c r="E57" s="49">
        <v>2095982</v>
      </c>
      <c r="F57" s="65">
        <v>79864913</v>
      </c>
    </row>
    <row r="58" spans="1:6" ht="21" x14ac:dyDescent="0.25">
      <c r="A58" s="66"/>
      <c r="B58" s="67" t="s">
        <v>232</v>
      </c>
      <c r="C58" s="68" t="s">
        <v>233</v>
      </c>
      <c r="D58" s="69">
        <v>0</v>
      </c>
      <c r="E58" s="69">
        <v>0</v>
      </c>
      <c r="F58" s="70">
        <v>50000000</v>
      </c>
    </row>
    <row r="59" spans="1:6" ht="21" x14ac:dyDescent="0.25">
      <c r="A59" s="66"/>
      <c r="B59" s="67" t="s">
        <v>234</v>
      </c>
      <c r="C59" s="68" t="s">
        <v>235</v>
      </c>
      <c r="D59" s="69">
        <v>0</v>
      </c>
      <c r="E59" s="69">
        <v>0</v>
      </c>
      <c r="F59" s="70">
        <v>17500000</v>
      </c>
    </row>
    <row r="60" spans="1:6" ht="21" x14ac:dyDescent="0.25">
      <c r="A60" s="66"/>
      <c r="B60" s="67" t="s">
        <v>236</v>
      </c>
      <c r="C60" s="68" t="s">
        <v>237</v>
      </c>
      <c r="D60" s="69">
        <v>610235</v>
      </c>
      <c r="E60" s="69">
        <v>590550</v>
      </c>
      <c r="F60" s="70">
        <v>4173220</v>
      </c>
    </row>
    <row r="61" spans="1:6" ht="21" x14ac:dyDescent="0.25">
      <c r="A61" s="66"/>
      <c r="B61" s="67" t="s">
        <v>238</v>
      </c>
      <c r="C61" s="68" t="s">
        <v>239</v>
      </c>
      <c r="D61" s="69">
        <v>1677620</v>
      </c>
      <c r="E61" s="69">
        <v>1505432</v>
      </c>
      <c r="F61" s="70">
        <v>8191693</v>
      </c>
    </row>
    <row r="62" spans="1:6" ht="21" x14ac:dyDescent="0.25">
      <c r="A62" s="66"/>
      <c r="B62" s="67" t="s">
        <v>240</v>
      </c>
      <c r="C62" s="68" t="s">
        <v>241</v>
      </c>
      <c r="D62" s="69">
        <v>0</v>
      </c>
      <c r="E62" s="69">
        <v>0</v>
      </c>
      <c r="F62" s="70">
        <v>0</v>
      </c>
    </row>
    <row r="63" spans="1:6" ht="21" x14ac:dyDescent="0.25">
      <c r="A63" s="66"/>
      <c r="B63" s="67" t="s">
        <v>242</v>
      </c>
      <c r="C63" s="68" t="s">
        <v>243</v>
      </c>
      <c r="D63" s="69">
        <v>0</v>
      </c>
      <c r="E63" s="69">
        <v>0</v>
      </c>
      <c r="F63" s="70">
        <v>0</v>
      </c>
    </row>
    <row r="64" spans="1:6" ht="21" x14ac:dyDescent="0.25">
      <c r="A64" s="66"/>
      <c r="B64" s="67" t="s">
        <v>244</v>
      </c>
      <c r="C64" s="68" t="s">
        <v>245</v>
      </c>
      <c r="D64" s="69">
        <v>0</v>
      </c>
      <c r="E64" s="69">
        <v>0</v>
      </c>
      <c r="F64" s="70">
        <v>0</v>
      </c>
    </row>
    <row r="65" spans="1:6" ht="21" x14ac:dyDescent="0.25">
      <c r="A65" s="66"/>
      <c r="B65" s="67" t="s">
        <v>246</v>
      </c>
      <c r="C65" s="68" t="s">
        <v>247</v>
      </c>
      <c r="D65" s="69">
        <v>0</v>
      </c>
      <c r="E65" s="69">
        <v>0</v>
      </c>
      <c r="F65" s="70">
        <v>0</v>
      </c>
    </row>
    <row r="66" spans="1:6" ht="31.5" x14ac:dyDescent="0.25">
      <c r="A66" s="58" t="s">
        <v>80</v>
      </c>
      <c r="B66" s="59" t="s">
        <v>248</v>
      </c>
      <c r="C66" s="60" t="s">
        <v>249</v>
      </c>
      <c r="D66" s="44">
        <v>3491460677</v>
      </c>
      <c r="E66" s="44">
        <v>1682685539</v>
      </c>
      <c r="F66" s="61">
        <v>10587543449</v>
      </c>
    </row>
    <row r="67" spans="1:6" ht="21" x14ac:dyDescent="0.25">
      <c r="A67" s="58" t="s">
        <v>84</v>
      </c>
      <c r="B67" s="59" t="s">
        <v>250</v>
      </c>
      <c r="C67" s="60" t="s">
        <v>251</v>
      </c>
      <c r="D67" s="44">
        <v>48704715350</v>
      </c>
      <c r="E67" s="44">
        <v>95853877750</v>
      </c>
      <c r="F67" s="61">
        <v>243522252050</v>
      </c>
    </row>
    <row r="68" spans="1:6" ht="21" x14ac:dyDescent="0.25">
      <c r="A68" s="62" t="s">
        <v>5</v>
      </c>
      <c r="B68" s="63" t="s">
        <v>252</v>
      </c>
      <c r="C68" s="64" t="s">
        <v>253</v>
      </c>
      <c r="D68" s="49">
        <v>17364123358</v>
      </c>
      <c r="E68" s="49">
        <v>1407637251</v>
      </c>
      <c r="F68" s="65">
        <v>17883057902</v>
      </c>
    </row>
    <row r="69" spans="1:6" ht="21" x14ac:dyDescent="0.25">
      <c r="A69" s="66"/>
      <c r="B69" s="67" t="s">
        <v>254</v>
      </c>
      <c r="C69" s="68" t="s">
        <v>255</v>
      </c>
      <c r="D69" s="69">
        <v>13344798458</v>
      </c>
      <c r="E69" s="69">
        <v>31878</v>
      </c>
      <c r="F69" s="70">
        <v>12415420336</v>
      </c>
    </row>
    <row r="70" spans="1:6" ht="31.5" x14ac:dyDescent="0.25">
      <c r="A70" s="66"/>
      <c r="B70" s="67" t="s">
        <v>256</v>
      </c>
      <c r="C70" s="68" t="s">
        <v>257</v>
      </c>
      <c r="D70" s="69">
        <v>4019324900</v>
      </c>
      <c r="E70" s="69">
        <v>1407605373</v>
      </c>
      <c r="F70" s="70">
        <v>5467637566</v>
      </c>
    </row>
    <row r="71" spans="1:6" ht="42" x14ac:dyDescent="0.25">
      <c r="A71" s="66"/>
      <c r="B71" s="67" t="s">
        <v>258</v>
      </c>
      <c r="C71" s="68" t="s">
        <v>259</v>
      </c>
      <c r="D71" s="69">
        <v>0</v>
      </c>
      <c r="E71" s="69">
        <v>0</v>
      </c>
      <c r="F71" s="70">
        <v>0</v>
      </c>
    </row>
    <row r="72" spans="1:6" ht="21" x14ac:dyDescent="0.25">
      <c r="A72" s="62" t="s">
        <v>10</v>
      </c>
      <c r="B72" s="63" t="s">
        <v>260</v>
      </c>
      <c r="C72" s="64" t="s">
        <v>261</v>
      </c>
      <c r="D72" s="49">
        <v>31340591992</v>
      </c>
      <c r="E72" s="49">
        <v>94446240499</v>
      </c>
      <c r="F72" s="65">
        <v>225639194148</v>
      </c>
    </row>
    <row r="73" spans="1:6" ht="52.5" x14ac:dyDescent="0.25">
      <c r="A73" s="58" t="s">
        <v>94</v>
      </c>
      <c r="B73" s="59" t="s">
        <v>262</v>
      </c>
      <c r="C73" s="60" t="s">
        <v>263</v>
      </c>
      <c r="D73" s="44">
        <v>52196176027</v>
      </c>
      <c r="E73" s="44">
        <v>97536563289</v>
      </c>
      <c r="F73" s="61">
        <v>254109795499</v>
      </c>
    </row>
    <row r="74" spans="1:6" ht="21" x14ac:dyDescent="0.25">
      <c r="A74" s="58" t="s">
        <v>118</v>
      </c>
      <c r="B74" s="59" t="s">
        <v>264</v>
      </c>
      <c r="C74" s="60" t="s">
        <v>265</v>
      </c>
      <c r="D74" s="44">
        <v>2244878995971</v>
      </c>
      <c r="E74" s="44">
        <v>1853924646350</v>
      </c>
      <c r="F74" s="61">
        <v>0</v>
      </c>
    </row>
    <row r="75" spans="1:6" ht="31.5" x14ac:dyDescent="0.25">
      <c r="A75" s="58" t="s">
        <v>134</v>
      </c>
      <c r="B75" s="59" t="s">
        <v>266</v>
      </c>
      <c r="C75" s="60" t="s">
        <v>267</v>
      </c>
      <c r="D75" s="44">
        <v>160009006952</v>
      </c>
      <c r="E75" s="44">
        <v>390954349621</v>
      </c>
      <c r="F75" s="61">
        <v>2404888002923</v>
      </c>
    </row>
    <row r="76" spans="1:6" ht="21" x14ac:dyDescent="0.25">
      <c r="A76" s="62"/>
      <c r="B76" s="63" t="s">
        <v>268</v>
      </c>
      <c r="C76" s="64" t="s">
        <v>269</v>
      </c>
      <c r="D76" s="49">
        <v>0</v>
      </c>
      <c r="E76" s="49">
        <v>0</v>
      </c>
      <c r="F76" s="65">
        <v>0</v>
      </c>
    </row>
    <row r="77" spans="1:6" ht="42" x14ac:dyDescent="0.25">
      <c r="A77" s="62" t="s">
        <v>5</v>
      </c>
      <c r="B77" s="63" t="s">
        <v>270</v>
      </c>
      <c r="C77" s="64" t="s">
        <v>271</v>
      </c>
      <c r="D77" s="49">
        <v>52196176027</v>
      </c>
      <c r="E77" s="49">
        <v>97536563289</v>
      </c>
      <c r="F77" s="65">
        <v>254109795499</v>
      </c>
    </row>
    <row r="78" spans="1:6" ht="42" x14ac:dyDescent="0.25">
      <c r="A78" s="62" t="s">
        <v>10</v>
      </c>
      <c r="B78" s="63" t="s">
        <v>272</v>
      </c>
      <c r="C78" s="64" t="s">
        <v>273</v>
      </c>
      <c r="D78" s="49">
        <v>107812830925</v>
      </c>
      <c r="E78" s="49">
        <v>293417786332</v>
      </c>
      <c r="F78" s="65">
        <v>2150778207424</v>
      </c>
    </row>
    <row r="79" spans="1:6" ht="42" x14ac:dyDescent="0.25">
      <c r="A79" s="66"/>
      <c r="B79" s="67" t="s">
        <v>274</v>
      </c>
      <c r="C79" s="68" t="s">
        <v>275</v>
      </c>
      <c r="D79" s="69">
        <v>0</v>
      </c>
      <c r="E79" s="69">
        <v>0</v>
      </c>
      <c r="F79" s="70">
        <v>0</v>
      </c>
    </row>
    <row r="80" spans="1:6" ht="31.5" x14ac:dyDescent="0.25">
      <c r="A80" s="66"/>
      <c r="B80" s="67" t="s">
        <v>276</v>
      </c>
      <c r="C80" s="68" t="s">
        <v>277</v>
      </c>
      <c r="D80" s="69">
        <v>138849970508</v>
      </c>
      <c r="E80" s="69">
        <v>317870283704</v>
      </c>
      <c r="F80" s="70">
        <v>2220682069181</v>
      </c>
    </row>
    <row r="81" spans="1:6" ht="31.5" x14ac:dyDescent="0.25">
      <c r="A81" s="66"/>
      <c r="B81" s="67" t="s">
        <v>278</v>
      </c>
      <c r="C81" s="68" t="s">
        <v>279</v>
      </c>
      <c r="D81" s="69">
        <v>-31037139583</v>
      </c>
      <c r="E81" s="69">
        <v>-24452497372</v>
      </c>
      <c r="F81" s="70">
        <v>-69903861757</v>
      </c>
    </row>
    <row r="82" spans="1:6" ht="21" x14ac:dyDescent="0.25">
      <c r="A82" s="58" t="s">
        <v>280</v>
      </c>
      <c r="B82" s="59" t="s">
        <v>281</v>
      </c>
      <c r="C82" s="60" t="s">
        <v>282</v>
      </c>
      <c r="D82" s="44">
        <v>2404888002923</v>
      </c>
      <c r="E82" s="44">
        <v>2244878995971</v>
      </c>
      <c r="F82" s="61">
        <v>2404888002923</v>
      </c>
    </row>
    <row r="83" spans="1:6" ht="42" x14ac:dyDescent="0.25">
      <c r="A83" s="58" t="s">
        <v>283</v>
      </c>
      <c r="B83" s="59" t="s">
        <v>284</v>
      </c>
      <c r="C83" s="60" t="s">
        <v>285</v>
      </c>
      <c r="D83" s="44">
        <v>0</v>
      </c>
      <c r="E83" s="44">
        <v>0</v>
      </c>
      <c r="F83" s="61">
        <v>0</v>
      </c>
    </row>
    <row r="84" spans="1:6" ht="42" x14ac:dyDescent="0.25">
      <c r="A84" s="71"/>
      <c r="B84" s="72" t="s">
        <v>286</v>
      </c>
      <c r="C84" s="73" t="s">
        <v>287</v>
      </c>
      <c r="D84" s="74">
        <v>0</v>
      </c>
      <c r="E84" s="74">
        <v>0</v>
      </c>
      <c r="F84" s="75">
        <v>0</v>
      </c>
    </row>
    <row r="85" spans="1:6" ht="8.25" customHeight="1" x14ac:dyDescent="0.25">
      <c r="A85" s="321"/>
      <c r="B85" s="321"/>
      <c r="C85" s="321"/>
      <c r="D85" s="338"/>
      <c r="E85" s="338"/>
      <c r="F85" s="338"/>
    </row>
    <row r="86" spans="1:6" ht="12.75" customHeight="1" x14ac:dyDescent="0.25">
      <c r="A86" s="333" t="s">
        <v>288</v>
      </c>
      <c r="B86" s="333"/>
      <c r="C86" s="333"/>
      <c r="D86" s="322" t="s">
        <v>289</v>
      </c>
      <c r="E86" s="322"/>
      <c r="F86" s="322"/>
    </row>
    <row r="87" spans="1:6" ht="12.75" customHeight="1" x14ac:dyDescent="0.25">
      <c r="A87" s="323" t="s">
        <v>290</v>
      </c>
      <c r="B87" s="323"/>
      <c r="C87" s="323"/>
      <c r="D87" s="323" t="s">
        <v>291</v>
      </c>
      <c r="E87" s="323"/>
      <c r="F87" s="323"/>
    </row>
    <row r="88" spans="1:6" ht="15.75" customHeight="1" x14ac:dyDescent="0.25">
      <c r="A88" s="321"/>
      <c r="B88" s="321"/>
      <c r="C88" s="321"/>
      <c r="D88" s="321"/>
      <c r="E88" s="321"/>
      <c r="F88" s="321"/>
    </row>
    <row r="89" spans="1:6" ht="15.75" customHeight="1" x14ac:dyDescent="0.25">
      <c r="A89" s="321"/>
      <c r="B89" s="321"/>
      <c r="C89" s="321"/>
      <c r="D89" s="321"/>
      <c r="E89" s="321"/>
      <c r="F89" s="321"/>
    </row>
    <row r="90" spans="1:6" ht="15.75" customHeight="1" x14ac:dyDescent="0.25">
      <c r="A90" s="321"/>
      <c r="B90" s="321"/>
      <c r="C90" s="321"/>
      <c r="D90" s="321"/>
      <c r="E90" s="321"/>
      <c r="F90" s="321"/>
    </row>
    <row r="91" spans="1:6" ht="15.75" customHeight="1" x14ac:dyDescent="0.25">
      <c r="A91" s="321"/>
      <c r="B91" s="321"/>
      <c r="C91" s="321"/>
      <c r="D91" s="321"/>
      <c r="E91" s="321"/>
      <c r="F91" s="321"/>
    </row>
    <row r="92" spans="1:6" ht="12.75" customHeight="1" x14ac:dyDescent="0.25">
      <c r="A92" s="333" t="s">
        <v>292</v>
      </c>
      <c r="B92" s="333"/>
      <c r="C92" s="333"/>
      <c r="D92" s="333" t="s">
        <v>293</v>
      </c>
      <c r="E92" s="333"/>
      <c r="F92" s="333"/>
    </row>
    <row r="93" spans="1:6" ht="12.75" customHeight="1" x14ac:dyDescent="0.25">
      <c r="A93" s="319" t="s">
        <v>294</v>
      </c>
      <c r="B93" s="319"/>
      <c r="C93" s="319"/>
      <c r="D93" s="319" t="s">
        <v>295</v>
      </c>
      <c r="E93" s="319"/>
      <c r="F93" s="319"/>
    </row>
    <row r="94" spans="1:6" ht="12.75" customHeight="1" x14ac:dyDescent="0.25">
      <c r="A94" s="319" t="s">
        <v>296</v>
      </c>
      <c r="B94" s="319"/>
      <c r="C94" s="319"/>
      <c r="D94" s="319" t="s">
        <v>297</v>
      </c>
      <c r="E94" s="319"/>
      <c r="F94" s="319"/>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C13:F13"/>
    <mergeCell ref="E14:F14"/>
    <mergeCell ref="A15:F15"/>
    <mergeCell ref="A16:F16"/>
    <mergeCell ref="A17:F17"/>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 right="0" top="0.27" bottom="0.28000000000000003" header="0.25" footer="0.28000000000000003"/>
  <pageSetup paperSize="9" scale="9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9"/>
  <sheetViews>
    <sheetView showGridLines="0" showZeros="0" showOutlineSymbols="0" view="pageBreakPreview" topLeftCell="A40" zoomScaleNormal="100" zoomScaleSheetLayoutView="100" workbookViewId="0">
      <selection activeCell="D66" sqref="D66"/>
    </sheetView>
  </sheetViews>
  <sheetFormatPr defaultRowHeight="15" x14ac:dyDescent="0.25"/>
  <cols>
    <col min="1" max="1" width="4.28515625" style="1" customWidth="1"/>
    <col min="2" max="2" width="32.5703125" style="1" customWidth="1"/>
    <col min="3" max="3" width="11.42578125" style="1" customWidth="1"/>
    <col min="4" max="5" width="14.28515625" style="1" customWidth="1"/>
    <col min="6" max="6" width="17.140625" style="1" customWidth="1"/>
    <col min="7" max="7" width="11.42578125" style="1" customWidth="1"/>
    <col min="8" max="256" width="9.140625" style="1"/>
    <col min="257" max="257" width="4.28515625" style="1" customWidth="1"/>
    <col min="258" max="258" width="32.5703125" style="1" customWidth="1"/>
    <col min="259" max="259" width="11.42578125" style="1" customWidth="1"/>
    <col min="260" max="261" width="14.28515625" style="1" customWidth="1"/>
    <col min="262" max="262" width="17.140625" style="1" customWidth="1"/>
    <col min="263" max="263" width="11.42578125" style="1" customWidth="1"/>
    <col min="264" max="512" width="9.140625" style="1"/>
    <col min="513" max="513" width="4.28515625" style="1" customWidth="1"/>
    <col min="514" max="514" width="32.5703125" style="1" customWidth="1"/>
    <col min="515" max="515" width="11.42578125" style="1" customWidth="1"/>
    <col min="516" max="517" width="14.28515625" style="1" customWidth="1"/>
    <col min="518" max="518" width="17.140625" style="1" customWidth="1"/>
    <col min="519" max="519" width="11.42578125" style="1" customWidth="1"/>
    <col min="520" max="768" width="9.140625" style="1"/>
    <col min="769" max="769" width="4.28515625" style="1" customWidth="1"/>
    <col min="770" max="770" width="32.5703125" style="1" customWidth="1"/>
    <col min="771" max="771" width="11.42578125" style="1" customWidth="1"/>
    <col min="772" max="773" width="14.28515625" style="1" customWidth="1"/>
    <col min="774" max="774" width="17.140625" style="1" customWidth="1"/>
    <col min="775" max="775" width="11.42578125" style="1" customWidth="1"/>
    <col min="776" max="1024" width="9.140625" style="1"/>
    <col min="1025" max="1025" width="4.28515625" style="1" customWidth="1"/>
    <col min="1026" max="1026" width="32.5703125" style="1" customWidth="1"/>
    <col min="1027" max="1027" width="11.42578125" style="1" customWidth="1"/>
    <col min="1028" max="1029" width="14.28515625" style="1" customWidth="1"/>
    <col min="1030" max="1030" width="17.140625" style="1" customWidth="1"/>
    <col min="1031" max="1031" width="11.42578125" style="1" customWidth="1"/>
    <col min="1032" max="1280" width="9.140625" style="1"/>
    <col min="1281" max="1281" width="4.28515625" style="1" customWidth="1"/>
    <col min="1282" max="1282" width="32.5703125" style="1" customWidth="1"/>
    <col min="1283" max="1283" width="11.42578125" style="1" customWidth="1"/>
    <col min="1284" max="1285" width="14.28515625" style="1" customWidth="1"/>
    <col min="1286" max="1286" width="17.140625" style="1" customWidth="1"/>
    <col min="1287" max="1287" width="11.42578125" style="1" customWidth="1"/>
    <col min="1288" max="1536" width="9.140625" style="1"/>
    <col min="1537" max="1537" width="4.28515625" style="1" customWidth="1"/>
    <col min="1538" max="1538" width="32.5703125" style="1" customWidth="1"/>
    <col min="1539" max="1539" width="11.42578125" style="1" customWidth="1"/>
    <col min="1540" max="1541" width="14.28515625" style="1" customWidth="1"/>
    <col min="1542" max="1542" width="17.140625" style="1" customWidth="1"/>
    <col min="1543" max="1543" width="11.42578125" style="1" customWidth="1"/>
    <col min="1544" max="1792" width="9.140625" style="1"/>
    <col min="1793" max="1793" width="4.28515625" style="1" customWidth="1"/>
    <col min="1794" max="1794" width="32.5703125" style="1" customWidth="1"/>
    <col min="1795" max="1795" width="11.42578125" style="1" customWidth="1"/>
    <col min="1796" max="1797" width="14.28515625" style="1" customWidth="1"/>
    <col min="1798" max="1798" width="17.140625" style="1" customWidth="1"/>
    <col min="1799" max="1799" width="11.42578125" style="1" customWidth="1"/>
    <col min="1800" max="2048" width="9.140625" style="1"/>
    <col min="2049" max="2049" width="4.28515625" style="1" customWidth="1"/>
    <col min="2050" max="2050" width="32.5703125" style="1" customWidth="1"/>
    <col min="2051" max="2051" width="11.42578125" style="1" customWidth="1"/>
    <col min="2052" max="2053" width="14.28515625" style="1" customWidth="1"/>
    <col min="2054" max="2054" width="17.140625" style="1" customWidth="1"/>
    <col min="2055" max="2055" width="11.42578125" style="1" customWidth="1"/>
    <col min="2056" max="2304" width="9.140625" style="1"/>
    <col min="2305" max="2305" width="4.28515625" style="1" customWidth="1"/>
    <col min="2306" max="2306" width="32.5703125" style="1" customWidth="1"/>
    <col min="2307" max="2307" width="11.42578125" style="1" customWidth="1"/>
    <col min="2308" max="2309" width="14.28515625" style="1" customWidth="1"/>
    <col min="2310" max="2310" width="17.140625" style="1" customWidth="1"/>
    <col min="2311" max="2311" width="11.42578125" style="1" customWidth="1"/>
    <col min="2312" max="2560" width="9.140625" style="1"/>
    <col min="2561" max="2561" width="4.28515625" style="1" customWidth="1"/>
    <col min="2562" max="2562" width="32.5703125" style="1" customWidth="1"/>
    <col min="2563" max="2563" width="11.42578125" style="1" customWidth="1"/>
    <col min="2564" max="2565" width="14.28515625" style="1" customWidth="1"/>
    <col min="2566" max="2566" width="17.140625" style="1" customWidth="1"/>
    <col min="2567" max="2567" width="11.42578125" style="1" customWidth="1"/>
    <col min="2568" max="2816" width="9.140625" style="1"/>
    <col min="2817" max="2817" width="4.28515625" style="1" customWidth="1"/>
    <col min="2818" max="2818" width="32.5703125" style="1" customWidth="1"/>
    <col min="2819" max="2819" width="11.42578125" style="1" customWidth="1"/>
    <col min="2820" max="2821" width="14.28515625" style="1" customWidth="1"/>
    <col min="2822" max="2822" width="17.140625" style="1" customWidth="1"/>
    <col min="2823" max="2823" width="11.42578125" style="1" customWidth="1"/>
    <col min="2824" max="3072" width="9.140625" style="1"/>
    <col min="3073" max="3073" width="4.28515625" style="1" customWidth="1"/>
    <col min="3074" max="3074" width="32.5703125" style="1" customWidth="1"/>
    <col min="3075" max="3075" width="11.42578125" style="1" customWidth="1"/>
    <col min="3076" max="3077" width="14.28515625" style="1" customWidth="1"/>
    <col min="3078" max="3078" width="17.140625" style="1" customWidth="1"/>
    <col min="3079" max="3079" width="11.42578125" style="1" customWidth="1"/>
    <col min="3080" max="3328" width="9.140625" style="1"/>
    <col min="3329" max="3329" width="4.28515625" style="1" customWidth="1"/>
    <col min="3330" max="3330" width="32.5703125" style="1" customWidth="1"/>
    <col min="3331" max="3331" width="11.42578125" style="1" customWidth="1"/>
    <col min="3332" max="3333" width="14.28515625" style="1" customWidth="1"/>
    <col min="3334" max="3334" width="17.140625" style="1" customWidth="1"/>
    <col min="3335" max="3335" width="11.42578125" style="1" customWidth="1"/>
    <col min="3336" max="3584" width="9.140625" style="1"/>
    <col min="3585" max="3585" width="4.28515625" style="1" customWidth="1"/>
    <col min="3586" max="3586" width="32.5703125" style="1" customWidth="1"/>
    <col min="3587" max="3587" width="11.42578125" style="1" customWidth="1"/>
    <col min="3588" max="3589" width="14.28515625" style="1" customWidth="1"/>
    <col min="3590" max="3590" width="17.140625" style="1" customWidth="1"/>
    <col min="3591" max="3591" width="11.42578125" style="1" customWidth="1"/>
    <col min="3592" max="3840" width="9.140625" style="1"/>
    <col min="3841" max="3841" width="4.28515625" style="1" customWidth="1"/>
    <col min="3842" max="3842" width="32.5703125" style="1" customWidth="1"/>
    <col min="3843" max="3843" width="11.42578125" style="1" customWidth="1"/>
    <col min="3844" max="3845" width="14.28515625" style="1" customWidth="1"/>
    <col min="3846" max="3846" width="17.140625" style="1" customWidth="1"/>
    <col min="3847" max="3847" width="11.42578125" style="1" customWidth="1"/>
    <col min="3848" max="4096" width="9.140625" style="1"/>
    <col min="4097" max="4097" width="4.28515625" style="1" customWidth="1"/>
    <col min="4098" max="4098" width="32.5703125" style="1" customWidth="1"/>
    <col min="4099" max="4099" width="11.42578125" style="1" customWidth="1"/>
    <col min="4100" max="4101" width="14.28515625" style="1" customWidth="1"/>
    <col min="4102" max="4102" width="17.140625" style="1" customWidth="1"/>
    <col min="4103" max="4103" width="11.42578125" style="1" customWidth="1"/>
    <col min="4104" max="4352" width="9.140625" style="1"/>
    <col min="4353" max="4353" width="4.28515625" style="1" customWidth="1"/>
    <col min="4354" max="4354" width="32.5703125" style="1" customWidth="1"/>
    <col min="4355" max="4355" width="11.42578125" style="1" customWidth="1"/>
    <col min="4356" max="4357" width="14.28515625" style="1" customWidth="1"/>
    <col min="4358" max="4358" width="17.140625" style="1" customWidth="1"/>
    <col min="4359" max="4359" width="11.42578125" style="1" customWidth="1"/>
    <col min="4360" max="4608" width="9.140625" style="1"/>
    <col min="4609" max="4609" width="4.28515625" style="1" customWidth="1"/>
    <col min="4610" max="4610" width="32.5703125" style="1" customWidth="1"/>
    <col min="4611" max="4611" width="11.42578125" style="1" customWidth="1"/>
    <col min="4612" max="4613" width="14.28515625" style="1" customWidth="1"/>
    <col min="4614" max="4614" width="17.140625" style="1" customWidth="1"/>
    <col min="4615" max="4615" width="11.42578125" style="1" customWidth="1"/>
    <col min="4616" max="4864" width="9.140625" style="1"/>
    <col min="4865" max="4865" width="4.28515625" style="1" customWidth="1"/>
    <col min="4866" max="4866" width="32.5703125" style="1" customWidth="1"/>
    <col min="4867" max="4867" width="11.42578125" style="1" customWidth="1"/>
    <col min="4868" max="4869" width="14.28515625" style="1" customWidth="1"/>
    <col min="4870" max="4870" width="17.140625" style="1" customWidth="1"/>
    <col min="4871" max="4871" width="11.42578125" style="1" customWidth="1"/>
    <col min="4872" max="5120" width="9.140625" style="1"/>
    <col min="5121" max="5121" width="4.28515625" style="1" customWidth="1"/>
    <col min="5122" max="5122" width="32.5703125" style="1" customWidth="1"/>
    <col min="5123" max="5123" width="11.42578125" style="1" customWidth="1"/>
    <col min="5124" max="5125" width="14.28515625" style="1" customWidth="1"/>
    <col min="5126" max="5126" width="17.140625" style="1" customWidth="1"/>
    <col min="5127" max="5127" width="11.42578125" style="1" customWidth="1"/>
    <col min="5128" max="5376" width="9.140625" style="1"/>
    <col min="5377" max="5377" width="4.28515625" style="1" customWidth="1"/>
    <col min="5378" max="5378" width="32.5703125" style="1" customWidth="1"/>
    <col min="5379" max="5379" width="11.42578125" style="1" customWidth="1"/>
    <col min="5380" max="5381" width="14.28515625" style="1" customWidth="1"/>
    <col min="5382" max="5382" width="17.140625" style="1" customWidth="1"/>
    <col min="5383" max="5383" width="11.42578125" style="1" customWidth="1"/>
    <col min="5384" max="5632" width="9.140625" style="1"/>
    <col min="5633" max="5633" width="4.28515625" style="1" customWidth="1"/>
    <col min="5634" max="5634" width="32.5703125" style="1" customWidth="1"/>
    <col min="5635" max="5635" width="11.42578125" style="1" customWidth="1"/>
    <col min="5636" max="5637" width="14.28515625" style="1" customWidth="1"/>
    <col min="5638" max="5638" width="17.140625" style="1" customWidth="1"/>
    <col min="5639" max="5639" width="11.42578125" style="1" customWidth="1"/>
    <col min="5640" max="5888" width="9.140625" style="1"/>
    <col min="5889" max="5889" width="4.28515625" style="1" customWidth="1"/>
    <col min="5890" max="5890" width="32.5703125" style="1" customWidth="1"/>
    <col min="5891" max="5891" width="11.42578125" style="1" customWidth="1"/>
    <col min="5892" max="5893" width="14.28515625" style="1" customWidth="1"/>
    <col min="5894" max="5894" width="17.140625" style="1" customWidth="1"/>
    <col min="5895" max="5895" width="11.42578125" style="1" customWidth="1"/>
    <col min="5896" max="6144" width="9.140625" style="1"/>
    <col min="6145" max="6145" width="4.28515625" style="1" customWidth="1"/>
    <col min="6146" max="6146" width="32.5703125" style="1" customWidth="1"/>
    <col min="6147" max="6147" width="11.42578125" style="1" customWidth="1"/>
    <col min="6148" max="6149" width="14.28515625" style="1" customWidth="1"/>
    <col min="6150" max="6150" width="17.140625" style="1" customWidth="1"/>
    <col min="6151" max="6151" width="11.42578125" style="1" customWidth="1"/>
    <col min="6152" max="6400" width="9.140625" style="1"/>
    <col min="6401" max="6401" width="4.28515625" style="1" customWidth="1"/>
    <col min="6402" max="6402" width="32.5703125" style="1" customWidth="1"/>
    <col min="6403" max="6403" width="11.42578125" style="1" customWidth="1"/>
    <col min="6404" max="6405" width="14.28515625" style="1" customWidth="1"/>
    <col min="6406" max="6406" width="17.140625" style="1" customWidth="1"/>
    <col min="6407" max="6407" width="11.42578125" style="1" customWidth="1"/>
    <col min="6408" max="6656" width="9.140625" style="1"/>
    <col min="6657" max="6657" width="4.28515625" style="1" customWidth="1"/>
    <col min="6658" max="6658" width="32.5703125" style="1" customWidth="1"/>
    <col min="6659" max="6659" width="11.42578125" style="1" customWidth="1"/>
    <col min="6660" max="6661" width="14.28515625" style="1" customWidth="1"/>
    <col min="6662" max="6662" width="17.140625" style="1" customWidth="1"/>
    <col min="6663" max="6663" width="11.42578125" style="1" customWidth="1"/>
    <col min="6664" max="6912" width="9.140625" style="1"/>
    <col min="6913" max="6913" width="4.28515625" style="1" customWidth="1"/>
    <col min="6914" max="6914" width="32.5703125" style="1" customWidth="1"/>
    <col min="6915" max="6915" width="11.42578125" style="1" customWidth="1"/>
    <col min="6916" max="6917" width="14.28515625" style="1" customWidth="1"/>
    <col min="6918" max="6918" width="17.140625" style="1" customWidth="1"/>
    <col min="6919" max="6919" width="11.42578125" style="1" customWidth="1"/>
    <col min="6920" max="7168" width="9.140625" style="1"/>
    <col min="7169" max="7169" width="4.28515625" style="1" customWidth="1"/>
    <col min="7170" max="7170" width="32.5703125" style="1" customWidth="1"/>
    <col min="7171" max="7171" width="11.42578125" style="1" customWidth="1"/>
    <col min="7172" max="7173" width="14.28515625" style="1" customWidth="1"/>
    <col min="7174" max="7174" width="17.140625" style="1" customWidth="1"/>
    <col min="7175" max="7175" width="11.42578125" style="1" customWidth="1"/>
    <col min="7176" max="7424" width="9.140625" style="1"/>
    <col min="7425" max="7425" width="4.28515625" style="1" customWidth="1"/>
    <col min="7426" max="7426" width="32.5703125" style="1" customWidth="1"/>
    <col min="7427" max="7427" width="11.42578125" style="1" customWidth="1"/>
    <col min="7428" max="7429" width="14.28515625" style="1" customWidth="1"/>
    <col min="7430" max="7430" width="17.140625" style="1" customWidth="1"/>
    <col min="7431" max="7431" width="11.42578125" style="1" customWidth="1"/>
    <col min="7432" max="7680" width="9.140625" style="1"/>
    <col min="7681" max="7681" width="4.28515625" style="1" customWidth="1"/>
    <col min="7682" max="7682" width="32.5703125" style="1" customWidth="1"/>
    <col min="7683" max="7683" width="11.42578125" style="1" customWidth="1"/>
    <col min="7684" max="7685" width="14.28515625" style="1" customWidth="1"/>
    <col min="7686" max="7686" width="17.140625" style="1" customWidth="1"/>
    <col min="7687" max="7687" width="11.42578125" style="1" customWidth="1"/>
    <col min="7688" max="7936" width="9.140625" style="1"/>
    <col min="7937" max="7937" width="4.28515625" style="1" customWidth="1"/>
    <col min="7938" max="7938" width="32.5703125" style="1" customWidth="1"/>
    <col min="7939" max="7939" width="11.42578125" style="1" customWidth="1"/>
    <col min="7940" max="7941" width="14.28515625" style="1" customWidth="1"/>
    <col min="7942" max="7942" width="17.140625" style="1" customWidth="1"/>
    <col min="7943" max="7943" width="11.42578125" style="1" customWidth="1"/>
    <col min="7944" max="8192" width="9.140625" style="1"/>
    <col min="8193" max="8193" width="4.28515625" style="1" customWidth="1"/>
    <col min="8194" max="8194" width="32.5703125" style="1" customWidth="1"/>
    <col min="8195" max="8195" width="11.42578125" style="1" customWidth="1"/>
    <col min="8196" max="8197" width="14.28515625" style="1" customWidth="1"/>
    <col min="8198" max="8198" width="17.140625" style="1" customWidth="1"/>
    <col min="8199" max="8199" width="11.42578125" style="1" customWidth="1"/>
    <col min="8200" max="8448" width="9.140625" style="1"/>
    <col min="8449" max="8449" width="4.28515625" style="1" customWidth="1"/>
    <col min="8450" max="8450" width="32.5703125" style="1" customWidth="1"/>
    <col min="8451" max="8451" width="11.42578125" style="1" customWidth="1"/>
    <col min="8452" max="8453" width="14.28515625" style="1" customWidth="1"/>
    <col min="8454" max="8454" width="17.140625" style="1" customWidth="1"/>
    <col min="8455" max="8455" width="11.42578125" style="1" customWidth="1"/>
    <col min="8456" max="8704" width="9.140625" style="1"/>
    <col min="8705" max="8705" width="4.28515625" style="1" customWidth="1"/>
    <col min="8706" max="8706" width="32.5703125" style="1" customWidth="1"/>
    <col min="8707" max="8707" width="11.42578125" style="1" customWidth="1"/>
    <col min="8708" max="8709" width="14.28515625" style="1" customWidth="1"/>
    <col min="8710" max="8710" width="17.140625" style="1" customWidth="1"/>
    <col min="8711" max="8711" width="11.42578125" style="1" customWidth="1"/>
    <col min="8712" max="8960" width="9.140625" style="1"/>
    <col min="8961" max="8961" width="4.28515625" style="1" customWidth="1"/>
    <col min="8962" max="8962" width="32.5703125" style="1" customWidth="1"/>
    <col min="8963" max="8963" width="11.42578125" style="1" customWidth="1"/>
    <col min="8964" max="8965" width="14.28515625" style="1" customWidth="1"/>
    <col min="8966" max="8966" width="17.140625" style="1" customWidth="1"/>
    <col min="8967" max="8967" width="11.42578125" style="1" customWidth="1"/>
    <col min="8968" max="9216" width="9.140625" style="1"/>
    <col min="9217" max="9217" width="4.28515625" style="1" customWidth="1"/>
    <col min="9218" max="9218" width="32.5703125" style="1" customWidth="1"/>
    <col min="9219" max="9219" width="11.42578125" style="1" customWidth="1"/>
    <col min="9220" max="9221" width="14.28515625" style="1" customWidth="1"/>
    <col min="9222" max="9222" width="17.140625" style="1" customWidth="1"/>
    <col min="9223" max="9223" width="11.42578125" style="1" customWidth="1"/>
    <col min="9224" max="9472" width="9.140625" style="1"/>
    <col min="9473" max="9473" width="4.28515625" style="1" customWidth="1"/>
    <col min="9474" max="9474" width="32.5703125" style="1" customWidth="1"/>
    <col min="9475" max="9475" width="11.42578125" style="1" customWidth="1"/>
    <col min="9476" max="9477" width="14.28515625" style="1" customWidth="1"/>
    <col min="9478" max="9478" width="17.140625" style="1" customWidth="1"/>
    <col min="9479" max="9479" width="11.42578125" style="1" customWidth="1"/>
    <col min="9480" max="9728" width="9.140625" style="1"/>
    <col min="9729" max="9729" width="4.28515625" style="1" customWidth="1"/>
    <col min="9730" max="9730" width="32.5703125" style="1" customWidth="1"/>
    <col min="9731" max="9731" width="11.42578125" style="1" customWidth="1"/>
    <col min="9732" max="9733" width="14.28515625" style="1" customWidth="1"/>
    <col min="9734" max="9734" width="17.140625" style="1" customWidth="1"/>
    <col min="9735" max="9735" width="11.42578125" style="1" customWidth="1"/>
    <col min="9736" max="9984" width="9.140625" style="1"/>
    <col min="9985" max="9985" width="4.28515625" style="1" customWidth="1"/>
    <col min="9986" max="9986" width="32.5703125" style="1" customWidth="1"/>
    <col min="9987" max="9987" width="11.42578125" style="1" customWidth="1"/>
    <col min="9988" max="9989" width="14.28515625" style="1" customWidth="1"/>
    <col min="9990" max="9990" width="17.140625" style="1" customWidth="1"/>
    <col min="9991" max="9991" width="11.42578125" style="1" customWidth="1"/>
    <col min="9992" max="10240" width="9.140625" style="1"/>
    <col min="10241" max="10241" width="4.28515625" style="1" customWidth="1"/>
    <col min="10242" max="10242" width="32.5703125" style="1" customWidth="1"/>
    <col min="10243" max="10243" width="11.42578125" style="1" customWidth="1"/>
    <col min="10244" max="10245" width="14.28515625" style="1" customWidth="1"/>
    <col min="10246" max="10246" width="17.140625" style="1" customWidth="1"/>
    <col min="10247" max="10247" width="11.42578125" style="1" customWidth="1"/>
    <col min="10248" max="10496" width="9.140625" style="1"/>
    <col min="10497" max="10497" width="4.28515625" style="1" customWidth="1"/>
    <col min="10498" max="10498" width="32.5703125" style="1" customWidth="1"/>
    <col min="10499" max="10499" width="11.42578125" style="1" customWidth="1"/>
    <col min="10500" max="10501" width="14.28515625" style="1" customWidth="1"/>
    <col min="10502" max="10502" width="17.140625" style="1" customWidth="1"/>
    <col min="10503" max="10503" width="11.42578125" style="1" customWidth="1"/>
    <col min="10504" max="10752" width="9.140625" style="1"/>
    <col min="10753" max="10753" width="4.28515625" style="1" customWidth="1"/>
    <col min="10754" max="10754" width="32.5703125" style="1" customWidth="1"/>
    <col min="10755" max="10755" width="11.42578125" style="1" customWidth="1"/>
    <col min="10756" max="10757" width="14.28515625" style="1" customWidth="1"/>
    <col min="10758" max="10758" width="17.140625" style="1" customWidth="1"/>
    <col min="10759" max="10759" width="11.42578125" style="1" customWidth="1"/>
    <col min="10760" max="11008" width="9.140625" style="1"/>
    <col min="11009" max="11009" width="4.28515625" style="1" customWidth="1"/>
    <col min="11010" max="11010" width="32.5703125" style="1" customWidth="1"/>
    <col min="11011" max="11011" width="11.42578125" style="1" customWidth="1"/>
    <col min="11012" max="11013" width="14.28515625" style="1" customWidth="1"/>
    <col min="11014" max="11014" width="17.140625" style="1" customWidth="1"/>
    <col min="11015" max="11015" width="11.42578125" style="1" customWidth="1"/>
    <col min="11016" max="11264" width="9.140625" style="1"/>
    <col min="11265" max="11265" width="4.28515625" style="1" customWidth="1"/>
    <col min="11266" max="11266" width="32.5703125" style="1" customWidth="1"/>
    <col min="11267" max="11267" width="11.42578125" style="1" customWidth="1"/>
    <col min="11268" max="11269" width="14.28515625" style="1" customWidth="1"/>
    <col min="11270" max="11270" width="17.140625" style="1" customWidth="1"/>
    <col min="11271" max="11271" width="11.42578125" style="1" customWidth="1"/>
    <col min="11272" max="11520" width="9.140625" style="1"/>
    <col min="11521" max="11521" width="4.28515625" style="1" customWidth="1"/>
    <col min="11522" max="11522" width="32.5703125" style="1" customWidth="1"/>
    <col min="11523" max="11523" width="11.42578125" style="1" customWidth="1"/>
    <col min="11524" max="11525" width="14.28515625" style="1" customWidth="1"/>
    <col min="11526" max="11526" width="17.140625" style="1" customWidth="1"/>
    <col min="11527" max="11527" width="11.42578125" style="1" customWidth="1"/>
    <col min="11528" max="11776" width="9.140625" style="1"/>
    <col min="11777" max="11777" width="4.28515625" style="1" customWidth="1"/>
    <col min="11778" max="11778" width="32.5703125" style="1" customWidth="1"/>
    <col min="11779" max="11779" width="11.42578125" style="1" customWidth="1"/>
    <col min="11780" max="11781" width="14.28515625" style="1" customWidth="1"/>
    <col min="11782" max="11782" width="17.140625" style="1" customWidth="1"/>
    <col min="11783" max="11783" width="11.42578125" style="1" customWidth="1"/>
    <col min="11784" max="12032" width="9.140625" style="1"/>
    <col min="12033" max="12033" width="4.28515625" style="1" customWidth="1"/>
    <col min="12034" max="12034" width="32.5703125" style="1" customWidth="1"/>
    <col min="12035" max="12035" width="11.42578125" style="1" customWidth="1"/>
    <col min="12036" max="12037" width="14.28515625" style="1" customWidth="1"/>
    <col min="12038" max="12038" width="17.140625" style="1" customWidth="1"/>
    <col min="12039" max="12039" width="11.42578125" style="1" customWidth="1"/>
    <col min="12040" max="12288" width="9.140625" style="1"/>
    <col min="12289" max="12289" width="4.28515625" style="1" customWidth="1"/>
    <col min="12290" max="12290" width="32.5703125" style="1" customWidth="1"/>
    <col min="12291" max="12291" width="11.42578125" style="1" customWidth="1"/>
    <col min="12292" max="12293" width="14.28515625" style="1" customWidth="1"/>
    <col min="12294" max="12294" width="17.140625" style="1" customWidth="1"/>
    <col min="12295" max="12295" width="11.42578125" style="1" customWidth="1"/>
    <col min="12296" max="12544" width="9.140625" style="1"/>
    <col min="12545" max="12545" width="4.28515625" style="1" customWidth="1"/>
    <col min="12546" max="12546" width="32.5703125" style="1" customWidth="1"/>
    <col min="12547" max="12547" width="11.42578125" style="1" customWidth="1"/>
    <col min="12548" max="12549" width="14.28515625" style="1" customWidth="1"/>
    <col min="12550" max="12550" width="17.140625" style="1" customWidth="1"/>
    <col min="12551" max="12551" width="11.42578125" style="1" customWidth="1"/>
    <col min="12552" max="12800" width="9.140625" style="1"/>
    <col min="12801" max="12801" width="4.28515625" style="1" customWidth="1"/>
    <col min="12802" max="12802" width="32.5703125" style="1" customWidth="1"/>
    <col min="12803" max="12803" width="11.42578125" style="1" customWidth="1"/>
    <col min="12804" max="12805" width="14.28515625" style="1" customWidth="1"/>
    <col min="12806" max="12806" width="17.140625" style="1" customWidth="1"/>
    <col min="12807" max="12807" width="11.42578125" style="1" customWidth="1"/>
    <col min="12808" max="13056" width="9.140625" style="1"/>
    <col min="13057" max="13057" width="4.28515625" style="1" customWidth="1"/>
    <col min="13058" max="13058" width="32.5703125" style="1" customWidth="1"/>
    <col min="13059" max="13059" width="11.42578125" style="1" customWidth="1"/>
    <col min="13060" max="13061" width="14.28515625" style="1" customWidth="1"/>
    <col min="13062" max="13062" width="17.140625" style="1" customWidth="1"/>
    <col min="13063" max="13063" width="11.42578125" style="1" customWidth="1"/>
    <col min="13064" max="13312" width="9.140625" style="1"/>
    <col min="13313" max="13313" width="4.28515625" style="1" customWidth="1"/>
    <col min="13314" max="13314" width="32.5703125" style="1" customWidth="1"/>
    <col min="13315" max="13315" width="11.42578125" style="1" customWidth="1"/>
    <col min="13316" max="13317" width="14.28515625" style="1" customWidth="1"/>
    <col min="13318" max="13318" width="17.140625" style="1" customWidth="1"/>
    <col min="13319" max="13319" width="11.42578125" style="1" customWidth="1"/>
    <col min="13320" max="13568" width="9.140625" style="1"/>
    <col min="13569" max="13569" width="4.28515625" style="1" customWidth="1"/>
    <col min="13570" max="13570" width="32.5703125" style="1" customWidth="1"/>
    <col min="13571" max="13571" width="11.42578125" style="1" customWidth="1"/>
    <col min="13572" max="13573" width="14.28515625" style="1" customWidth="1"/>
    <col min="13574" max="13574" width="17.140625" style="1" customWidth="1"/>
    <col min="13575" max="13575" width="11.42578125" style="1" customWidth="1"/>
    <col min="13576" max="13824" width="9.140625" style="1"/>
    <col min="13825" max="13825" width="4.28515625" style="1" customWidth="1"/>
    <col min="13826" max="13826" width="32.5703125" style="1" customWidth="1"/>
    <col min="13827" max="13827" width="11.42578125" style="1" customWidth="1"/>
    <col min="13828" max="13829" width="14.28515625" style="1" customWidth="1"/>
    <col min="13830" max="13830" width="17.140625" style="1" customWidth="1"/>
    <col min="13831" max="13831" width="11.42578125" style="1" customWidth="1"/>
    <col min="13832" max="14080" width="9.140625" style="1"/>
    <col min="14081" max="14081" width="4.28515625" style="1" customWidth="1"/>
    <col min="14082" max="14082" width="32.5703125" style="1" customWidth="1"/>
    <col min="14083" max="14083" width="11.42578125" style="1" customWidth="1"/>
    <col min="14084" max="14085" width="14.28515625" style="1" customWidth="1"/>
    <col min="14086" max="14086" width="17.140625" style="1" customWidth="1"/>
    <col min="14087" max="14087" width="11.42578125" style="1" customWidth="1"/>
    <col min="14088" max="14336" width="9.140625" style="1"/>
    <col min="14337" max="14337" width="4.28515625" style="1" customWidth="1"/>
    <col min="14338" max="14338" width="32.5703125" style="1" customWidth="1"/>
    <col min="14339" max="14339" width="11.42578125" style="1" customWidth="1"/>
    <col min="14340" max="14341" width="14.28515625" style="1" customWidth="1"/>
    <col min="14342" max="14342" width="17.140625" style="1" customWidth="1"/>
    <col min="14343" max="14343" width="11.42578125" style="1" customWidth="1"/>
    <col min="14344" max="14592" width="9.140625" style="1"/>
    <col min="14593" max="14593" width="4.28515625" style="1" customWidth="1"/>
    <col min="14594" max="14594" width="32.5703125" style="1" customWidth="1"/>
    <col min="14595" max="14595" width="11.42578125" style="1" customWidth="1"/>
    <col min="14596" max="14597" width="14.28515625" style="1" customWidth="1"/>
    <col min="14598" max="14598" width="17.140625" style="1" customWidth="1"/>
    <col min="14599" max="14599" width="11.42578125" style="1" customWidth="1"/>
    <col min="14600" max="14848" width="9.140625" style="1"/>
    <col min="14849" max="14849" width="4.28515625" style="1" customWidth="1"/>
    <col min="14850" max="14850" width="32.5703125" style="1" customWidth="1"/>
    <col min="14851" max="14851" width="11.42578125" style="1" customWidth="1"/>
    <col min="14852" max="14853" width="14.28515625" style="1" customWidth="1"/>
    <col min="14854" max="14854" width="17.140625" style="1" customWidth="1"/>
    <col min="14855" max="14855" width="11.42578125" style="1" customWidth="1"/>
    <col min="14856" max="15104" width="9.140625" style="1"/>
    <col min="15105" max="15105" width="4.28515625" style="1" customWidth="1"/>
    <col min="15106" max="15106" width="32.5703125" style="1" customWidth="1"/>
    <col min="15107" max="15107" width="11.42578125" style="1" customWidth="1"/>
    <col min="15108" max="15109" width="14.28515625" style="1" customWidth="1"/>
    <col min="15110" max="15110" width="17.140625" style="1" customWidth="1"/>
    <col min="15111" max="15111" width="11.42578125" style="1" customWidth="1"/>
    <col min="15112" max="15360" width="9.140625" style="1"/>
    <col min="15361" max="15361" width="4.28515625" style="1" customWidth="1"/>
    <col min="15362" max="15362" width="32.5703125" style="1" customWidth="1"/>
    <col min="15363" max="15363" width="11.42578125" style="1" customWidth="1"/>
    <col min="15364" max="15365" width="14.28515625" style="1" customWidth="1"/>
    <col min="15366" max="15366" width="17.140625" style="1" customWidth="1"/>
    <col min="15367" max="15367" width="11.42578125" style="1" customWidth="1"/>
    <col min="15368" max="15616" width="9.140625" style="1"/>
    <col min="15617" max="15617" width="4.28515625" style="1" customWidth="1"/>
    <col min="15618" max="15618" width="32.5703125" style="1" customWidth="1"/>
    <col min="15619" max="15619" width="11.42578125" style="1" customWidth="1"/>
    <col min="15620" max="15621" width="14.28515625" style="1" customWidth="1"/>
    <col min="15622" max="15622" width="17.140625" style="1" customWidth="1"/>
    <col min="15623" max="15623" width="11.42578125" style="1" customWidth="1"/>
    <col min="15624" max="15872" width="9.140625" style="1"/>
    <col min="15873" max="15873" width="4.28515625" style="1" customWidth="1"/>
    <col min="15874" max="15874" width="32.5703125" style="1" customWidth="1"/>
    <col min="15875" max="15875" width="11.42578125" style="1" customWidth="1"/>
    <col min="15876" max="15877" width="14.28515625" style="1" customWidth="1"/>
    <col min="15878" max="15878" width="17.140625" style="1" customWidth="1"/>
    <col min="15879" max="15879" width="11.42578125" style="1" customWidth="1"/>
    <col min="15880" max="16128" width="9.140625" style="1"/>
    <col min="16129" max="16129" width="4.28515625" style="1" customWidth="1"/>
    <col min="16130" max="16130" width="32.5703125" style="1" customWidth="1"/>
    <col min="16131" max="16131" width="11.42578125" style="1" customWidth="1"/>
    <col min="16132" max="16133" width="14.28515625" style="1" customWidth="1"/>
    <col min="16134" max="16134" width="17.140625" style="1" customWidth="1"/>
    <col min="16135" max="16135" width="11.42578125" style="1" customWidth="1"/>
    <col min="16136" max="16384" width="9.140625" style="1"/>
  </cols>
  <sheetData>
    <row r="1" spans="1:7" ht="27" customHeight="1" x14ac:dyDescent="0.25">
      <c r="A1" s="347"/>
      <c r="B1" s="347"/>
      <c r="C1" s="348" t="s">
        <v>0</v>
      </c>
      <c r="D1" s="348"/>
      <c r="E1" s="348"/>
      <c r="F1" s="348"/>
      <c r="G1" s="348"/>
    </row>
    <row r="2" spans="1:7" ht="43.5" customHeight="1" x14ac:dyDescent="0.25">
      <c r="A2" s="349" t="s">
        <v>1</v>
      </c>
      <c r="B2" s="349"/>
      <c r="C2" s="349"/>
      <c r="D2" s="349"/>
      <c r="E2" s="349"/>
      <c r="F2" s="349"/>
      <c r="G2" s="349"/>
    </row>
    <row r="3" spans="1:7" ht="9.75" customHeight="1" x14ac:dyDescent="0.25">
      <c r="A3" s="2"/>
      <c r="B3" s="2"/>
      <c r="C3" s="347"/>
      <c r="D3" s="347"/>
      <c r="E3" s="347"/>
      <c r="F3" s="347"/>
      <c r="G3" s="347"/>
    </row>
    <row r="4" spans="1:7" ht="13.5" customHeight="1" x14ac:dyDescent="0.25">
      <c r="A4" s="350" t="s">
        <v>2</v>
      </c>
      <c r="B4" s="350"/>
      <c r="C4" s="350"/>
      <c r="D4" s="350"/>
      <c r="E4" s="350"/>
      <c r="F4" s="350"/>
      <c r="G4" s="350"/>
    </row>
    <row r="5" spans="1:7" ht="12.75" customHeight="1" x14ac:dyDescent="0.25">
      <c r="A5" s="350" t="s">
        <v>3</v>
      </c>
      <c r="B5" s="350"/>
      <c r="C5" s="350"/>
      <c r="D5" s="350"/>
      <c r="E5" s="350"/>
      <c r="F5" s="350"/>
      <c r="G5" s="350"/>
    </row>
    <row r="6" spans="1:7" ht="12" customHeight="1" x14ac:dyDescent="0.25">
      <c r="A6" s="351" t="s">
        <v>4</v>
      </c>
      <c r="B6" s="351"/>
      <c r="C6" s="351"/>
      <c r="D6" s="351"/>
      <c r="E6" s="351"/>
      <c r="F6" s="351"/>
      <c r="G6" s="351"/>
    </row>
    <row r="7" spans="1:7" ht="9.75" customHeight="1" x14ac:dyDescent="0.25">
      <c r="A7" s="2"/>
      <c r="B7" s="2"/>
      <c r="C7" s="347"/>
      <c r="D7" s="347"/>
      <c r="E7" s="347"/>
      <c r="F7" s="347"/>
      <c r="G7" s="347"/>
    </row>
    <row r="8" spans="1:7" ht="12.75" customHeight="1" x14ac:dyDescent="0.25">
      <c r="A8" s="3" t="s">
        <v>5</v>
      </c>
      <c r="B8" s="4" t="s">
        <v>6</v>
      </c>
      <c r="C8" s="352" t="s">
        <v>7</v>
      </c>
      <c r="D8" s="352"/>
      <c r="E8" s="352"/>
      <c r="F8" s="352"/>
      <c r="G8" s="352"/>
    </row>
    <row r="9" spans="1:7" ht="12.75" customHeight="1" x14ac:dyDescent="0.25">
      <c r="A9" s="2"/>
      <c r="B9" s="5" t="s">
        <v>8</v>
      </c>
      <c r="C9" s="346" t="s">
        <v>9</v>
      </c>
      <c r="D9" s="346"/>
      <c r="E9" s="346"/>
      <c r="F9" s="346"/>
      <c r="G9" s="346"/>
    </row>
    <row r="10" spans="1:7" ht="12.75" customHeight="1" x14ac:dyDescent="0.25">
      <c r="A10" s="3" t="s">
        <v>10</v>
      </c>
      <c r="B10" s="4" t="s">
        <v>11</v>
      </c>
      <c r="C10" s="352" t="s">
        <v>12</v>
      </c>
      <c r="D10" s="352"/>
      <c r="E10" s="352"/>
      <c r="F10" s="352"/>
      <c r="G10" s="352"/>
    </row>
    <row r="11" spans="1:7" ht="12.75" customHeight="1" x14ac:dyDescent="0.25">
      <c r="A11" s="2"/>
      <c r="B11" s="5" t="s">
        <v>13</v>
      </c>
      <c r="C11" s="346" t="s">
        <v>14</v>
      </c>
      <c r="D11" s="346"/>
      <c r="E11" s="346"/>
      <c r="F11" s="346"/>
      <c r="G11" s="346"/>
    </row>
    <row r="12" spans="1:7" ht="12.75" customHeight="1" x14ac:dyDescent="0.25">
      <c r="A12" s="3" t="s">
        <v>15</v>
      </c>
      <c r="B12" s="4" t="s">
        <v>16</v>
      </c>
      <c r="C12" s="352" t="s">
        <v>17</v>
      </c>
      <c r="D12" s="352"/>
      <c r="E12" s="352"/>
      <c r="F12" s="352"/>
      <c r="G12" s="352"/>
    </row>
    <row r="13" spans="1:7" ht="12.75" customHeight="1" x14ac:dyDescent="0.25">
      <c r="A13" s="2"/>
      <c r="B13" s="5" t="s">
        <v>18</v>
      </c>
      <c r="C13" s="346" t="s">
        <v>19</v>
      </c>
      <c r="D13" s="346"/>
      <c r="E13" s="346"/>
      <c r="F13" s="346"/>
      <c r="G13" s="346"/>
    </row>
    <row r="14" spans="1:7" ht="12.75" customHeight="1" x14ac:dyDescent="0.25">
      <c r="A14" s="3" t="s">
        <v>20</v>
      </c>
      <c r="B14" s="4" t="s">
        <v>21</v>
      </c>
      <c r="C14" s="354">
        <v>44140</v>
      </c>
      <c r="D14" s="352"/>
      <c r="E14" s="352"/>
      <c r="F14" s="352"/>
      <c r="G14" s="352"/>
    </row>
    <row r="15" spans="1:7" ht="12.75" customHeight="1" x14ac:dyDescent="0.25">
      <c r="A15" s="2"/>
      <c r="B15" s="5" t="s">
        <v>22</v>
      </c>
      <c r="C15" s="355">
        <v>44140</v>
      </c>
      <c r="D15" s="346"/>
      <c r="E15" s="346"/>
      <c r="F15" s="346"/>
      <c r="G15" s="346"/>
    </row>
    <row r="16" spans="1:7" ht="12.75" customHeight="1" x14ac:dyDescent="0.25">
      <c r="A16" s="2"/>
      <c r="B16" s="2"/>
      <c r="C16" s="356"/>
      <c r="D16" s="356"/>
      <c r="E16" s="356"/>
      <c r="F16" s="356"/>
      <c r="G16" s="356"/>
    </row>
    <row r="17" spans="1:7" ht="12.75" customHeight="1" x14ac:dyDescent="0.25">
      <c r="A17" s="352" t="s">
        <v>23</v>
      </c>
      <c r="B17" s="352"/>
      <c r="C17" s="352"/>
      <c r="D17" s="352"/>
      <c r="E17" s="352"/>
      <c r="F17" s="352"/>
      <c r="G17" s="352"/>
    </row>
    <row r="18" spans="1:7" ht="12.75" customHeight="1" x14ac:dyDescent="0.25">
      <c r="A18" s="352" t="s">
        <v>24</v>
      </c>
      <c r="B18" s="352"/>
      <c r="C18" s="352"/>
      <c r="D18" s="352"/>
      <c r="E18" s="352"/>
      <c r="F18" s="352"/>
      <c r="G18" s="352"/>
    </row>
    <row r="19" spans="1:7" ht="12.75" customHeight="1" x14ac:dyDescent="0.25">
      <c r="A19" s="6"/>
      <c r="B19" s="6"/>
      <c r="C19" s="353" t="s">
        <v>25</v>
      </c>
      <c r="D19" s="353"/>
      <c r="E19" s="353"/>
      <c r="F19" s="353"/>
      <c r="G19" s="353"/>
    </row>
    <row r="20" spans="1:7" ht="81.75" customHeight="1" x14ac:dyDescent="0.25">
      <c r="A20" s="7" t="s">
        <v>26</v>
      </c>
      <c r="B20" s="8" t="s">
        <v>27</v>
      </c>
      <c r="C20" s="8" t="s">
        <v>28</v>
      </c>
      <c r="D20" s="8" t="s">
        <v>29</v>
      </c>
      <c r="E20" s="8" t="s">
        <v>30</v>
      </c>
      <c r="F20" s="8" t="s">
        <v>31</v>
      </c>
      <c r="G20" s="9" t="s">
        <v>32</v>
      </c>
    </row>
    <row r="21" spans="1:7" ht="21" x14ac:dyDescent="0.25">
      <c r="A21" s="10" t="s">
        <v>33</v>
      </c>
      <c r="B21" s="11" t="s">
        <v>34</v>
      </c>
      <c r="C21" s="12" t="s">
        <v>35</v>
      </c>
      <c r="D21" s="13">
        <v>0</v>
      </c>
      <c r="E21" s="14">
        <v>0</v>
      </c>
      <c r="F21" s="14">
        <v>0</v>
      </c>
      <c r="G21" s="15">
        <v>0</v>
      </c>
    </row>
    <row r="22" spans="1:7" x14ac:dyDescent="0.25">
      <c r="A22" s="16" t="s">
        <v>5</v>
      </c>
      <c r="B22" s="17" t="s">
        <v>36</v>
      </c>
      <c r="C22" s="18" t="s">
        <v>37</v>
      </c>
      <c r="D22" s="19">
        <v>704360</v>
      </c>
      <c r="E22" s="20">
        <v>56400</v>
      </c>
      <c r="F22" s="20">
        <v>39725904000</v>
      </c>
      <c r="G22" s="21">
        <v>1.6400000000000001E-2</v>
      </c>
    </row>
    <row r="23" spans="1:7" x14ac:dyDescent="0.25">
      <c r="A23" s="16" t="s">
        <v>10</v>
      </c>
      <c r="B23" s="17" t="s">
        <v>38</v>
      </c>
      <c r="C23" s="18" t="s">
        <v>39</v>
      </c>
      <c r="D23" s="19">
        <v>5313750</v>
      </c>
      <c r="E23" s="20">
        <v>29000</v>
      </c>
      <c r="F23" s="20">
        <v>154098750000</v>
      </c>
      <c r="G23" s="21">
        <v>6.3700000000000007E-2</v>
      </c>
    </row>
    <row r="24" spans="1:7" x14ac:dyDescent="0.25">
      <c r="A24" s="16" t="s">
        <v>15</v>
      </c>
      <c r="B24" s="17" t="s">
        <v>40</v>
      </c>
      <c r="C24" s="18" t="s">
        <v>41</v>
      </c>
      <c r="D24" s="19">
        <v>6694871</v>
      </c>
      <c r="E24" s="20">
        <v>51500</v>
      </c>
      <c r="F24" s="20">
        <v>344785856500</v>
      </c>
      <c r="G24" s="21">
        <v>0.14249999999999999</v>
      </c>
    </row>
    <row r="25" spans="1:7" x14ac:dyDescent="0.25">
      <c r="A25" s="16" t="s">
        <v>20</v>
      </c>
      <c r="B25" s="17" t="s">
        <v>42</v>
      </c>
      <c r="C25" s="18" t="s">
        <v>43</v>
      </c>
      <c r="D25" s="19">
        <v>4008757</v>
      </c>
      <c r="E25" s="20">
        <v>23450</v>
      </c>
      <c r="F25" s="20">
        <v>94005351650</v>
      </c>
      <c r="G25" s="21">
        <v>3.8800000000000001E-2</v>
      </c>
    </row>
    <row r="26" spans="1:7" x14ac:dyDescent="0.25">
      <c r="A26" s="16" t="s">
        <v>44</v>
      </c>
      <c r="B26" s="17" t="s">
        <v>45</v>
      </c>
      <c r="C26" s="18" t="s">
        <v>46</v>
      </c>
      <c r="D26" s="19">
        <v>5271493</v>
      </c>
      <c r="E26" s="20">
        <v>25000</v>
      </c>
      <c r="F26" s="20">
        <v>131787325000</v>
      </c>
      <c r="G26" s="21">
        <v>5.45E-2</v>
      </c>
    </row>
    <row r="27" spans="1:7" x14ac:dyDescent="0.25">
      <c r="A27" s="16" t="s">
        <v>47</v>
      </c>
      <c r="B27" s="17" t="s">
        <v>48</v>
      </c>
      <c r="C27" s="18" t="s">
        <v>49</v>
      </c>
      <c r="D27" s="19">
        <v>11872959</v>
      </c>
      <c r="E27" s="20">
        <v>17800</v>
      </c>
      <c r="F27" s="20">
        <v>211338670200</v>
      </c>
      <c r="G27" s="21">
        <v>8.7300000000000003E-2</v>
      </c>
    </row>
    <row r="28" spans="1:7" x14ac:dyDescent="0.25">
      <c r="A28" s="16" t="s">
        <v>50</v>
      </c>
      <c r="B28" s="17" t="s">
        <v>51</v>
      </c>
      <c r="C28" s="18" t="s">
        <v>52</v>
      </c>
      <c r="D28" s="19">
        <v>3396060</v>
      </c>
      <c r="E28" s="20">
        <v>104700</v>
      </c>
      <c r="F28" s="20">
        <v>355567482000</v>
      </c>
      <c r="G28" s="21">
        <v>0.1469</v>
      </c>
    </row>
    <row r="29" spans="1:7" x14ac:dyDescent="0.25">
      <c r="A29" s="16" t="s">
        <v>53</v>
      </c>
      <c r="B29" s="17" t="s">
        <v>54</v>
      </c>
      <c r="C29" s="18" t="s">
        <v>55</v>
      </c>
      <c r="D29" s="19">
        <v>2543252</v>
      </c>
      <c r="E29" s="20">
        <v>27200</v>
      </c>
      <c r="F29" s="20">
        <v>69176454400</v>
      </c>
      <c r="G29" s="21">
        <v>2.86E-2</v>
      </c>
    </row>
    <row r="30" spans="1:7" x14ac:dyDescent="0.25">
      <c r="A30" s="16" t="s">
        <v>56</v>
      </c>
      <c r="B30" s="17" t="s">
        <v>57</v>
      </c>
      <c r="C30" s="18" t="s">
        <v>58</v>
      </c>
      <c r="D30" s="19">
        <v>2871540</v>
      </c>
      <c r="E30" s="20">
        <v>69500</v>
      </c>
      <c r="F30" s="20">
        <v>199572030000</v>
      </c>
      <c r="G30" s="21">
        <v>8.2500000000000004E-2</v>
      </c>
    </row>
    <row r="31" spans="1:7" x14ac:dyDescent="0.25">
      <c r="A31" s="16" t="s">
        <v>59</v>
      </c>
      <c r="B31" s="17" t="s">
        <v>60</v>
      </c>
      <c r="C31" s="18" t="s">
        <v>61</v>
      </c>
      <c r="D31" s="19">
        <v>2475153</v>
      </c>
      <c r="E31" s="20">
        <v>41900</v>
      </c>
      <c r="F31" s="20">
        <v>103708910700</v>
      </c>
      <c r="G31" s="21">
        <v>4.2900000000000001E-2</v>
      </c>
    </row>
    <row r="32" spans="1:7" x14ac:dyDescent="0.25">
      <c r="A32" s="16" t="s">
        <v>62</v>
      </c>
      <c r="B32" s="17" t="s">
        <v>63</v>
      </c>
      <c r="C32" s="18" t="s">
        <v>64</v>
      </c>
      <c r="D32" s="19">
        <v>11304130</v>
      </c>
      <c r="E32" s="20">
        <v>21350</v>
      </c>
      <c r="F32" s="20">
        <v>241343175500</v>
      </c>
      <c r="G32" s="21">
        <v>9.9699999999999997E-2</v>
      </c>
    </row>
    <row r="33" spans="1:7" x14ac:dyDescent="0.25">
      <c r="A33" s="16" t="s">
        <v>65</v>
      </c>
      <c r="B33" s="17" t="s">
        <v>66</v>
      </c>
      <c r="C33" s="18" t="s">
        <v>67</v>
      </c>
      <c r="D33" s="19">
        <v>3496307</v>
      </c>
      <c r="E33" s="20">
        <v>22800</v>
      </c>
      <c r="F33" s="20">
        <v>79715799600</v>
      </c>
      <c r="G33" s="21">
        <v>3.2899999999999999E-2</v>
      </c>
    </row>
    <row r="34" spans="1:7" x14ac:dyDescent="0.25">
      <c r="A34" s="16" t="s">
        <v>68</v>
      </c>
      <c r="B34" s="17" t="s">
        <v>69</v>
      </c>
      <c r="C34" s="18" t="s">
        <v>70</v>
      </c>
      <c r="D34" s="19">
        <v>10210950</v>
      </c>
      <c r="E34" s="20">
        <v>23600</v>
      </c>
      <c r="F34" s="20">
        <v>240978420000</v>
      </c>
      <c r="G34" s="21">
        <v>9.9599999999999994E-2</v>
      </c>
    </row>
    <row r="35" spans="1:7" x14ac:dyDescent="0.25">
      <c r="A35" s="10"/>
      <c r="B35" s="11" t="s">
        <v>71</v>
      </c>
      <c r="C35" s="12" t="s">
        <v>72</v>
      </c>
      <c r="D35" s="13"/>
      <c r="E35" s="14">
        <v>0</v>
      </c>
      <c r="F35" s="14">
        <v>2265804129550</v>
      </c>
      <c r="G35" s="15">
        <v>0.93630000000000002</v>
      </c>
    </row>
    <row r="36" spans="1:7" ht="21" x14ac:dyDescent="0.25">
      <c r="A36" s="10" t="s">
        <v>73</v>
      </c>
      <c r="B36" s="11" t="s">
        <v>74</v>
      </c>
      <c r="C36" s="12" t="s">
        <v>75</v>
      </c>
      <c r="D36" s="13">
        <v>0</v>
      </c>
      <c r="E36" s="14">
        <v>0</v>
      </c>
      <c r="F36" s="14">
        <v>0</v>
      </c>
      <c r="G36" s="15">
        <v>0</v>
      </c>
    </row>
    <row r="37" spans="1:7" ht="21" x14ac:dyDescent="0.25">
      <c r="A37" s="16"/>
      <c r="B37" s="17" t="s">
        <v>76</v>
      </c>
      <c r="C37" s="18" t="s">
        <v>77</v>
      </c>
      <c r="D37" s="19">
        <v>0</v>
      </c>
      <c r="E37" s="20">
        <v>0</v>
      </c>
      <c r="F37" s="20">
        <v>0</v>
      </c>
      <c r="G37" s="21">
        <v>0</v>
      </c>
    </row>
    <row r="38" spans="1:7" ht="21" x14ac:dyDescent="0.25">
      <c r="A38" s="10"/>
      <c r="B38" s="11" t="s">
        <v>78</v>
      </c>
      <c r="C38" s="12" t="s">
        <v>79</v>
      </c>
      <c r="D38" s="13"/>
      <c r="E38" s="14">
        <v>0</v>
      </c>
      <c r="F38" s="14">
        <v>2265804129550</v>
      </c>
      <c r="G38" s="15">
        <v>0.93630000000000002</v>
      </c>
    </row>
    <row r="39" spans="1:7" ht="21" x14ac:dyDescent="0.25">
      <c r="A39" s="10" t="s">
        <v>80</v>
      </c>
      <c r="B39" s="11" t="s">
        <v>81</v>
      </c>
      <c r="C39" s="12" t="s">
        <v>82</v>
      </c>
      <c r="D39" s="13">
        <v>0</v>
      </c>
      <c r="E39" s="14">
        <v>0</v>
      </c>
      <c r="F39" s="14">
        <v>0</v>
      </c>
      <c r="G39" s="15">
        <v>0</v>
      </c>
    </row>
    <row r="40" spans="1:7" x14ac:dyDescent="0.25">
      <c r="A40" s="10"/>
      <c r="B40" s="11" t="s">
        <v>71</v>
      </c>
      <c r="C40" s="12" t="s">
        <v>83</v>
      </c>
      <c r="D40" s="13">
        <v>0</v>
      </c>
      <c r="E40" s="14">
        <v>0</v>
      </c>
      <c r="F40" s="14">
        <v>0</v>
      </c>
      <c r="G40" s="15">
        <v>0</v>
      </c>
    </row>
    <row r="41" spans="1:7" ht="21" x14ac:dyDescent="0.25">
      <c r="A41" s="10" t="s">
        <v>84</v>
      </c>
      <c r="B41" s="11" t="s">
        <v>85</v>
      </c>
      <c r="C41" s="12" t="s">
        <v>86</v>
      </c>
      <c r="D41" s="13">
        <v>0</v>
      </c>
      <c r="E41" s="14">
        <v>0</v>
      </c>
      <c r="F41" s="14">
        <v>0</v>
      </c>
      <c r="G41" s="15">
        <v>0</v>
      </c>
    </row>
    <row r="42" spans="1:7" ht="21" x14ac:dyDescent="0.25">
      <c r="A42" s="16" t="s">
        <v>5</v>
      </c>
      <c r="B42" s="17" t="s">
        <v>87</v>
      </c>
      <c r="C42" s="18" t="s">
        <v>88</v>
      </c>
      <c r="D42" s="19">
        <v>0</v>
      </c>
      <c r="E42" s="20">
        <v>0</v>
      </c>
      <c r="F42" s="20">
        <v>0</v>
      </c>
      <c r="G42" s="21">
        <v>0</v>
      </c>
    </row>
    <row r="43" spans="1:7" ht="21" x14ac:dyDescent="0.25">
      <c r="A43" s="16" t="s">
        <v>10</v>
      </c>
      <c r="B43" s="17" t="s">
        <v>89</v>
      </c>
      <c r="C43" s="18" t="s">
        <v>90</v>
      </c>
      <c r="D43" s="19">
        <v>0</v>
      </c>
      <c r="E43" s="20">
        <v>0</v>
      </c>
      <c r="F43" s="20">
        <v>0</v>
      </c>
      <c r="G43" s="21">
        <v>0</v>
      </c>
    </row>
    <row r="44" spans="1:7" ht="21" x14ac:dyDescent="0.25">
      <c r="A44" s="16"/>
      <c r="B44" s="17" t="s">
        <v>76</v>
      </c>
      <c r="C44" s="18" t="s">
        <v>91</v>
      </c>
      <c r="D44" s="19">
        <v>0</v>
      </c>
      <c r="E44" s="20">
        <v>0</v>
      </c>
      <c r="F44" s="20">
        <v>0</v>
      </c>
      <c r="G44" s="21">
        <v>0</v>
      </c>
    </row>
    <row r="45" spans="1:7" ht="21" x14ac:dyDescent="0.25">
      <c r="A45" s="10"/>
      <c r="B45" s="11" t="s">
        <v>92</v>
      </c>
      <c r="C45" s="12" t="s">
        <v>93</v>
      </c>
      <c r="D45" s="13"/>
      <c r="E45" s="14">
        <v>0</v>
      </c>
      <c r="F45" s="14">
        <v>2265804129550</v>
      </c>
      <c r="G45" s="15">
        <v>0.93630000000000002</v>
      </c>
    </row>
    <row r="46" spans="1:7" ht="21" x14ac:dyDescent="0.25">
      <c r="A46" s="10" t="s">
        <v>94</v>
      </c>
      <c r="B46" s="11" t="s">
        <v>95</v>
      </c>
      <c r="C46" s="12" t="s">
        <v>96</v>
      </c>
      <c r="D46" s="13">
        <v>0</v>
      </c>
      <c r="E46" s="14">
        <v>0</v>
      </c>
      <c r="F46" s="14">
        <v>0</v>
      </c>
      <c r="G46" s="15">
        <v>0</v>
      </c>
    </row>
    <row r="47" spans="1:7" ht="21" x14ac:dyDescent="0.25">
      <c r="A47" s="16" t="s">
        <v>5</v>
      </c>
      <c r="B47" s="17" t="s">
        <v>97</v>
      </c>
      <c r="C47" s="18" t="s">
        <v>98</v>
      </c>
      <c r="D47" s="19">
        <v>0</v>
      </c>
      <c r="E47" s="20">
        <v>0</v>
      </c>
      <c r="F47" s="20">
        <v>0</v>
      </c>
      <c r="G47" s="21">
        <v>0</v>
      </c>
    </row>
    <row r="48" spans="1:7" ht="21" x14ac:dyDescent="0.25">
      <c r="A48" s="16" t="s">
        <v>10</v>
      </c>
      <c r="B48" s="17" t="s">
        <v>99</v>
      </c>
      <c r="C48" s="18" t="s">
        <v>100</v>
      </c>
      <c r="D48" s="19">
        <v>0</v>
      </c>
      <c r="E48" s="20">
        <v>0</v>
      </c>
      <c r="F48" s="20">
        <v>0</v>
      </c>
      <c r="G48" s="21">
        <v>0</v>
      </c>
    </row>
    <row r="49" spans="1:7" ht="21" x14ac:dyDescent="0.25">
      <c r="A49" s="16" t="s">
        <v>15</v>
      </c>
      <c r="B49" s="17" t="s">
        <v>101</v>
      </c>
      <c r="C49" s="18" t="s">
        <v>102</v>
      </c>
      <c r="D49" s="19">
        <v>0</v>
      </c>
      <c r="E49" s="20">
        <v>0</v>
      </c>
      <c r="F49" s="20">
        <v>0</v>
      </c>
      <c r="G49" s="21">
        <v>0</v>
      </c>
    </row>
    <row r="50" spans="1:7" ht="31.5" x14ac:dyDescent="0.25">
      <c r="A50" s="16" t="s">
        <v>20</v>
      </c>
      <c r="B50" s="17" t="s">
        <v>103</v>
      </c>
      <c r="C50" s="18" t="s">
        <v>104</v>
      </c>
      <c r="D50" s="19">
        <v>0</v>
      </c>
      <c r="E50" s="20">
        <v>0</v>
      </c>
      <c r="F50" s="20">
        <v>133570828500</v>
      </c>
      <c r="G50" s="21">
        <v>5.5199999999999999E-2</v>
      </c>
    </row>
    <row r="51" spans="1:7" ht="42" x14ac:dyDescent="0.25">
      <c r="A51" s="16" t="s">
        <v>44</v>
      </c>
      <c r="B51" s="17" t="s">
        <v>105</v>
      </c>
      <c r="C51" s="18" t="s">
        <v>106</v>
      </c>
      <c r="D51" s="19">
        <v>0</v>
      </c>
      <c r="E51" s="20">
        <v>0</v>
      </c>
      <c r="F51" s="20">
        <v>0</v>
      </c>
      <c r="G51" s="21">
        <v>0</v>
      </c>
    </row>
    <row r="52" spans="1:7" ht="21" x14ac:dyDescent="0.25">
      <c r="A52" s="16" t="s">
        <v>47</v>
      </c>
      <c r="B52" s="17" t="s">
        <v>107</v>
      </c>
      <c r="C52" s="18" t="s">
        <v>108</v>
      </c>
      <c r="D52" s="19">
        <v>0</v>
      </c>
      <c r="E52" s="20">
        <v>0</v>
      </c>
      <c r="F52" s="20">
        <v>0</v>
      </c>
      <c r="G52" s="21">
        <v>0</v>
      </c>
    </row>
    <row r="53" spans="1:7" ht="31.5" x14ac:dyDescent="0.25">
      <c r="A53" s="16" t="s">
        <v>50</v>
      </c>
      <c r="B53" s="17" t="s">
        <v>109</v>
      </c>
      <c r="C53" s="18" t="s">
        <v>110</v>
      </c>
      <c r="D53" s="19">
        <v>0</v>
      </c>
      <c r="E53" s="20">
        <v>0</v>
      </c>
      <c r="F53" s="20">
        <v>0</v>
      </c>
      <c r="G53" s="21">
        <v>0</v>
      </c>
    </row>
    <row r="54" spans="1:7" ht="31.5" x14ac:dyDescent="0.25">
      <c r="A54" s="16" t="s">
        <v>53</v>
      </c>
      <c r="B54" s="17" t="s">
        <v>111</v>
      </c>
      <c r="C54" s="18" t="s">
        <v>112</v>
      </c>
      <c r="D54" s="19">
        <v>0</v>
      </c>
      <c r="E54" s="20">
        <v>0</v>
      </c>
      <c r="F54" s="20">
        <v>0</v>
      </c>
      <c r="G54" s="21">
        <v>0</v>
      </c>
    </row>
    <row r="55" spans="1:7" ht="31.5" x14ac:dyDescent="0.25">
      <c r="A55" s="16" t="s">
        <v>56</v>
      </c>
      <c r="B55" s="17" t="s">
        <v>113</v>
      </c>
      <c r="C55" s="18" t="s">
        <v>114</v>
      </c>
      <c r="D55" s="19">
        <v>0</v>
      </c>
      <c r="E55" s="20">
        <v>0</v>
      </c>
      <c r="F55" s="20">
        <v>0</v>
      </c>
      <c r="G55" s="21">
        <v>0</v>
      </c>
    </row>
    <row r="56" spans="1:7" ht="42" x14ac:dyDescent="0.25">
      <c r="A56" s="16" t="s">
        <v>59</v>
      </c>
      <c r="B56" s="17" t="s">
        <v>115</v>
      </c>
      <c r="C56" s="18" t="s">
        <v>116</v>
      </c>
      <c r="D56" s="19">
        <v>0</v>
      </c>
      <c r="E56" s="20">
        <v>0</v>
      </c>
      <c r="F56" s="20">
        <v>0</v>
      </c>
      <c r="G56" s="21">
        <v>0</v>
      </c>
    </row>
    <row r="57" spans="1:7" ht="21" x14ac:dyDescent="0.25">
      <c r="A57" s="10"/>
      <c r="B57" s="11" t="s">
        <v>76</v>
      </c>
      <c r="C57" s="12" t="s">
        <v>117</v>
      </c>
      <c r="D57" s="13">
        <v>0</v>
      </c>
      <c r="E57" s="14">
        <v>0</v>
      </c>
      <c r="F57" s="14">
        <v>133570828500</v>
      </c>
      <c r="G57" s="15">
        <v>5.5199999999999999E-2</v>
      </c>
    </row>
    <row r="58" spans="1:7" ht="21" x14ac:dyDescent="0.25">
      <c r="A58" s="10" t="s">
        <v>118</v>
      </c>
      <c r="B58" s="11" t="s">
        <v>119</v>
      </c>
      <c r="C58" s="12" t="s">
        <v>120</v>
      </c>
      <c r="D58" s="13">
        <v>0</v>
      </c>
      <c r="E58" s="14">
        <v>0</v>
      </c>
      <c r="F58" s="14">
        <v>0</v>
      </c>
      <c r="G58" s="15">
        <v>0</v>
      </c>
    </row>
    <row r="59" spans="1:7" ht="21" x14ac:dyDescent="0.25">
      <c r="A59" s="16" t="s">
        <v>5</v>
      </c>
      <c r="B59" s="17" t="s">
        <v>121</v>
      </c>
      <c r="C59" s="18" t="s">
        <v>122</v>
      </c>
      <c r="D59" s="19">
        <v>0</v>
      </c>
      <c r="E59" s="20">
        <v>0</v>
      </c>
      <c r="F59" s="20">
        <v>20605256713</v>
      </c>
      <c r="G59" s="21">
        <v>8.5000000000000006E-3</v>
      </c>
    </row>
    <row r="60" spans="1:7" ht="21" x14ac:dyDescent="0.25">
      <c r="A60" s="16"/>
      <c r="B60" s="17" t="s">
        <v>123</v>
      </c>
      <c r="C60" s="18" t="s">
        <v>124</v>
      </c>
      <c r="D60" s="19">
        <v>0</v>
      </c>
      <c r="E60" s="20">
        <v>0</v>
      </c>
      <c r="F60" s="20">
        <v>20605256713</v>
      </c>
      <c r="G60" s="21">
        <v>8.5000000000000006E-3</v>
      </c>
    </row>
    <row r="61" spans="1:7" ht="21" x14ac:dyDescent="0.25">
      <c r="A61" s="16"/>
      <c r="B61" s="17" t="s">
        <v>125</v>
      </c>
      <c r="C61" s="18" t="s">
        <v>126</v>
      </c>
      <c r="D61" s="19">
        <v>0</v>
      </c>
      <c r="E61" s="20">
        <v>0</v>
      </c>
      <c r="F61" s="20">
        <v>0</v>
      </c>
      <c r="G61" s="21">
        <v>0</v>
      </c>
    </row>
    <row r="62" spans="1:7" ht="21" x14ac:dyDescent="0.25">
      <c r="A62" s="16"/>
      <c r="B62" s="17" t="s">
        <v>127</v>
      </c>
      <c r="C62" s="18" t="s">
        <v>128</v>
      </c>
      <c r="D62" s="19">
        <v>0</v>
      </c>
      <c r="E62" s="20">
        <v>0</v>
      </c>
      <c r="F62" s="20">
        <v>0</v>
      </c>
      <c r="G62" s="21">
        <v>0</v>
      </c>
    </row>
    <row r="63" spans="1:7" ht="21" x14ac:dyDescent="0.25">
      <c r="A63" s="16" t="s">
        <v>10</v>
      </c>
      <c r="B63" s="17" t="s">
        <v>129</v>
      </c>
      <c r="C63" s="18" t="s">
        <v>130</v>
      </c>
      <c r="D63" s="19">
        <v>0</v>
      </c>
      <c r="E63" s="20">
        <v>0</v>
      </c>
      <c r="F63" s="20">
        <v>0</v>
      </c>
      <c r="G63" s="21">
        <v>0</v>
      </c>
    </row>
    <row r="64" spans="1:7" ht="21" x14ac:dyDescent="0.25">
      <c r="A64" s="16" t="s">
        <v>15</v>
      </c>
      <c r="B64" s="17" t="s">
        <v>131</v>
      </c>
      <c r="C64" s="18" t="s">
        <v>132</v>
      </c>
      <c r="D64" s="19">
        <v>0</v>
      </c>
      <c r="E64" s="20">
        <v>0</v>
      </c>
      <c r="F64" s="20">
        <v>0</v>
      </c>
      <c r="G64" s="21">
        <v>0</v>
      </c>
    </row>
    <row r="65" spans="1:7" ht="21" x14ac:dyDescent="0.25">
      <c r="A65" s="10"/>
      <c r="B65" s="11" t="s">
        <v>76</v>
      </c>
      <c r="C65" s="12" t="s">
        <v>133</v>
      </c>
      <c r="D65" s="13">
        <v>0</v>
      </c>
      <c r="E65" s="14">
        <v>0</v>
      </c>
      <c r="F65" s="14">
        <v>20605256713</v>
      </c>
      <c r="G65" s="15">
        <v>8.5000000000000006E-3</v>
      </c>
    </row>
    <row r="66" spans="1:7" ht="21" x14ac:dyDescent="0.25">
      <c r="A66" s="22" t="s">
        <v>134</v>
      </c>
      <c r="B66" s="23" t="s">
        <v>135</v>
      </c>
      <c r="C66" s="24" t="s">
        <v>136</v>
      </c>
      <c r="D66" s="25"/>
      <c r="E66" s="26">
        <v>0</v>
      </c>
      <c r="F66" s="26">
        <v>2419980214763</v>
      </c>
      <c r="G66" s="27">
        <v>1</v>
      </c>
    </row>
    <row r="67" spans="1:7" ht="15.75" customHeight="1" x14ac:dyDescent="0.25">
      <c r="A67" s="28"/>
    </row>
    <row r="68" spans="1:7" ht="21.75" customHeight="1" x14ac:dyDescent="0.25">
      <c r="A68" s="29"/>
    </row>
    <row r="69" spans="1:7" ht="6.75" customHeight="1" x14ac:dyDescent="0.25">
      <c r="A69" s="6"/>
      <c r="B69" s="6"/>
      <c r="C69" s="6"/>
    </row>
    <row r="70" spans="1:7" ht="54" customHeight="1" x14ac:dyDescent="0.25">
      <c r="A70" s="30" t="s">
        <v>137</v>
      </c>
      <c r="B70" s="31" t="s">
        <v>138</v>
      </c>
      <c r="C70" s="31" t="s">
        <v>139</v>
      </c>
      <c r="D70" s="31" t="s">
        <v>140</v>
      </c>
      <c r="E70" s="31" t="s">
        <v>141</v>
      </c>
      <c r="F70" s="31" t="s">
        <v>142</v>
      </c>
      <c r="G70" s="32" t="s">
        <v>143</v>
      </c>
    </row>
    <row r="71" spans="1:7" ht="8.25" customHeight="1" x14ac:dyDescent="0.25">
      <c r="A71" s="2"/>
      <c r="B71" s="2"/>
      <c r="C71" s="2"/>
      <c r="D71" s="2"/>
    </row>
    <row r="72" spans="1:7" ht="12.75" customHeight="1" x14ac:dyDescent="0.25">
      <c r="A72" s="3"/>
      <c r="B72" s="3"/>
    </row>
    <row r="73" spans="1:7" ht="15.75" customHeight="1" x14ac:dyDescent="0.25">
      <c r="A73" s="33"/>
      <c r="B73" s="33"/>
    </row>
    <row r="74" spans="1:7" ht="15.75" customHeight="1" x14ac:dyDescent="0.25">
      <c r="A74" s="2"/>
      <c r="B74" s="2"/>
      <c r="C74" s="2"/>
      <c r="D74" s="2"/>
    </row>
    <row r="75" spans="1:7" ht="15.75" customHeight="1" x14ac:dyDescent="0.25">
      <c r="A75" s="2"/>
      <c r="B75" s="2"/>
      <c r="C75" s="2"/>
      <c r="D75" s="2"/>
    </row>
    <row r="76" spans="1:7" ht="15.75" customHeight="1" x14ac:dyDescent="0.25">
      <c r="A76" s="2"/>
      <c r="B76" s="2"/>
      <c r="C76" s="2"/>
      <c r="D76" s="2"/>
    </row>
    <row r="77" spans="1:7" ht="12.75" customHeight="1" x14ac:dyDescent="0.25">
      <c r="A77" s="34"/>
      <c r="B77" s="34"/>
    </row>
    <row r="78" spans="1:7" ht="12.75" customHeight="1" x14ac:dyDescent="0.25">
      <c r="A78" s="35"/>
      <c r="B78" s="35"/>
    </row>
    <row r="79" spans="1:7" ht="12.75" customHeight="1" x14ac:dyDescent="0.25">
      <c r="A79" s="35"/>
      <c r="B79" s="35"/>
    </row>
  </sheetData>
  <mergeCells count="20">
    <mergeCell ref="A18:G18"/>
    <mergeCell ref="C19:G19"/>
    <mergeCell ref="C12:G12"/>
    <mergeCell ref="C13:G13"/>
    <mergeCell ref="C14:G14"/>
    <mergeCell ref="C15:G15"/>
    <mergeCell ref="C16:G16"/>
    <mergeCell ref="A17:G17"/>
    <mergeCell ref="C11:G11"/>
    <mergeCell ref="A1:B1"/>
    <mergeCell ref="C1:G1"/>
    <mergeCell ref="A2:G2"/>
    <mergeCell ref="C3:G3"/>
    <mergeCell ref="A4:G4"/>
    <mergeCell ref="A5:G5"/>
    <mergeCell ref="A6:G6"/>
    <mergeCell ref="C7:G7"/>
    <mergeCell ref="C8:G8"/>
    <mergeCell ref="C9:G9"/>
    <mergeCell ref="C10:G10"/>
  </mergeCells>
  <printOptions horizontalCentered="1"/>
  <pageMargins left="0" right="0" top="0.59" bottom="0.59" header="0.5" footer="0.5"/>
  <pageSetup paperSize="9" scale="94" fitToHeight="0" orientation="portrait" r:id="rId1"/>
  <rowBreaks count="1" manualBreakCount="1">
    <brk id="6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60"/>
  <sheetViews>
    <sheetView showGridLines="0" showZeros="0" showOutlineSymbols="0" view="pageBreakPreview" topLeftCell="A10" zoomScaleNormal="100" zoomScaleSheetLayoutView="100" workbookViewId="0">
      <selection activeCell="D40" sqref="D40"/>
    </sheetView>
  </sheetViews>
  <sheetFormatPr defaultRowHeight="15" x14ac:dyDescent="0.25"/>
  <cols>
    <col min="1" max="1" width="4.28515625" style="36" customWidth="1"/>
    <col min="2" max="2" width="50" style="36" customWidth="1"/>
    <col min="3" max="3" width="11.42578125" style="36" customWidth="1"/>
    <col min="4" max="5" width="19.85546875" style="36" customWidth="1"/>
    <col min="6" max="256" width="9.140625" style="36"/>
    <col min="257" max="257" width="4.28515625" style="36" customWidth="1"/>
    <col min="258" max="258" width="50" style="36" customWidth="1"/>
    <col min="259" max="259" width="11.42578125" style="36" customWidth="1"/>
    <col min="260" max="261" width="19.85546875" style="36" customWidth="1"/>
    <col min="262" max="512" width="9.140625" style="36"/>
    <col min="513" max="513" width="4.28515625" style="36" customWidth="1"/>
    <col min="514" max="514" width="50" style="36" customWidth="1"/>
    <col min="515" max="515" width="11.42578125" style="36" customWidth="1"/>
    <col min="516" max="517" width="19.85546875" style="36" customWidth="1"/>
    <col min="518" max="768" width="9.140625" style="36"/>
    <col min="769" max="769" width="4.28515625" style="36" customWidth="1"/>
    <col min="770" max="770" width="50" style="36" customWidth="1"/>
    <col min="771" max="771" width="11.42578125" style="36" customWidth="1"/>
    <col min="772" max="773" width="19.85546875" style="36" customWidth="1"/>
    <col min="774" max="1024" width="9.140625" style="36"/>
    <col min="1025" max="1025" width="4.28515625" style="36" customWidth="1"/>
    <col min="1026" max="1026" width="50" style="36" customWidth="1"/>
    <col min="1027" max="1027" width="11.42578125" style="36" customWidth="1"/>
    <col min="1028" max="1029" width="19.85546875" style="36" customWidth="1"/>
    <col min="1030" max="1280" width="9.140625" style="36"/>
    <col min="1281" max="1281" width="4.28515625" style="36" customWidth="1"/>
    <col min="1282" max="1282" width="50" style="36" customWidth="1"/>
    <col min="1283" max="1283" width="11.42578125" style="36" customWidth="1"/>
    <col min="1284" max="1285" width="19.85546875" style="36" customWidth="1"/>
    <col min="1286" max="1536" width="9.140625" style="36"/>
    <col min="1537" max="1537" width="4.28515625" style="36" customWidth="1"/>
    <col min="1538" max="1538" width="50" style="36" customWidth="1"/>
    <col min="1539" max="1539" width="11.42578125" style="36" customWidth="1"/>
    <col min="1540" max="1541" width="19.85546875" style="36" customWidth="1"/>
    <col min="1542" max="1792" width="9.140625" style="36"/>
    <col min="1793" max="1793" width="4.28515625" style="36" customWidth="1"/>
    <col min="1794" max="1794" width="50" style="36" customWidth="1"/>
    <col min="1795" max="1795" width="11.42578125" style="36" customWidth="1"/>
    <col min="1796" max="1797" width="19.85546875" style="36" customWidth="1"/>
    <col min="1798" max="2048" width="9.140625" style="36"/>
    <col min="2049" max="2049" width="4.28515625" style="36" customWidth="1"/>
    <col min="2050" max="2050" width="50" style="36" customWidth="1"/>
    <col min="2051" max="2051" width="11.42578125" style="36" customWidth="1"/>
    <col min="2052" max="2053" width="19.85546875" style="36" customWidth="1"/>
    <col min="2054" max="2304" width="9.140625" style="36"/>
    <col min="2305" max="2305" width="4.28515625" style="36" customWidth="1"/>
    <col min="2306" max="2306" width="50" style="36" customWidth="1"/>
    <col min="2307" max="2307" width="11.42578125" style="36" customWidth="1"/>
    <col min="2308" max="2309" width="19.85546875" style="36" customWidth="1"/>
    <col min="2310" max="2560" width="9.140625" style="36"/>
    <col min="2561" max="2561" width="4.28515625" style="36" customWidth="1"/>
    <col min="2562" max="2562" width="50" style="36" customWidth="1"/>
    <col min="2563" max="2563" width="11.42578125" style="36" customWidth="1"/>
    <col min="2564" max="2565" width="19.85546875" style="36" customWidth="1"/>
    <col min="2566" max="2816" width="9.140625" style="36"/>
    <col min="2817" max="2817" width="4.28515625" style="36" customWidth="1"/>
    <col min="2818" max="2818" width="50" style="36" customWidth="1"/>
    <col min="2819" max="2819" width="11.42578125" style="36" customWidth="1"/>
    <col min="2820" max="2821" width="19.85546875" style="36" customWidth="1"/>
    <col min="2822" max="3072" width="9.140625" style="36"/>
    <col min="3073" max="3073" width="4.28515625" style="36" customWidth="1"/>
    <col min="3074" max="3074" width="50" style="36" customWidth="1"/>
    <col min="3075" max="3075" width="11.42578125" style="36" customWidth="1"/>
    <col min="3076" max="3077" width="19.85546875" style="36" customWidth="1"/>
    <col min="3078" max="3328" width="9.140625" style="36"/>
    <col min="3329" max="3329" width="4.28515625" style="36" customWidth="1"/>
    <col min="3330" max="3330" width="50" style="36" customWidth="1"/>
    <col min="3331" max="3331" width="11.42578125" style="36" customWidth="1"/>
    <col min="3332" max="3333" width="19.85546875" style="36" customWidth="1"/>
    <col min="3334" max="3584" width="9.140625" style="36"/>
    <col min="3585" max="3585" width="4.28515625" style="36" customWidth="1"/>
    <col min="3586" max="3586" width="50" style="36" customWidth="1"/>
    <col min="3587" max="3587" width="11.42578125" style="36" customWidth="1"/>
    <col min="3588" max="3589" width="19.85546875" style="36" customWidth="1"/>
    <col min="3590" max="3840" width="9.140625" style="36"/>
    <col min="3841" max="3841" width="4.28515625" style="36" customWidth="1"/>
    <col min="3842" max="3842" width="50" style="36" customWidth="1"/>
    <col min="3843" max="3843" width="11.42578125" style="36" customWidth="1"/>
    <col min="3844" max="3845" width="19.85546875" style="36" customWidth="1"/>
    <col min="3846" max="4096" width="9.140625" style="36"/>
    <col min="4097" max="4097" width="4.28515625" style="36" customWidth="1"/>
    <col min="4098" max="4098" width="50" style="36" customWidth="1"/>
    <col min="4099" max="4099" width="11.42578125" style="36" customWidth="1"/>
    <col min="4100" max="4101" width="19.85546875" style="36" customWidth="1"/>
    <col min="4102" max="4352" width="9.140625" style="36"/>
    <col min="4353" max="4353" width="4.28515625" style="36" customWidth="1"/>
    <col min="4354" max="4354" width="50" style="36" customWidth="1"/>
    <col min="4355" max="4355" width="11.42578125" style="36" customWidth="1"/>
    <col min="4356" max="4357" width="19.85546875" style="36" customWidth="1"/>
    <col min="4358" max="4608" width="9.140625" style="36"/>
    <col min="4609" max="4609" width="4.28515625" style="36" customWidth="1"/>
    <col min="4610" max="4610" width="50" style="36" customWidth="1"/>
    <col min="4611" max="4611" width="11.42578125" style="36" customWidth="1"/>
    <col min="4612" max="4613" width="19.85546875" style="36" customWidth="1"/>
    <col min="4614" max="4864" width="9.140625" style="36"/>
    <col min="4865" max="4865" width="4.28515625" style="36" customWidth="1"/>
    <col min="4866" max="4866" width="50" style="36" customWidth="1"/>
    <col min="4867" max="4867" width="11.42578125" style="36" customWidth="1"/>
    <col min="4868" max="4869" width="19.85546875" style="36" customWidth="1"/>
    <col min="4870" max="5120" width="9.140625" style="36"/>
    <col min="5121" max="5121" width="4.28515625" style="36" customWidth="1"/>
    <col min="5122" max="5122" width="50" style="36" customWidth="1"/>
    <col min="5123" max="5123" width="11.42578125" style="36" customWidth="1"/>
    <col min="5124" max="5125" width="19.85546875" style="36" customWidth="1"/>
    <col min="5126" max="5376" width="9.140625" style="36"/>
    <col min="5377" max="5377" width="4.28515625" style="36" customWidth="1"/>
    <col min="5378" max="5378" width="50" style="36" customWidth="1"/>
    <col min="5379" max="5379" width="11.42578125" style="36" customWidth="1"/>
    <col min="5380" max="5381" width="19.85546875" style="36" customWidth="1"/>
    <col min="5382" max="5632" width="9.140625" style="36"/>
    <col min="5633" max="5633" width="4.28515625" style="36" customWidth="1"/>
    <col min="5634" max="5634" width="50" style="36" customWidth="1"/>
    <col min="5635" max="5635" width="11.42578125" style="36" customWidth="1"/>
    <col min="5636" max="5637" width="19.85546875" style="36" customWidth="1"/>
    <col min="5638" max="5888" width="9.140625" style="36"/>
    <col min="5889" max="5889" width="4.28515625" style="36" customWidth="1"/>
    <col min="5890" max="5890" width="50" style="36" customWidth="1"/>
    <col min="5891" max="5891" width="11.42578125" style="36" customWidth="1"/>
    <col min="5892" max="5893" width="19.85546875" style="36" customWidth="1"/>
    <col min="5894" max="6144" width="9.140625" style="36"/>
    <col min="6145" max="6145" width="4.28515625" style="36" customWidth="1"/>
    <col min="6146" max="6146" width="50" style="36" customWidth="1"/>
    <col min="6147" max="6147" width="11.42578125" style="36" customWidth="1"/>
    <col min="6148" max="6149" width="19.85546875" style="36" customWidth="1"/>
    <col min="6150" max="6400" width="9.140625" style="36"/>
    <col min="6401" max="6401" width="4.28515625" style="36" customWidth="1"/>
    <col min="6402" max="6402" width="50" style="36" customWidth="1"/>
    <col min="6403" max="6403" width="11.42578125" style="36" customWidth="1"/>
    <col min="6404" max="6405" width="19.85546875" style="36" customWidth="1"/>
    <col min="6406" max="6656" width="9.140625" style="36"/>
    <col min="6657" max="6657" width="4.28515625" style="36" customWidth="1"/>
    <col min="6658" max="6658" width="50" style="36" customWidth="1"/>
    <col min="6659" max="6659" width="11.42578125" style="36" customWidth="1"/>
    <col min="6660" max="6661" width="19.85546875" style="36" customWidth="1"/>
    <col min="6662" max="6912" width="9.140625" style="36"/>
    <col min="6913" max="6913" width="4.28515625" style="36" customWidth="1"/>
    <col min="6914" max="6914" width="50" style="36" customWidth="1"/>
    <col min="6915" max="6915" width="11.42578125" style="36" customWidth="1"/>
    <col min="6916" max="6917" width="19.85546875" style="36" customWidth="1"/>
    <col min="6918" max="7168" width="9.140625" style="36"/>
    <col min="7169" max="7169" width="4.28515625" style="36" customWidth="1"/>
    <col min="7170" max="7170" width="50" style="36" customWidth="1"/>
    <col min="7171" max="7171" width="11.42578125" style="36" customWidth="1"/>
    <col min="7172" max="7173" width="19.85546875" style="36" customWidth="1"/>
    <col min="7174" max="7424" width="9.140625" style="36"/>
    <col min="7425" max="7425" width="4.28515625" style="36" customWidth="1"/>
    <col min="7426" max="7426" width="50" style="36" customWidth="1"/>
    <col min="7427" max="7427" width="11.42578125" style="36" customWidth="1"/>
    <col min="7428" max="7429" width="19.85546875" style="36" customWidth="1"/>
    <col min="7430" max="7680" width="9.140625" style="36"/>
    <col min="7681" max="7681" width="4.28515625" style="36" customWidth="1"/>
    <col min="7682" max="7682" width="50" style="36" customWidth="1"/>
    <col min="7683" max="7683" width="11.42578125" style="36" customWidth="1"/>
    <col min="7684" max="7685" width="19.85546875" style="36" customWidth="1"/>
    <col min="7686" max="7936" width="9.140625" style="36"/>
    <col min="7937" max="7937" width="4.28515625" style="36" customWidth="1"/>
    <col min="7938" max="7938" width="50" style="36" customWidth="1"/>
    <col min="7939" max="7939" width="11.42578125" style="36" customWidth="1"/>
    <col min="7940" max="7941" width="19.85546875" style="36" customWidth="1"/>
    <col min="7942" max="8192" width="9.140625" style="36"/>
    <col min="8193" max="8193" width="4.28515625" style="36" customWidth="1"/>
    <col min="8194" max="8194" width="50" style="36" customWidth="1"/>
    <col min="8195" max="8195" width="11.42578125" style="36" customWidth="1"/>
    <col min="8196" max="8197" width="19.85546875" style="36" customWidth="1"/>
    <col min="8198" max="8448" width="9.140625" style="36"/>
    <col min="8449" max="8449" width="4.28515625" style="36" customWidth="1"/>
    <col min="8450" max="8450" width="50" style="36" customWidth="1"/>
    <col min="8451" max="8451" width="11.42578125" style="36" customWidth="1"/>
    <col min="8452" max="8453" width="19.85546875" style="36" customWidth="1"/>
    <col min="8454" max="8704" width="9.140625" style="36"/>
    <col min="8705" max="8705" width="4.28515625" style="36" customWidth="1"/>
    <col min="8706" max="8706" width="50" style="36" customWidth="1"/>
    <col min="8707" max="8707" width="11.42578125" style="36" customWidth="1"/>
    <col min="8708" max="8709" width="19.85546875" style="36" customWidth="1"/>
    <col min="8710" max="8960" width="9.140625" style="36"/>
    <col min="8961" max="8961" width="4.28515625" style="36" customWidth="1"/>
    <col min="8962" max="8962" width="50" style="36" customWidth="1"/>
    <col min="8963" max="8963" width="11.42578125" style="36" customWidth="1"/>
    <col min="8964" max="8965" width="19.85546875" style="36" customWidth="1"/>
    <col min="8966" max="9216" width="9.140625" style="36"/>
    <col min="9217" max="9217" width="4.28515625" style="36" customWidth="1"/>
    <col min="9218" max="9218" width="50" style="36" customWidth="1"/>
    <col min="9219" max="9219" width="11.42578125" style="36" customWidth="1"/>
    <col min="9220" max="9221" width="19.85546875" style="36" customWidth="1"/>
    <col min="9222" max="9472" width="9.140625" style="36"/>
    <col min="9473" max="9473" width="4.28515625" style="36" customWidth="1"/>
    <col min="9474" max="9474" width="50" style="36" customWidth="1"/>
    <col min="9475" max="9475" width="11.42578125" style="36" customWidth="1"/>
    <col min="9476" max="9477" width="19.85546875" style="36" customWidth="1"/>
    <col min="9478" max="9728" width="9.140625" style="36"/>
    <col min="9729" max="9729" width="4.28515625" style="36" customWidth="1"/>
    <col min="9730" max="9730" width="50" style="36" customWidth="1"/>
    <col min="9731" max="9731" width="11.42578125" style="36" customWidth="1"/>
    <col min="9732" max="9733" width="19.85546875" style="36" customWidth="1"/>
    <col min="9734" max="9984" width="9.140625" style="36"/>
    <col min="9985" max="9985" width="4.28515625" style="36" customWidth="1"/>
    <col min="9986" max="9986" width="50" style="36" customWidth="1"/>
    <col min="9987" max="9987" width="11.42578125" style="36" customWidth="1"/>
    <col min="9988" max="9989" width="19.85546875" style="36" customWidth="1"/>
    <col min="9990" max="10240" width="9.140625" style="36"/>
    <col min="10241" max="10241" width="4.28515625" style="36" customWidth="1"/>
    <col min="10242" max="10242" width="50" style="36" customWidth="1"/>
    <col min="10243" max="10243" width="11.42578125" style="36" customWidth="1"/>
    <col min="10244" max="10245" width="19.85546875" style="36" customWidth="1"/>
    <col min="10246" max="10496" width="9.140625" style="36"/>
    <col min="10497" max="10497" width="4.28515625" style="36" customWidth="1"/>
    <col min="10498" max="10498" width="50" style="36" customWidth="1"/>
    <col min="10499" max="10499" width="11.42578125" style="36" customWidth="1"/>
    <col min="10500" max="10501" width="19.85546875" style="36" customWidth="1"/>
    <col min="10502" max="10752" width="9.140625" style="36"/>
    <col min="10753" max="10753" width="4.28515625" style="36" customWidth="1"/>
    <col min="10754" max="10754" width="50" style="36" customWidth="1"/>
    <col min="10755" max="10755" width="11.42578125" style="36" customWidth="1"/>
    <col min="10756" max="10757" width="19.85546875" style="36" customWidth="1"/>
    <col min="10758" max="11008" width="9.140625" style="36"/>
    <col min="11009" max="11009" width="4.28515625" style="36" customWidth="1"/>
    <col min="11010" max="11010" width="50" style="36" customWidth="1"/>
    <col min="11011" max="11011" width="11.42578125" style="36" customWidth="1"/>
    <col min="11012" max="11013" width="19.85546875" style="36" customWidth="1"/>
    <col min="11014" max="11264" width="9.140625" style="36"/>
    <col min="11265" max="11265" width="4.28515625" style="36" customWidth="1"/>
    <col min="11266" max="11266" width="50" style="36" customWidth="1"/>
    <col min="11267" max="11267" width="11.42578125" style="36" customWidth="1"/>
    <col min="11268" max="11269" width="19.85546875" style="36" customWidth="1"/>
    <col min="11270" max="11520" width="9.140625" style="36"/>
    <col min="11521" max="11521" width="4.28515625" style="36" customWidth="1"/>
    <col min="11522" max="11522" width="50" style="36" customWidth="1"/>
    <col min="11523" max="11523" width="11.42578125" style="36" customWidth="1"/>
    <col min="11524" max="11525" width="19.85546875" style="36" customWidth="1"/>
    <col min="11526" max="11776" width="9.140625" style="36"/>
    <col min="11777" max="11777" width="4.28515625" style="36" customWidth="1"/>
    <col min="11778" max="11778" width="50" style="36" customWidth="1"/>
    <col min="11779" max="11779" width="11.42578125" style="36" customWidth="1"/>
    <col min="11780" max="11781" width="19.85546875" style="36" customWidth="1"/>
    <col min="11782" max="12032" width="9.140625" style="36"/>
    <col min="12033" max="12033" width="4.28515625" style="36" customWidth="1"/>
    <col min="12034" max="12034" width="50" style="36" customWidth="1"/>
    <col min="12035" max="12035" width="11.42578125" style="36" customWidth="1"/>
    <col min="12036" max="12037" width="19.85546875" style="36" customWidth="1"/>
    <col min="12038" max="12288" width="9.140625" style="36"/>
    <col min="12289" max="12289" width="4.28515625" style="36" customWidth="1"/>
    <col min="12290" max="12290" width="50" style="36" customWidth="1"/>
    <col min="12291" max="12291" width="11.42578125" style="36" customWidth="1"/>
    <col min="12292" max="12293" width="19.85546875" style="36" customWidth="1"/>
    <col min="12294" max="12544" width="9.140625" style="36"/>
    <col min="12545" max="12545" width="4.28515625" style="36" customWidth="1"/>
    <col min="12546" max="12546" width="50" style="36" customWidth="1"/>
    <col min="12547" max="12547" width="11.42578125" style="36" customWidth="1"/>
    <col min="12548" max="12549" width="19.85546875" style="36" customWidth="1"/>
    <col min="12550" max="12800" width="9.140625" style="36"/>
    <col min="12801" max="12801" width="4.28515625" style="36" customWidth="1"/>
    <col min="12802" max="12802" width="50" style="36" customWidth="1"/>
    <col min="12803" max="12803" width="11.42578125" style="36" customWidth="1"/>
    <col min="12804" max="12805" width="19.85546875" style="36" customWidth="1"/>
    <col min="12806" max="13056" width="9.140625" style="36"/>
    <col min="13057" max="13057" width="4.28515625" style="36" customWidth="1"/>
    <col min="13058" max="13058" width="50" style="36" customWidth="1"/>
    <col min="13059" max="13059" width="11.42578125" style="36" customWidth="1"/>
    <col min="13060" max="13061" width="19.85546875" style="36" customWidth="1"/>
    <col min="13062" max="13312" width="9.140625" style="36"/>
    <col min="13313" max="13313" width="4.28515625" style="36" customWidth="1"/>
    <col min="13314" max="13314" width="50" style="36" customWidth="1"/>
    <col min="13315" max="13315" width="11.42578125" style="36" customWidth="1"/>
    <col min="13316" max="13317" width="19.85546875" style="36" customWidth="1"/>
    <col min="13318" max="13568" width="9.140625" style="36"/>
    <col min="13569" max="13569" width="4.28515625" style="36" customWidth="1"/>
    <col min="13570" max="13570" width="50" style="36" customWidth="1"/>
    <col min="13571" max="13571" width="11.42578125" style="36" customWidth="1"/>
    <col min="13572" max="13573" width="19.85546875" style="36" customWidth="1"/>
    <col min="13574" max="13824" width="9.140625" style="36"/>
    <col min="13825" max="13825" width="4.28515625" style="36" customWidth="1"/>
    <col min="13826" max="13826" width="50" style="36" customWidth="1"/>
    <col min="13827" max="13827" width="11.42578125" style="36" customWidth="1"/>
    <col min="13828" max="13829" width="19.85546875" style="36" customWidth="1"/>
    <col min="13830" max="14080" width="9.140625" style="36"/>
    <col min="14081" max="14081" width="4.28515625" style="36" customWidth="1"/>
    <col min="14082" max="14082" width="50" style="36" customWidth="1"/>
    <col min="14083" max="14083" width="11.42578125" style="36" customWidth="1"/>
    <col min="14084" max="14085" width="19.85546875" style="36" customWidth="1"/>
    <col min="14086" max="14336" width="9.140625" style="36"/>
    <col min="14337" max="14337" width="4.28515625" style="36" customWidth="1"/>
    <col min="14338" max="14338" width="50" style="36" customWidth="1"/>
    <col min="14339" max="14339" width="11.42578125" style="36" customWidth="1"/>
    <col min="14340" max="14341" width="19.85546875" style="36" customWidth="1"/>
    <col min="14342" max="14592" width="9.140625" style="36"/>
    <col min="14593" max="14593" width="4.28515625" style="36" customWidth="1"/>
    <col min="14594" max="14594" width="50" style="36" customWidth="1"/>
    <col min="14595" max="14595" width="11.42578125" style="36" customWidth="1"/>
    <col min="14596" max="14597" width="19.85546875" style="36" customWidth="1"/>
    <col min="14598" max="14848" width="9.140625" style="36"/>
    <col min="14849" max="14849" width="4.28515625" style="36" customWidth="1"/>
    <col min="14850" max="14850" width="50" style="36" customWidth="1"/>
    <col min="14851" max="14851" width="11.42578125" style="36" customWidth="1"/>
    <col min="14852" max="14853" width="19.85546875" style="36" customWidth="1"/>
    <col min="14854" max="15104" width="9.140625" style="36"/>
    <col min="15105" max="15105" width="4.28515625" style="36" customWidth="1"/>
    <col min="15106" max="15106" width="50" style="36" customWidth="1"/>
    <col min="15107" max="15107" width="11.42578125" style="36" customWidth="1"/>
    <col min="15108" max="15109" width="19.85546875" style="36" customWidth="1"/>
    <col min="15110" max="15360" width="9.140625" style="36"/>
    <col min="15361" max="15361" width="4.28515625" style="36" customWidth="1"/>
    <col min="15362" max="15362" width="50" style="36" customWidth="1"/>
    <col min="15363" max="15363" width="11.42578125" style="36" customWidth="1"/>
    <col min="15364" max="15365" width="19.85546875" style="36" customWidth="1"/>
    <col min="15366" max="15616" width="9.140625" style="36"/>
    <col min="15617" max="15617" width="4.28515625" style="36" customWidth="1"/>
    <col min="15618" max="15618" width="50" style="36" customWidth="1"/>
    <col min="15619" max="15619" width="11.42578125" style="36" customWidth="1"/>
    <col min="15620" max="15621" width="19.85546875" style="36" customWidth="1"/>
    <col min="15622" max="15872" width="9.140625" style="36"/>
    <col min="15873" max="15873" width="4.28515625" style="36" customWidth="1"/>
    <col min="15874" max="15874" width="50" style="36" customWidth="1"/>
    <col min="15875" max="15875" width="11.42578125" style="36" customWidth="1"/>
    <col min="15876" max="15877" width="19.85546875" style="36" customWidth="1"/>
    <col min="15878" max="16128" width="9.140625" style="36"/>
    <col min="16129" max="16129" width="4.28515625" style="36" customWidth="1"/>
    <col min="16130" max="16130" width="50" style="36" customWidth="1"/>
    <col min="16131" max="16131" width="11.42578125" style="36" customWidth="1"/>
    <col min="16132" max="16133" width="19.85546875" style="36" customWidth="1"/>
    <col min="16134" max="16384" width="9.140625" style="36"/>
  </cols>
  <sheetData>
    <row r="1" spans="1:5" ht="25.5" customHeight="1" x14ac:dyDescent="0.25">
      <c r="A1" s="321"/>
      <c r="B1" s="321"/>
      <c r="C1" s="333" t="s">
        <v>298</v>
      </c>
      <c r="D1" s="333"/>
      <c r="E1" s="333"/>
    </row>
    <row r="2" spans="1:5" ht="46.5" customHeight="1" x14ac:dyDescent="0.25">
      <c r="A2" s="360" t="s">
        <v>1</v>
      </c>
      <c r="B2" s="360"/>
      <c r="C2" s="360"/>
      <c r="D2" s="360"/>
      <c r="E2" s="360"/>
    </row>
    <row r="3" spans="1:5" ht="33.75" customHeight="1" x14ac:dyDescent="0.25">
      <c r="A3" s="37"/>
      <c r="B3" s="335" t="s">
        <v>299</v>
      </c>
      <c r="C3" s="335"/>
      <c r="D3" s="335"/>
      <c r="E3" s="335"/>
    </row>
    <row r="4" spans="1:5" ht="12.75" customHeight="1" x14ac:dyDescent="0.25">
      <c r="A4" s="37"/>
      <c r="B4" s="323" t="s">
        <v>145</v>
      </c>
      <c r="C4" s="323"/>
      <c r="D4" s="323"/>
      <c r="E4" s="323"/>
    </row>
    <row r="5" spans="1:5" ht="12.75" customHeight="1" x14ac:dyDescent="0.25">
      <c r="A5" s="76" t="s">
        <v>5</v>
      </c>
      <c r="B5" s="38" t="s">
        <v>6</v>
      </c>
      <c r="C5" s="328" t="s">
        <v>7</v>
      </c>
      <c r="D5" s="328"/>
      <c r="E5" s="328"/>
    </row>
    <row r="6" spans="1:5" ht="12.75" customHeight="1" x14ac:dyDescent="0.25">
      <c r="A6" s="37"/>
      <c r="B6" s="39" t="s">
        <v>8</v>
      </c>
      <c r="C6" s="339" t="s">
        <v>9</v>
      </c>
      <c r="D6" s="339"/>
      <c r="E6" s="339"/>
    </row>
    <row r="7" spans="1:5" ht="12.75" customHeight="1" x14ac:dyDescent="0.25">
      <c r="A7" s="76" t="s">
        <v>10</v>
      </c>
      <c r="B7" s="38" t="s">
        <v>146</v>
      </c>
      <c r="C7" s="359" t="s">
        <v>12</v>
      </c>
      <c r="D7" s="359"/>
      <c r="E7" s="359"/>
    </row>
    <row r="8" spans="1:5" ht="12.75" customHeight="1" x14ac:dyDescent="0.25">
      <c r="A8" s="37"/>
      <c r="B8" s="39" t="s">
        <v>13</v>
      </c>
      <c r="C8" s="339" t="s">
        <v>14</v>
      </c>
      <c r="D8" s="339"/>
      <c r="E8" s="339"/>
    </row>
    <row r="9" spans="1:5" ht="12.75" customHeight="1" x14ac:dyDescent="0.25">
      <c r="A9" s="76" t="s">
        <v>15</v>
      </c>
      <c r="B9" s="38" t="s">
        <v>16</v>
      </c>
      <c r="C9" s="328" t="s">
        <v>17</v>
      </c>
      <c r="D9" s="328"/>
      <c r="E9" s="328"/>
    </row>
    <row r="10" spans="1:5" ht="12.75" customHeight="1" x14ac:dyDescent="0.25">
      <c r="A10" s="37"/>
      <c r="B10" s="39" t="s">
        <v>18</v>
      </c>
      <c r="C10" s="339" t="s">
        <v>19</v>
      </c>
      <c r="D10" s="339"/>
      <c r="E10" s="339"/>
    </row>
    <row r="11" spans="1:5" ht="12.75" customHeight="1" x14ac:dyDescent="0.25">
      <c r="A11" s="76" t="s">
        <v>20</v>
      </c>
      <c r="B11" s="38" t="s">
        <v>21</v>
      </c>
      <c r="C11" s="340">
        <v>44140</v>
      </c>
      <c r="D11" s="328"/>
      <c r="E11" s="328"/>
    </row>
    <row r="12" spans="1:5" ht="12.75" customHeight="1" x14ac:dyDescent="0.25">
      <c r="A12" s="37"/>
      <c r="B12" s="39" t="s">
        <v>22</v>
      </c>
      <c r="C12" s="341">
        <v>44140</v>
      </c>
      <c r="D12" s="339"/>
      <c r="E12" s="339"/>
    </row>
    <row r="13" spans="1:5" ht="12.75" customHeight="1" x14ac:dyDescent="0.25">
      <c r="A13" s="37"/>
      <c r="B13" s="39"/>
      <c r="C13" s="342"/>
      <c r="D13" s="342"/>
      <c r="E13" s="342"/>
    </row>
    <row r="14" spans="1:5" ht="12.75" customHeight="1" x14ac:dyDescent="0.25">
      <c r="A14" s="359" t="s">
        <v>147</v>
      </c>
      <c r="B14" s="359"/>
      <c r="C14" s="359"/>
      <c r="D14" s="359"/>
      <c r="E14" s="359"/>
    </row>
    <row r="15" spans="1:5" ht="12.75" customHeight="1" x14ac:dyDescent="0.25">
      <c r="A15" s="328" t="s">
        <v>300</v>
      </c>
      <c r="B15" s="328"/>
      <c r="C15" s="328"/>
      <c r="D15" s="328"/>
      <c r="E15" s="328"/>
    </row>
    <row r="16" spans="1:5" ht="12.75" customHeight="1" x14ac:dyDescent="0.25">
      <c r="A16" s="343" t="s">
        <v>25</v>
      </c>
      <c r="B16" s="343"/>
      <c r="C16" s="343"/>
      <c r="D16" s="343"/>
      <c r="E16" s="343"/>
    </row>
    <row r="17" spans="1:5" ht="48" customHeight="1" x14ac:dyDescent="0.25">
      <c r="A17" s="106" t="s">
        <v>301</v>
      </c>
      <c r="B17" s="107" t="s">
        <v>150</v>
      </c>
      <c r="C17" s="107" t="s">
        <v>28</v>
      </c>
      <c r="D17" s="107" t="s">
        <v>151</v>
      </c>
      <c r="E17" s="108" t="s">
        <v>152</v>
      </c>
    </row>
    <row r="18" spans="1:5" ht="21" x14ac:dyDescent="0.25">
      <c r="A18" s="40" t="s">
        <v>33</v>
      </c>
      <c r="B18" s="41" t="s">
        <v>302</v>
      </c>
      <c r="C18" s="42" t="s">
        <v>303</v>
      </c>
      <c r="D18" s="77">
        <v>0</v>
      </c>
      <c r="E18" s="78">
        <v>0</v>
      </c>
    </row>
    <row r="19" spans="1:5" x14ac:dyDescent="0.25">
      <c r="A19" s="46"/>
      <c r="B19" s="47" t="s">
        <v>304</v>
      </c>
      <c r="C19" s="48" t="s">
        <v>305</v>
      </c>
      <c r="D19" s="79">
        <v>2402331384702.5801</v>
      </c>
      <c r="E19" s="80">
        <v>2050792245041.03</v>
      </c>
    </row>
    <row r="20" spans="1:5" ht="31.5" x14ac:dyDescent="0.25">
      <c r="A20" s="46" t="s">
        <v>5</v>
      </c>
      <c r="B20" s="47" t="s">
        <v>306</v>
      </c>
      <c r="C20" s="48" t="s">
        <v>307</v>
      </c>
      <c r="D20" s="81">
        <v>8.1359999999999991E-3</v>
      </c>
      <c r="E20" s="50">
        <v>7.8720000000000005E-3</v>
      </c>
    </row>
    <row r="21" spans="1:5" ht="31.5" x14ac:dyDescent="0.25">
      <c r="A21" s="46" t="s">
        <v>10</v>
      </c>
      <c r="B21" s="47" t="s">
        <v>308</v>
      </c>
      <c r="C21" s="48" t="s">
        <v>309</v>
      </c>
      <c r="D21" s="81">
        <v>7.5600000000000005E-4</v>
      </c>
      <c r="E21" s="50">
        <v>7.3200000000000001E-4</v>
      </c>
    </row>
    <row r="22" spans="1:5" ht="52.5" x14ac:dyDescent="0.25">
      <c r="A22" s="46" t="s">
        <v>15</v>
      </c>
      <c r="B22" s="47" t="s">
        <v>310</v>
      </c>
      <c r="C22" s="48" t="s">
        <v>311</v>
      </c>
      <c r="D22" s="81">
        <v>1.1640000000000001E-3</v>
      </c>
      <c r="E22" s="50">
        <v>1.176E-3</v>
      </c>
    </row>
    <row r="23" spans="1:5" ht="31.5" x14ac:dyDescent="0.25">
      <c r="A23" s="46" t="s">
        <v>20</v>
      </c>
      <c r="B23" s="47" t="s">
        <v>312</v>
      </c>
      <c r="C23" s="48" t="s">
        <v>313</v>
      </c>
      <c r="D23" s="81">
        <v>8.3999999999999995E-5</v>
      </c>
      <c r="E23" s="50">
        <v>9.6000000000000002E-5</v>
      </c>
    </row>
    <row r="24" spans="1:5" ht="63" x14ac:dyDescent="0.25">
      <c r="A24" s="46" t="s">
        <v>44</v>
      </c>
      <c r="B24" s="47" t="s">
        <v>314</v>
      </c>
      <c r="C24" s="48" t="s">
        <v>315</v>
      </c>
      <c r="D24" s="81">
        <v>4.8000000000000001E-5</v>
      </c>
      <c r="E24" s="50">
        <v>6.0000000000000002E-5</v>
      </c>
    </row>
    <row r="25" spans="1:5" ht="21" x14ac:dyDescent="0.25">
      <c r="A25" s="46" t="s">
        <v>47</v>
      </c>
      <c r="B25" s="47" t="s">
        <v>316</v>
      </c>
      <c r="C25" s="48" t="s">
        <v>317</v>
      </c>
      <c r="D25" s="81">
        <v>1.1339999999999999E-2</v>
      </c>
      <c r="E25" s="50">
        <v>9.9360000000000004E-3</v>
      </c>
    </row>
    <row r="26" spans="1:5" ht="52.5" x14ac:dyDescent="0.25">
      <c r="A26" s="46" t="s">
        <v>50</v>
      </c>
      <c r="B26" s="47" t="s">
        <v>318</v>
      </c>
      <c r="C26" s="48" t="s">
        <v>319</v>
      </c>
      <c r="D26" s="81">
        <v>0.40316400000000002</v>
      </c>
      <c r="E26" s="50">
        <v>0</v>
      </c>
    </row>
    <row r="27" spans="1:5" ht="21" x14ac:dyDescent="0.25">
      <c r="A27" s="40" t="s">
        <v>73</v>
      </c>
      <c r="B27" s="41" t="s">
        <v>320</v>
      </c>
      <c r="C27" s="42" t="s">
        <v>321</v>
      </c>
      <c r="D27" s="77">
        <v>0</v>
      </c>
      <c r="E27" s="78">
        <v>0</v>
      </c>
    </row>
    <row r="28" spans="1:5" ht="21" x14ac:dyDescent="0.25">
      <c r="A28" s="46" t="s">
        <v>5</v>
      </c>
      <c r="B28" s="47" t="s">
        <v>322</v>
      </c>
      <c r="C28" s="48" t="s">
        <v>323</v>
      </c>
      <c r="D28" s="79">
        <v>1683000000000</v>
      </c>
      <c r="E28" s="80">
        <v>1457000000000</v>
      </c>
    </row>
    <row r="29" spans="1:5" ht="21" x14ac:dyDescent="0.25">
      <c r="A29" s="46"/>
      <c r="B29" s="47" t="s">
        <v>324</v>
      </c>
      <c r="C29" s="48" t="s">
        <v>325</v>
      </c>
      <c r="D29" s="79">
        <v>1683000000000</v>
      </c>
      <c r="E29" s="80">
        <v>1457000000000</v>
      </c>
    </row>
    <row r="30" spans="1:5" ht="31.5" x14ac:dyDescent="0.25">
      <c r="A30" s="46"/>
      <c r="B30" s="47" t="s">
        <v>326</v>
      </c>
      <c r="C30" s="48" t="s">
        <v>327</v>
      </c>
      <c r="D30" s="79">
        <v>168300000</v>
      </c>
      <c r="E30" s="80">
        <v>145700000</v>
      </c>
    </row>
    <row r="31" spans="1:5" ht="21" x14ac:dyDescent="0.25">
      <c r="A31" s="46" t="s">
        <v>10</v>
      </c>
      <c r="B31" s="47" t="s">
        <v>328</v>
      </c>
      <c r="C31" s="48" t="s">
        <v>329</v>
      </c>
      <c r="D31" s="79">
        <v>80000000000</v>
      </c>
      <c r="E31" s="80">
        <v>226000000000</v>
      </c>
    </row>
    <row r="32" spans="1:5" ht="21" x14ac:dyDescent="0.25">
      <c r="A32" s="46"/>
      <c r="B32" s="47" t="s">
        <v>330</v>
      </c>
      <c r="C32" s="48" t="s">
        <v>331</v>
      </c>
      <c r="D32" s="79">
        <v>8000000</v>
      </c>
      <c r="E32" s="80">
        <v>22600000</v>
      </c>
    </row>
    <row r="33" spans="1:5" ht="21" x14ac:dyDescent="0.25">
      <c r="A33" s="46"/>
      <c r="B33" s="47" t="s">
        <v>332</v>
      </c>
      <c r="C33" s="48" t="s">
        <v>333</v>
      </c>
      <c r="D33" s="79">
        <v>80000000000</v>
      </c>
      <c r="E33" s="80">
        <v>226000000000</v>
      </c>
    </row>
    <row r="34" spans="1:5" ht="21" x14ac:dyDescent="0.25">
      <c r="A34" s="46"/>
      <c r="B34" s="47" t="s">
        <v>334</v>
      </c>
      <c r="C34" s="48" t="s">
        <v>335</v>
      </c>
      <c r="D34" s="79">
        <v>10200000</v>
      </c>
      <c r="E34" s="80">
        <v>24500000</v>
      </c>
    </row>
    <row r="35" spans="1:5" ht="21" x14ac:dyDescent="0.25">
      <c r="A35" s="46"/>
      <c r="B35" s="47" t="s">
        <v>336</v>
      </c>
      <c r="C35" s="48" t="s">
        <v>337</v>
      </c>
      <c r="D35" s="79">
        <v>102000000000</v>
      </c>
      <c r="E35" s="80">
        <v>245000000000</v>
      </c>
    </row>
    <row r="36" spans="1:5" ht="21" x14ac:dyDescent="0.25">
      <c r="A36" s="46"/>
      <c r="B36" s="47" t="s">
        <v>338</v>
      </c>
      <c r="C36" s="48" t="s">
        <v>339</v>
      </c>
      <c r="D36" s="416">
        <v>-2200000</v>
      </c>
      <c r="E36" s="417">
        <v>-1900000</v>
      </c>
    </row>
    <row r="37" spans="1:5" ht="31.5" x14ac:dyDescent="0.25">
      <c r="A37" s="46"/>
      <c r="B37" s="47" t="s">
        <v>340</v>
      </c>
      <c r="C37" s="48" t="s">
        <v>341</v>
      </c>
      <c r="D37" s="416">
        <v>-22000000000</v>
      </c>
      <c r="E37" s="417">
        <v>-19000000000</v>
      </c>
    </row>
    <row r="38" spans="1:5" ht="21" x14ac:dyDescent="0.25">
      <c r="A38" s="46" t="s">
        <v>15</v>
      </c>
      <c r="B38" s="47" t="s">
        <v>342</v>
      </c>
      <c r="C38" s="48" t="s">
        <v>343</v>
      </c>
      <c r="D38" s="79">
        <v>1763000000000</v>
      </c>
      <c r="E38" s="80">
        <v>1683000000000</v>
      </c>
    </row>
    <row r="39" spans="1:5" ht="21" x14ac:dyDescent="0.25">
      <c r="A39" s="46"/>
      <c r="B39" s="47" t="s">
        <v>344</v>
      </c>
      <c r="C39" s="48" t="s">
        <v>345</v>
      </c>
      <c r="D39" s="79">
        <v>1763000000000</v>
      </c>
      <c r="E39" s="80">
        <v>1683000000000</v>
      </c>
    </row>
    <row r="40" spans="1:5" ht="21" x14ac:dyDescent="0.25">
      <c r="A40" s="46"/>
      <c r="B40" s="47" t="s">
        <v>346</v>
      </c>
      <c r="C40" s="48" t="s">
        <v>347</v>
      </c>
      <c r="D40" s="79">
        <v>176300000</v>
      </c>
      <c r="E40" s="80">
        <v>168300000</v>
      </c>
    </row>
    <row r="41" spans="1:5" ht="42" x14ac:dyDescent="0.25">
      <c r="A41" s="46" t="s">
        <v>20</v>
      </c>
      <c r="B41" s="47" t="s">
        <v>348</v>
      </c>
      <c r="C41" s="48" t="s">
        <v>349</v>
      </c>
      <c r="D41" s="194">
        <v>1.0460519999999999E-2</v>
      </c>
      <c r="E41" s="195">
        <v>1.095775E-2</v>
      </c>
    </row>
    <row r="42" spans="1:5" ht="21" x14ac:dyDescent="0.25">
      <c r="A42" s="46" t="s">
        <v>44</v>
      </c>
      <c r="B42" s="47" t="s">
        <v>350</v>
      </c>
      <c r="C42" s="48" t="s">
        <v>351</v>
      </c>
      <c r="D42" s="194">
        <v>0.64313494999999998</v>
      </c>
      <c r="E42" s="195">
        <v>0.65121055000000005</v>
      </c>
    </row>
    <row r="43" spans="1:5" ht="21" x14ac:dyDescent="0.25">
      <c r="A43" s="46" t="s">
        <v>47</v>
      </c>
      <c r="B43" s="47" t="s">
        <v>352</v>
      </c>
      <c r="C43" s="48" t="s">
        <v>353</v>
      </c>
      <c r="D43" s="194">
        <v>0.99620834999999996</v>
      </c>
      <c r="E43" s="195">
        <v>0.99305849000000002</v>
      </c>
    </row>
    <row r="44" spans="1:5" ht="21" x14ac:dyDescent="0.25">
      <c r="A44" s="46"/>
      <c r="B44" s="47" t="s">
        <v>354</v>
      </c>
      <c r="C44" s="48" t="s">
        <v>355</v>
      </c>
      <c r="D44" s="196">
        <v>350</v>
      </c>
      <c r="E44" s="197">
        <v>340</v>
      </c>
    </row>
    <row r="45" spans="1:5" ht="21" x14ac:dyDescent="0.25">
      <c r="A45" s="46" t="s">
        <v>50</v>
      </c>
      <c r="B45" s="47" t="s">
        <v>356</v>
      </c>
      <c r="C45" s="48" t="s">
        <v>357</v>
      </c>
      <c r="D45" s="190">
        <v>13640.88</v>
      </c>
      <c r="E45" s="191">
        <v>13338.55</v>
      </c>
    </row>
    <row r="46" spans="1:5" ht="21" x14ac:dyDescent="0.25">
      <c r="A46" s="82" t="s">
        <v>53</v>
      </c>
      <c r="B46" s="83" t="s">
        <v>358</v>
      </c>
      <c r="C46" s="84" t="s">
        <v>359</v>
      </c>
      <c r="D46" s="192">
        <v>13920</v>
      </c>
      <c r="E46" s="193">
        <v>13370</v>
      </c>
    </row>
    <row r="47" spans="1:5" ht="9" customHeight="1" x14ac:dyDescent="0.25">
      <c r="A47" s="321"/>
      <c r="B47" s="321"/>
      <c r="C47" s="321"/>
      <c r="D47" s="321"/>
      <c r="E47" s="321"/>
    </row>
    <row r="48" spans="1:5" ht="15.75" customHeight="1" x14ac:dyDescent="0.25">
      <c r="A48" s="339" t="s">
        <v>360</v>
      </c>
      <c r="B48" s="339"/>
      <c r="C48" s="321"/>
      <c r="D48" s="321"/>
      <c r="E48" s="321"/>
    </row>
    <row r="49" spans="1:5" ht="41.25" customHeight="1" x14ac:dyDescent="0.25">
      <c r="A49" s="330" t="s">
        <v>361</v>
      </c>
      <c r="B49" s="330"/>
      <c r="C49" s="330"/>
      <c r="D49" s="330"/>
      <c r="E49" s="330"/>
    </row>
    <row r="50" spans="1:5" ht="27" customHeight="1" x14ac:dyDescent="0.25">
      <c r="A50" s="330" t="s">
        <v>362</v>
      </c>
      <c r="B50" s="330"/>
      <c r="C50" s="330"/>
      <c r="D50" s="330"/>
      <c r="E50" s="330"/>
    </row>
    <row r="51" spans="1:5" ht="7.5" customHeight="1" x14ac:dyDescent="0.25">
      <c r="A51" s="321"/>
      <c r="B51" s="321"/>
      <c r="C51" s="358"/>
      <c r="D51" s="358"/>
      <c r="E51" s="358"/>
    </row>
    <row r="52" spans="1:5" ht="14.25" customHeight="1" x14ac:dyDescent="0.25">
      <c r="A52" s="333" t="s">
        <v>363</v>
      </c>
      <c r="B52" s="333"/>
      <c r="C52" s="333" t="s">
        <v>289</v>
      </c>
      <c r="D52" s="333"/>
      <c r="E52" s="333"/>
    </row>
    <row r="53" spans="1:5" ht="12" customHeight="1" x14ac:dyDescent="0.25">
      <c r="A53" s="357" t="s">
        <v>290</v>
      </c>
      <c r="B53" s="357"/>
      <c r="C53" s="357" t="s">
        <v>291</v>
      </c>
      <c r="D53" s="357"/>
      <c r="E53" s="357"/>
    </row>
    <row r="54" spans="1:5" ht="12.75" customHeight="1" x14ac:dyDescent="0.25">
      <c r="A54" s="321"/>
      <c r="B54" s="321"/>
      <c r="C54" s="321"/>
      <c r="D54" s="321"/>
      <c r="E54" s="321"/>
    </row>
    <row r="55" spans="1:5" ht="15.75" customHeight="1" x14ac:dyDescent="0.25">
      <c r="A55" s="321"/>
      <c r="B55" s="321"/>
      <c r="C55" s="321"/>
      <c r="D55" s="321"/>
      <c r="E55" s="321"/>
    </row>
    <row r="56" spans="1:5" ht="15.75" customHeight="1" x14ac:dyDescent="0.25">
      <c r="A56" s="321"/>
      <c r="B56" s="321"/>
      <c r="C56" s="321"/>
      <c r="D56" s="321"/>
      <c r="E56" s="321"/>
    </row>
    <row r="57" spans="1:5" ht="15.75" customHeight="1" x14ac:dyDescent="0.25">
      <c r="A57" s="321"/>
      <c r="B57" s="321"/>
      <c r="C57" s="321"/>
      <c r="D57" s="321"/>
      <c r="E57" s="321"/>
    </row>
    <row r="58" spans="1:5" ht="12.75" customHeight="1" x14ac:dyDescent="0.25">
      <c r="A58" s="322" t="s">
        <v>292</v>
      </c>
      <c r="B58" s="322"/>
      <c r="C58" s="322" t="s">
        <v>293</v>
      </c>
      <c r="D58" s="322"/>
      <c r="E58" s="322"/>
    </row>
    <row r="59" spans="1:5" ht="12.75" customHeight="1" x14ac:dyDescent="0.25">
      <c r="A59" s="319" t="s">
        <v>294</v>
      </c>
      <c r="B59" s="319"/>
      <c r="C59" s="319" t="s">
        <v>295</v>
      </c>
      <c r="D59" s="319"/>
      <c r="E59" s="319"/>
    </row>
    <row r="60" spans="1:5" ht="12.75" customHeight="1" x14ac:dyDescent="0.25">
      <c r="A60" s="319" t="s">
        <v>296</v>
      </c>
      <c r="B60" s="319"/>
      <c r="C60" s="319" t="s">
        <v>297</v>
      </c>
      <c r="D60" s="319"/>
      <c r="E60" s="319"/>
    </row>
  </sheetData>
  <mergeCells count="43">
    <mergeCell ref="C5:E5"/>
    <mergeCell ref="A1:B1"/>
    <mergeCell ref="C1:E1"/>
    <mergeCell ref="A2:E2"/>
    <mergeCell ref="B3:E3"/>
    <mergeCell ref="B4:E4"/>
    <mergeCell ref="A47:B47"/>
    <mergeCell ref="C47:E47"/>
    <mergeCell ref="C6:E6"/>
    <mergeCell ref="C7:E7"/>
    <mergeCell ref="C8:E8"/>
    <mergeCell ref="C9:E9"/>
    <mergeCell ref="C10:E10"/>
    <mergeCell ref="C11:E11"/>
    <mergeCell ref="C12:E12"/>
    <mergeCell ref="C13:E13"/>
    <mergeCell ref="A14:E14"/>
    <mergeCell ref="A15:E15"/>
    <mergeCell ref="A16:E16"/>
    <mergeCell ref="A48:B48"/>
    <mergeCell ref="C48:E48"/>
    <mergeCell ref="A49:E49"/>
    <mergeCell ref="A50:E50"/>
    <mergeCell ref="A51:B51"/>
    <mergeCell ref="C51:E51"/>
    <mergeCell ref="A52:B52"/>
    <mergeCell ref="C52:E52"/>
    <mergeCell ref="A53:B53"/>
    <mergeCell ref="C53:E53"/>
    <mergeCell ref="A54:B54"/>
    <mergeCell ref="C54:E54"/>
    <mergeCell ref="A55:B55"/>
    <mergeCell ref="C55:E55"/>
    <mergeCell ref="A56:B56"/>
    <mergeCell ref="C56:E56"/>
    <mergeCell ref="A57:B57"/>
    <mergeCell ref="C57:E57"/>
    <mergeCell ref="A58:B58"/>
    <mergeCell ref="C58:E58"/>
    <mergeCell ref="A59:B59"/>
    <mergeCell ref="C59:E59"/>
    <mergeCell ref="A60:B60"/>
    <mergeCell ref="C60:E60"/>
  </mergeCells>
  <printOptions horizontalCentered="1"/>
  <pageMargins left="0" right="0" top="0.59" bottom="0.59" header="0.5" footer="0.5"/>
  <pageSetup paperSize="9" scale="9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topLeftCell="A7" zoomScaleNormal="90" zoomScaleSheetLayoutView="100" workbookViewId="0">
      <selection activeCell="A2" sqref="A2:K2"/>
    </sheetView>
  </sheetViews>
  <sheetFormatPr defaultColWidth="9.28515625" defaultRowHeight="10.5" x14ac:dyDescent="0.15"/>
  <cols>
    <col min="1" max="1" width="4.28515625" style="198" customWidth="1"/>
    <col min="2" max="2" width="43" style="198" customWidth="1"/>
    <col min="3" max="3" width="7.42578125" style="198" customWidth="1"/>
    <col min="4" max="4" width="13" style="198" customWidth="1"/>
    <col min="5" max="5" width="12.28515625" style="198" customWidth="1"/>
    <col min="6" max="6" width="6.85546875" style="198" customWidth="1"/>
    <col min="7" max="7" width="12.7109375" style="198" customWidth="1"/>
    <col min="8" max="8" width="11.5703125" style="198" customWidth="1"/>
    <col min="9" max="9" width="24.28515625" style="198" customWidth="1"/>
    <col min="10" max="10" width="10.85546875" style="198" customWidth="1"/>
    <col min="11" max="11" width="23.28515625" style="198" customWidth="1"/>
    <col min="12" max="16384" width="9.28515625" style="198"/>
  </cols>
  <sheetData>
    <row r="1" spans="1:11" ht="22.5" customHeight="1" x14ac:dyDescent="0.15">
      <c r="B1" s="199"/>
      <c r="C1" s="199"/>
      <c r="D1" s="199"/>
      <c r="E1" s="378" t="s">
        <v>969</v>
      </c>
      <c r="F1" s="378"/>
      <c r="G1" s="378"/>
      <c r="H1" s="378"/>
      <c r="I1" s="378"/>
      <c r="J1" s="378"/>
      <c r="K1" s="378"/>
    </row>
    <row r="2" spans="1:11" ht="33.75" customHeight="1" x14ac:dyDescent="0.15">
      <c r="A2" s="379" t="s">
        <v>970</v>
      </c>
      <c r="B2" s="379"/>
      <c r="C2" s="379"/>
      <c r="D2" s="379"/>
      <c r="E2" s="379"/>
      <c r="F2" s="379"/>
      <c r="G2" s="379"/>
      <c r="H2" s="379"/>
      <c r="I2" s="379"/>
      <c r="J2" s="379"/>
      <c r="K2" s="379"/>
    </row>
    <row r="3" spans="1:11" x14ac:dyDescent="0.15">
      <c r="A3" s="380" t="s">
        <v>971</v>
      </c>
      <c r="B3" s="380"/>
      <c r="C3" s="380"/>
      <c r="D3" s="380"/>
      <c r="E3" s="380"/>
      <c r="F3" s="380"/>
      <c r="G3" s="380"/>
      <c r="H3" s="380"/>
      <c r="I3" s="380"/>
      <c r="J3" s="380"/>
      <c r="K3" s="380"/>
    </row>
    <row r="4" spans="1:11" ht="18" customHeight="1" x14ac:dyDescent="0.15">
      <c r="A4" s="381" t="s">
        <v>932</v>
      </c>
      <c r="B4" s="382"/>
      <c r="C4" s="382"/>
      <c r="D4" s="382"/>
      <c r="E4" s="382"/>
      <c r="F4" s="382"/>
      <c r="G4" s="382"/>
      <c r="H4" s="382"/>
      <c r="I4" s="382"/>
      <c r="J4" s="382"/>
      <c r="K4" s="382"/>
    </row>
    <row r="5" spans="1:11" x14ac:dyDescent="0.15">
      <c r="A5" s="200"/>
      <c r="B5" s="201"/>
      <c r="C5" s="201"/>
      <c r="D5" s="202"/>
      <c r="E5" s="202"/>
      <c r="F5" s="201"/>
      <c r="G5" s="201"/>
      <c r="H5" s="201"/>
      <c r="I5" s="201"/>
      <c r="J5" s="201"/>
      <c r="K5" s="201"/>
    </row>
    <row r="6" spans="1:11" x14ac:dyDescent="0.15">
      <c r="A6" s="203">
        <v>1</v>
      </c>
      <c r="B6" s="204" t="s">
        <v>6</v>
      </c>
      <c r="C6" s="204" t="s">
        <v>934</v>
      </c>
      <c r="D6" s="202"/>
      <c r="E6" s="202"/>
      <c r="F6" s="201"/>
      <c r="G6" s="201"/>
      <c r="H6" s="201"/>
      <c r="I6" s="201"/>
      <c r="J6" s="201"/>
      <c r="K6" s="201"/>
    </row>
    <row r="7" spans="1:11" x14ac:dyDescent="0.15">
      <c r="A7" s="203"/>
      <c r="B7" s="205" t="s">
        <v>8</v>
      </c>
      <c r="C7" s="205" t="s">
        <v>9</v>
      </c>
      <c r="D7" s="206"/>
      <c r="E7" s="206"/>
      <c r="F7" s="207"/>
      <c r="G7" s="207"/>
      <c r="H7" s="207"/>
      <c r="I7" s="207"/>
      <c r="J7" s="207"/>
      <c r="K7" s="207"/>
    </row>
    <row r="8" spans="1:11" ht="12.75" customHeight="1" x14ac:dyDescent="0.15">
      <c r="A8" s="208">
        <v>2</v>
      </c>
      <c r="B8" s="209" t="s">
        <v>11</v>
      </c>
      <c r="C8" s="210" t="s">
        <v>935</v>
      </c>
      <c r="D8" s="210"/>
      <c r="E8" s="210"/>
      <c r="F8" s="210"/>
      <c r="G8" s="210"/>
      <c r="H8" s="210"/>
      <c r="I8" s="211"/>
      <c r="J8" s="211"/>
      <c r="K8" s="211"/>
    </row>
    <row r="9" spans="1:11" ht="12.75" customHeight="1" x14ac:dyDescent="0.15">
      <c r="A9" s="208"/>
      <c r="B9" s="212" t="s">
        <v>936</v>
      </c>
      <c r="C9" s="213" t="s">
        <v>582</v>
      </c>
      <c r="D9" s="214"/>
      <c r="E9" s="214"/>
      <c r="F9" s="214"/>
      <c r="G9" s="214"/>
      <c r="H9" s="214"/>
      <c r="I9" s="215"/>
      <c r="J9" s="215"/>
      <c r="K9" s="215"/>
    </row>
    <row r="10" spans="1:11" ht="12.75" customHeight="1" x14ac:dyDescent="0.15">
      <c r="A10" s="208">
        <v>3</v>
      </c>
      <c r="B10" s="209" t="s">
        <v>16</v>
      </c>
      <c r="C10" s="210" t="s">
        <v>937</v>
      </c>
      <c r="D10" s="210"/>
      <c r="E10" s="210"/>
      <c r="F10" s="210"/>
      <c r="G10" s="210"/>
      <c r="H10" s="210"/>
      <c r="I10" s="211"/>
      <c r="J10" s="211"/>
      <c r="K10" s="211"/>
    </row>
    <row r="11" spans="1:11" ht="12.75" customHeight="1" x14ac:dyDescent="0.15">
      <c r="A11" s="208"/>
      <c r="B11" s="212" t="s">
        <v>938</v>
      </c>
      <c r="C11" s="214" t="s">
        <v>972</v>
      </c>
      <c r="D11" s="214"/>
      <c r="E11" s="214"/>
      <c r="F11" s="214"/>
      <c r="G11" s="214"/>
      <c r="H11" s="214"/>
      <c r="I11" s="211"/>
      <c r="J11" s="211"/>
      <c r="K11" s="211"/>
    </row>
    <row r="12" spans="1:11" ht="13.5" customHeight="1" x14ac:dyDescent="0.15">
      <c r="A12" s="208">
        <v>4</v>
      </c>
      <c r="B12" s="209" t="s">
        <v>21</v>
      </c>
      <c r="C12" s="363">
        <v>44140</v>
      </c>
      <c r="D12" s="363"/>
      <c r="E12" s="363"/>
      <c r="F12" s="363"/>
      <c r="G12" s="210"/>
      <c r="H12" s="210"/>
      <c r="I12" s="216"/>
      <c r="J12" s="216"/>
      <c r="K12" s="216"/>
    </row>
    <row r="13" spans="1:11" ht="13.5" customHeight="1" x14ac:dyDescent="0.15">
      <c r="A13" s="214"/>
      <c r="B13" s="212" t="s">
        <v>22</v>
      </c>
      <c r="C13" s="383">
        <v>44140</v>
      </c>
      <c r="D13" s="383"/>
      <c r="E13" s="383"/>
      <c r="F13" s="383"/>
      <c r="G13" s="384"/>
      <c r="H13" s="384"/>
      <c r="I13" s="217"/>
      <c r="J13" s="217"/>
      <c r="K13" s="217"/>
    </row>
    <row r="14" spans="1:11" x14ac:dyDescent="0.15">
      <c r="A14" s="218" t="s">
        <v>946</v>
      </c>
      <c r="B14" s="218" t="s">
        <v>973</v>
      </c>
      <c r="C14" s="219"/>
      <c r="D14" s="220"/>
      <c r="E14" s="220"/>
      <c r="F14" s="220"/>
      <c r="G14" s="221"/>
      <c r="H14" s="221"/>
      <c r="I14" s="217"/>
      <c r="J14" s="217"/>
      <c r="K14" s="217"/>
    </row>
    <row r="15" spans="1:11" x14ac:dyDescent="0.15">
      <c r="A15" s="204" t="s">
        <v>84</v>
      </c>
      <c r="B15" s="204" t="s">
        <v>974</v>
      </c>
      <c r="C15" s="222"/>
      <c r="D15" s="223"/>
      <c r="E15" s="223"/>
      <c r="F15" s="224"/>
      <c r="G15" s="224"/>
      <c r="H15" s="224"/>
      <c r="I15" s="224"/>
      <c r="J15" s="224"/>
      <c r="K15" s="224"/>
    </row>
    <row r="16" spans="1:11" ht="33" customHeight="1" x14ac:dyDescent="0.15">
      <c r="A16" s="376" t="s">
        <v>26</v>
      </c>
      <c r="B16" s="367" t="s">
        <v>975</v>
      </c>
      <c r="C16" s="367" t="s">
        <v>28</v>
      </c>
      <c r="D16" s="367" t="s">
        <v>976</v>
      </c>
      <c r="E16" s="367" t="s">
        <v>977</v>
      </c>
      <c r="F16" s="367" t="s">
        <v>978</v>
      </c>
      <c r="G16" s="367" t="s">
        <v>979</v>
      </c>
      <c r="H16" s="367" t="s">
        <v>980</v>
      </c>
      <c r="I16" s="367"/>
      <c r="J16" s="367" t="s">
        <v>981</v>
      </c>
      <c r="K16" s="369"/>
    </row>
    <row r="17" spans="1:11" ht="31.5" x14ac:dyDescent="0.15">
      <c r="A17" s="377"/>
      <c r="B17" s="368"/>
      <c r="C17" s="368"/>
      <c r="D17" s="368"/>
      <c r="E17" s="368"/>
      <c r="F17" s="368"/>
      <c r="G17" s="368"/>
      <c r="H17" s="276" t="s">
        <v>982</v>
      </c>
      <c r="I17" s="276" t="s">
        <v>983</v>
      </c>
      <c r="J17" s="276" t="s">
        <v>984</v>
      </c>
      <c r="K17" s="277" t="s">
        <v>985</v>
      </c>
    </row>
    <row r="18" spans="1:11" ht="21" x14ac:dyDescent="0.15">
      <c r="A18" s="278">
        <v>1</v>
      </c>
      <c r="B18" s="279" t="s">
        <v>986</v>
      </c>
      <c r="C18" s="280" t="s">
        <v>987</v>
      </c>
      <c r="D18" s="370"/>
      <c r="E18" s="370"/>
      <c r="F18" s="370"/>
      <c r="G18" s="370"/>
      <c r="H18" s="370"/>
      <c r="I18" s="370"/>
      <c r="J18" s="370"/>
      <c r="K18" s="371"/>
    </row>
    <row r="19" spans="1:11" ht="21" x14ac:dyDescent="0.15">
      <c r="A19" s="278" t="s">
        <v>33</v>
      </c>
      <c r="B19" s="279" t="s">
        <v>988</v>
      </c>
      <c r="C19" s="280" t="s">
        <v>989</v>
      </c>
      <c r="D19" s="370"/>
      <c r="E19" s="370"/>
      <c r="F19" s="370"/>
      <c r="G19" s="370"/>
      <c r="H19" s="370"/>
      <c r="I19" s="370"/>
      <c r="J19" s="370"/>
      <c r="K19" s="371"/>
    </row>
    <row r="20" spans="1:11" ht="21" x14ac:dyDescent="0.15">
      <c r="A20" s="278">
        <v>2</v>
      </c>
      <c r="B20" s="279" t="s">
        <v>990</v>
      </c>
      <c r="C20" s="280" t="s">
        <v>991</v>
      </c>
      <c r="D20" s="370"/>
      <c r="E20" s="370"/>
      <c r="F20" s="370"/>
      <c r="G20" s="370"/>
      <c r="H20" s="370"/>
      <c r="I20" s="370"/>
      <c r="J20" s="370"/>
      <c r="K20" s="371"/>
    </row>
    <row r="21" spans="1:11" ht="21" x14ac:dyDescent="0.15">
      <c r="A21" s="278" t="s">
        <v>73</v>
      </c>
      <c r="B21" s="279" t="s">
        <v>992</v>
      </c>
      <c r="C21" s="280" t="s">
        <v>993</v>
      </c>
      <c r="D21" s="370"/>
      <c r="E21" s="370"/>
      <c r="F21" s="370"/>
      <c r="G21" s="370"/>
      <c r="H21" s="370"/>
      <c r="I21" s="370"/>
      <c r="J21" s="370"/>
      <c r="K21" s="371"/>
    </row>
    <row r="22" spans="1:11" ht="21" x14ac:dyDescent="0.15">
      <c r="A22" s="278" t="s">
        <v>946</v>
      </c>
      <c r="B22" s="281" t="s">
        <v>994</v>
      </c>
      <c r="C22" s="280" t="s">
        <v>995</v>
      </c>
      <c r="D22" s="370"/>
      <c r="E22" s="370"/>
      <c r="F22" s="370"/>
      <c r="G22" s="370"/>
      <c r="H22" s="370"/>
      <c r="I22" s="370"/>
      <c r="J22" s="370"/>
      <c r="K22" s="371"/>
    </row>
    <row r="23" spans="1:11" ht="21" x14ac:dyDescent="0.15">
      <c r="A23" s="282" t="s">
        <v>15</v>
      </c>
      <c r="B23" s="281" t="s">
        <v>996</v>
      </c>
      <c r="C23" s="280" t="s">
        <v>997</v>
      </c>
      <c r="D23" s="370"/>
      <c r="E23" s="370"/>
      <c r="F23" s="370"/>
      <c r="G23" s="370"/>
      <c r="H23" s="370"/>
      <c r="I23" s="370"/>
      <c r="J23" s="370"/>
      <c r="K23" s="371"/>
    </row>
    <row r="24" spans="1:11" ht="21" x14ac:dyDescent="0.15">
      <c r="A24" s="282" t="s">
        <v>80</v>
      </c>
      <c r="B24" s="279" t="s">
        <v>998</v>
      </c>
      <c r="C24" s="280" t="s">
        <v>999</v>
      </c>
      <c r="D24" s="370"/>
      <c r="E24" s="370"/>
      <c r="F24" s="370"/>
      <c r="G24" s="370"/>
      <c r="H24" s="370"/>
      <c r="I24" s="370"/>
      <c r="J24" s="370"/>
      <c r="K24" s="371"/>
    </row>
    <row r="25" spans="1:11" ht="21" x14ac:dyDescent="0.15">
      <c r="A25" s="282" t="s">
        <v>20</v>
      </c>
      <c r="B25" s="279" t="s">
        <v>1000</v>
      </c>
      <c r="C25" s="280" t="s">
        <v>1001</v>
      </c>
      <c r="D25" s="370"/>
      <c r="E25" s="370"/>
      <c r="F25" s="370"/>
      <c r="G25" s="370"/>
      <c r="H25" s="370"/>
      <c r="I25" s="370"/>
      <c r="J25" s="370"/>
      <c r="K25" s="371"/>
    </row>
    <row r="26" spans="1:11" ht="21" x14ac:dyDescent="0.15">
      <c r="A26" s="282" t="s">
        <v>84</v>
      </c>
      <c r="B26" s="279" t="s">
        <v>998</v>
      </c>
      <c r="C26" s="280" t="s">
        <v>1002</v>
      </c>
      <c r="D26" s="370"/>
      <c r="E26" s="370"/>
      <c r="F26" s="370"/>
      <c r="G26" s="370"/>
      <c r="H26" s="370"/>
      <c r="I26" s="370"/>
      <c r="J26" s="370"/>
      <c r="K26" s="371"/>
    </row>
    <row r="27" spans="1:11" ht="31.5" x14ac:dyDescent="0.15">
      <c r="A27" s="283" t="s">
        <v>966</v>
      </c>
      <c r="B27" s="284" t="s">
        <v>1003</v>
      </c>
      <c r="C27" s="285" t="s">
        <v>1004</v>
      </c>
      <c r="D27" s="372"/>
      <c r="E27" s="372"/>
      <c r="F27" s="372"/>
      <c r="G27" s="372"/>
      <c r="H27" s="372"/>
      <c r="I27" s="372"/>
      <c r="J27" s="372"/>
      <c r="K27" s="373"/>
    </row>
    <row r="28" spans="1:11" ht="12.75" customHeight="1" x14ac:dyDescent="0.15">
      <c r="A28" s="224"/>
      <c r="B28" s="225"/>
      <c r="C28" s="225"/>
      <c r="D28" s="224"/>
      <c r="E28" s="224"/>
      <c r="F28" s="224"/>
      <c r="G28" s="224"/>
      <c r="H28" s="224"/>
      <c r="I28" s="224"/>
      <c r="J28" s="224"/>
      <c r="K28" s="224"/>
    </row>
    <row r="29" spans="1:11" x14ac:dyDescent="0.15">
      <c r="A29" s="374" t="s">
        <v>288</v>
      </c>
      <c r="B29" s="374"/>
      <c r="C29" s="374"/>
      <c r="E29" s="226"/>
      <c r="F29" s="227"/>
      <c r="G29" s="227"/>
      <c r="H29" s="375" t="s">
        <v>289</v>
      </c>
      <c r="I29" s="375"/>
      <c r="J29" s="375"/>
      <c r="K29" s="375"/>
    </row>
    <row r="30" spans="1:11" x14ac:dyDescent="0.15">
      <c r="A30" s="361" t="s">
        <v>290</v>
      </c>
      <c r="B30" s="361"/>
      <c r="C30" s="361"/>
      <c r="E30" s="228"/>
      <c r="F30" s="229"/>
      <c r="G30" s="229"/>
      <c r="H30" s="364" t="s">
        <v>291</v>
      </c>
      <c r="I30" s="364"/>
      <c r="J30" s="364"/>
      <c r="K30" s="364"/>
    </row>
    <row r="31" spans="1:11" ht="37.5" customHeight="1" x14ac:dyDescent="0.15">
      <c r="A31" s="229"/>
      <c r="B31" s="230"/>
      <c r="C31" s="231"/>
      <c r="E31" s="228"/>
      <c r="F31" s="229"/>
      <c r="G31" s="229"/>
      <c r="H31" s="232"/>
      <c r="J31" s="233"/>
      <c r="K31" s="234"/>
    </row>
    <row r="32" spans="1:11" ht="26.25" customHeight="1" x14ac:dyDescent="0.15">
      <c r="A32" s="230"/>
      <c r="B32" s="230"/>
      <c r="C32" s="365"/>
      <c r="D32" s="365"/>
      <c r="E32" s="365"/>
      <c r="F32" s="233"/>
      <c r="G32" s="233"/>
      <c r="H32" s="233"/>
      <c r="J32" s="233"/>
      <c r="K32" s="233"/>
    </row>
    <row r="33" spans="1:11" ht="23.25" customHeight="1" x14ac:dyDescent="0.15">
      <c r="A33" s="230"/>
      <c r="B33" s="230"/>
      <c r="C33" s="235"/>
      <c r="D33" s="236"/>
      <c r="E33" s="237"/>
      <c r="F33" s="238"/>
      <c r="G33" s="233"/>
      <c r="H33" s="233"/>
      <c r="J33" s="233"/>
      <c r="K33" s="233"/>
    </row>
    <row r="34" spans="1:11" x14ac:dyDescent="0.15">
      <c r="A34" s="239"/>
      <c r="B34" s="239"/>
      <c r="C34" s="240"/>
      <c r="D34" s="241"/>
      <c r="E34" s="242"/>
      <c r="F34" s="238"/>
      <c r="G34" s="243"/>
      <c r="H34" s="239"/>
      <c r="I34" s="239"/>
      <c r="J34" s="240"/>
      <c r="K34" s="233"/>
    </row>
    <row r="35" spans="1:11" s="244" customFormat="1" x14ac:dyDescent="0.25">
      <c r="A35" s="361" t="s">
        <v>1005</v>
      </c>
      <c r="B35" s="361"/>
      <c r="C35" s="361"/>
      <c r="E35" s="229"/>
      <c r="F35" s="229"/>
      <c r="G35" s="245"/>
      <c r="H35" s="366" t="s">
        <v>934</v>
      </c>
      <c r="I35" s="366"/>
      <c r="J35" s="366"/>
      <c r="K35" s="366"/>
    </row>
    <row r="36" spans="1:11" s="244" customFormat="1" x14ac:dyDescent="0.25">
      <c r="A36" s="361" t="s">
        <v>294</v>
      </c>
      <c r="B36" s="361"/>
      <c r="C36" s="361"/>
      <c r="E36" s="246"/>
      <c r="F36" s="247"/>
      <c r="G36" s="245"/>
      <c r="H36" s="362" t="s">
        <v>574</v>
      </c>
      <c r="I36" s="362"/>
      <c r="J36" s="362"/>
      <c r="K36" s="362"/>
    </row>
    <row r="37" spans="1:11" s="244" customFormat="1" x14ac:dyDescent="0.25">
      <c r="A37" s="361" t="s">
        <v>942</v>
      </c>
      <c r="B37" s="361"/>
      <c r="C37" s="361"/>
      <c r="H37" s="362" t="s">
        <v>943</v>
      </c>
      <c r="I37" s="362"/>
      <c r="J37" s="362"/>
      <c r="K37" s="362"/>
    </row>
  </sheetData>
  <mergeCells count="28">
    <mergeCell ref="F16:F17"/>
    <mergeCell ref="E1:K1"/>
    <mergeCell ref="A2:K2"/>
    <mergeCell ref="A3:K3"/>
    <mergeCell ref="A4:K4"/>
    <mergeCell ref="C13:F13"/>
    <mergeCell ref="G13:H13"/>
    <mergeCell ref="A16:A17"/>
    <mergeCell ref="B16:B17"/>
    <mergeCell ref="C16:C17"/>
    <mergeCell ref="D16:D17"/>
    <mergeCell ref="E16:E17"/>
    <mergeCell ref="A37:C37"/>
    <mergeCell ref="H37:K37"/>
    <mergeCell ref="C12:F12"/>
    <mergeCell ref="A30:C30"/>
    <mergeCell ref="H30:K30"/>
    <mergeCell ref="C32:E32"/>
    <mergeCell ref="A35:C35"/>
    <mergeCell ref="H35:K35"/>
    <mergeCell ref="A36:C36"/>
    <mergeCell ref="H36:K36"/>
    <mergeCell ref="G16:G17"/>
    <mergeCell ref="H16:I16"/>
    <mergeCell ref="J16:K16"/>
    <mergeCell ref="D18:K27"/>
    <mergeCell ref="A29:C29"/>
    <mergeCell ref="H29:K29"/>
  </mergeCells>
  <pageMargins left="0.42" right="0.34" top="0.41" bottom="0.39" header="0.3" footer="0.3"/>
  <pageSetup paperSize="9" scale="8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3"/>
  <sheetViews>
    <sheetView showGridLines="0" showZeros="0" showOutlineSymbols="0" view="pageBreakPreview" topLeftCell="A31" zoomScaleNormal="100" zoomScaleSheetLayoutView="100" workbookViewId="0">
      <selection activeCell="B11" sqref="B11:G11"/>
    </sheetView>
  </sheetViews>
  <sheetFormatPr defaultRowHeight="10.5" x14ac:dyDescent="0.15"/>
  <cols>
    <col min="1" max="1" width="29.85546875" style="102" customWidth="1"/>
    <col min="2" max="2" width="7.7109375" style="102" customWidth="1"/>
    <col min="3" max="3" width="6.7109375" style="102" customWidth="1"/>
    <col min="4" max="7" width="15.7109375" style="102" customWidth="1"/>
    <col min="8" max="16384" width="9.140625" style="102"/>
  </cols>
  <sheetData>
    <row r="1" spans="1:7" ht="22.5" customHeight="1" x14ac:dyDescent="0.15">
      <c r="A1" s="101"/>
      <c r="B1" s="330"/>
      <c r="C1" s="330"/>
      <c r="D1" s="333" t="s">
        <v>579</v>
      </c>
      <c r="E1" s="333"/>
      <c r="F1" s="333"/>
      <c r="G1" s="333"/>
    </row>
    <row r="2" spans="1:7" ht="21" customHeight="1" x14ac:dyDescent="0.15">
      <c r="A2" s="385" t="s">
        <v>541</v>
      </c>
      <c r="B2" s="385"/>
      <c r="C2" s="385"/>
      <c r="D2" s="385"/>
      <c r="E2" s="385"/>
      <c r="F2" s="385"/>
      <c r="G2" s="385"/>
    </row>
    <row r="3" spans="1:7" ht="9.75" customHeight="1" x14ac:dyDescent="0.15">
      <c r="A3" s="101"/>
      <c r="B3" s="330"/>
      <c r="C3" s="330"/>
      <c r="D3" s="330"/>
      <c r="E3" s="330"/>
      <c r="F3" s="330"/>
      <c r="G3" s="330"/>
    </row>
    <row r="4" spans="1:7" ht="13.5" customHeight="1" x14ac:dyDescent="0.15">
      <c r="A4" s="345" t="s">
        <v>580</v>
      </c>
      <c r="B4" s="345"/>
      <c r="C4" s="345"/>
      <c r="D4" s="345"/>
      <c r="E4" s="345"/>
      <c r="F4" s="345"/>
      <c r="G4" s="345"/>
    </row>
    <row r="5" spans="1:7" ht="13.5" customHeight="1" x14ac:dyDescent="0.15">
      <c r="A5" s="386" t="s">
        <v>581</v>
      </c>
      <c r="B5" s="386"/>
      <c r="C5" s="386"/>
      <c r="D5" s="386"/>
      <c r="E5" s="386"/>
      <c r="F5" s="386"/>
      <c r="G5" s="386"/>
    </row>
    <row r="6" spans="1:7" ht="12" customHeight="1" x14ac:dyDescent="0.15">
      <c r="A6" s="387" t="s">
        <v>145</v>
      </c>
      <c r="B6" s="387"/>
      <c r="C6" s="387"/>
      <c r="D6" s="387"/>
      <c r="E6" s="387"/>
      <c r="F6" s="387"/>
      <c r="G6" s="387"/>
    </row>
    <row r="7" spans="1:7" ht="9.75" customHeight="1" x14ac:dyDescent="0.15">
      <c r="A7" s="101"/>
      <c r="B7" s="330"/>
      <c r="C7" s="330"/>
      <c r="D7" s="330"/>
      <c r="E7" s="330"/>
      <c r="F7" s="330"/>
      <c r="G7" s="330"/>
    </row>
    <row r="8" spans="1:7" ht="13.5" customHeight="1" x14ac:dyDescent="0.15">
      <c r="A8" s="103" t="s">
        <v>6</v>
      </c>
      <c r="B8" s="359" t="s">
        <v>7</v>
      </c>
      <c r="C8" s="359"/>
      <c r="D8" s="359"/>
      <c r="E8" s="359"/>
      <c r="F8" s="359"/>
      <c r="G8" s="359"/>
    </row>
    <row r="9" spans="1:7" ht="13.5" customHeight="1" x14ac:dyDescent="0.15">
      <c r="A9" s="104" t="s">
        <v>8</v>
      </c>
      <c r="B9" s="330" t="s">
        <v>9</v>
      </c>
      <c r="C9" s="330"/>
      <c r="D9" s="330"/>
      <c r="E9" s="330"/>
      <c r="F9" s="330"/>
      <c r="G9" s="330"/>
    </row>
    <row r="10" spans="1:7" ht="13.5" customHeight="1" x14ac:dyDescent="0.15">
      <c r="A10" s="103" t="s">
        <v>11</v>
      </c>
      <c r="B10" s="359" t="s">
        <v>12</v>
      </c>
      <c r="C10" s="359"/>
      <c r="D10" s="359"/>
      <c r="E10" s="359"/>
      <c r="F10" s="359"/>
      <c r="G10" s="359"/>
    </row>
    <row r="11" spans="1:7" ht="13.5" customHeight="1" x14ac:dyDescent="0.15">
      <c r="A11" s="104" t="s">
        <v>13</v>
      </c>
      <c r="B11" s="330" t="s">
        <v>582</v>
      </c>
      <c r="C11" s="330"/>
      <c r="D11" s="330"/>
      <c r="E11" s="330"/>
      <c r="F11" s="330"/>
      <c r="G11" s="330"/>
    </row>
    <row r="12" spans="1:7" ht="13.5" customHeight="1" x14ac:dyDescent="0.15">
      <c r="A12" s="103" t="s">
        <v>16</v>
      </c>
      <c r="B12" s="359" t="s">
        <v>17</v>
      </c>
      <c r="C12" s="359"/>
      <c r="D12" s="359"/>
      <c r="E12" s="359"/>
      <c r="F12" s="359"/>
      <c r="G12" s="359"/>
    </row>
    <row r="13" spans="1:7" ht="13.5" customHeight="1" x14ac:dyDescent="0.15">
      <c r="A13" s="104" t="s">
        <v>18</v>
      </c>
      <c r="B13" s="330" t="s">
        <v>19</v>
      </c>
      <c r="C13" s="330"/>
      <c r="D13" s="330"/>
      <c r="E13" s="330"/>
      <c r="F13" s="330"/>
      <c r="G13" s="330"/>
    </row>
    <row r="14" spans="1:7" ht="13.5" customHeight="1" x14ac:dyDescent="0.15">
      <c r="A14" s="103" t="s">
        <v>21</v>
      </c>
      <c r="B14" s="394">
        <v>44140</v>
      </c>
      <c r="C14" s="359"/>
      <c r="D14" s="359"/>
      <c r="E14" s="359"/>
      <c r="F14" s="359"/>
      <c r="G14" s="359"/>
    </row>
    <row r="15" spans="1:7" ht="13.5" customHeight="1" x14ac:dyDescent="0.15">
      <c r="A15" s="104" t="s">
        <v>22</v>
      </c>
      <c r="B15" s="395">
        <v>44140</v>
      </c>
      <c r="C15" s="330"/>
      <c r="D15" s="330"/>
      <c r="E15" s="330"/>
      <c r="F15" s="330"/>
      <c r="G15" s="330"/>
    </row>
    <row r="16" spans="1:7" ht="16.5" customHeight="1" x14ac:dyDescent="0.15">
      <c r="A16" s="105"/>
      <c r="B16" s="396"/>
      <c r="C16" s="396"/>
      <c r="D16" s="396"/>
      <c r="E16" s="396"/>
      <c r="F16" s="397" t="s">
        <v>25</v>
      </c>
      <c r="G16" s="397"/>
    </row>
    <row r="17" spans="1:7" ht="30" customHeight="1" x14ac:dyDescent="0.15">
      <c r="A17" s="388" t="s">
        <v>150</v>
      </c>
      <c r="B17" s="390" t="s">
        <v>583</v>
      </c>
      <c r="C17" s="390" t="s">
        <v>584</v>
      </c>
      <c r="D17" s="390" t="s">
        <v>585</v>
      </c>
      <c r="E17" s="390"/>
      <c r="F17" s="390" t="s">
        <v>586</v>
      </c>
      <c r="G17" s="392"/>
    </row>
    <row r="18" spans="1:7" ht="31.5" x14ac:dyDescent="0.15">
      <c r="A18" s="389"/>
      <c r="B18" s="391"/>
      <c r="C18" s="391"/>
      <c r="D18" s="109" t="s">
        <v>151</v>
      </c>
      <c r="E18" s="109" t="s">
        <v>587</v>
      </c>
      <c r="F18" s="109" t="s">
        <v>588</v>
      </c>
      <c r="G18" s="110" t="s">
        <v>587</v>
      </c>
    </row>
    <row r="19" spans="1:7" ht="31.5" x14ac:dyDescent="0.15">
      <c r="A19" s="111" t="s">
        <v>589</v>
      </c>
      <c r="B19" s="112" t="s">
        <v>590</v>
      </c>
      <c r="C19" s="113"/>
      <c r="D19" s="114">
        <f>D20+D23+D26+D30+D31+D32+D33+D34</f>
        <v>54465689139</v>
      </c>
      <c r="E19" s="114">
        <f>E20+E23+E26+E30+E31+E32+E33+E34</f>
        <v>262262650438</v>
      </c>
      <c r="F19" s="114">
        <f>F20+F23+F26+F30+F31+F32+F33+F34</f>
        <v>0</v>
      </c>
      <c r="G19" s="115">
        <f>G20+G23+G26+G30+G31+G32+G33+G34</f>
        <v>0</v>
      </c>
    </row>
    <row r="20" spans="1:7" ht="21" x14ac:dyDescent="0.15">
      <c r="A20" s="116" t="s">
        <v>591</v>
      </c>
      <c r="B20" s="117" t="s">
        <v>592</v>
      </c>
      <c r="C20" s="118"/>
      <c r="D20" s="119">
        <f>D21+D22</f>
        <v>5736060000</v>
      </c>
      <c r="E20" s="119">
        <f>E21+E22</f>
        <v>18678302000</v>
      </c>
      <c r="F20" s="119">
        <f>F21+F22</f>
        <v>0</v>
      </c>
      <c r="G20" s="120">
        <f>G21+G22</f>
        <v>0</v>
      </c>
    </row>
    <row r="21" spans="1:7" ht="21" x14ac:dyDescent="0.15">
      <c r="A21" s="121" t="s">
        <v>593</v>
      </c>
      <c r="B21" s="122" t="s">
        <v>594</v>
      </c>
      <c r="C21" s="123"/>
      <c r="D21" s="124">
        <v>5736060000</v>
      </c>
      <c r="E21" s="124">
        <v>18678302000</v>
      </c>
      <c r="F21" s="124">
        <v>0</v>
      </c>
      <c r="G21" s="125">
        <v>0</v>
      </c>
    </row>
    <row r="22" spans="1:7" ht="21" x14ac:dyDescent="0.15">
      <c r="A22" s="121" t="s">
        <v>595</v>
      </c>
      <c r="B22" s="122" t="s">
        <v>596</v>
      </c>
      <c r="C22" s="123"/>
      <c r="D22" s="124">
        <v>0</v>
      </c>
      <c r="E22" s="124">
        <v>0</v>
      </c>
      <c r="F22" s="124">
        <v>0</v>
      </c>
      <c r="G22" s="125">
        <v>0</v>
      </c>
    </row>
    <row r="23" spans="1:7" ht="21" x14ac:dyDescent="0.15">
      <c r="A23" s="116" t="s">
        <v>597</v>
      </c>
      <c r="B23" s="117" t="s">
        <v>598</v>
      </c>
      <c r="C23" s="118"/>
      <c r="D23" s="119">
        <f>D24+D25</f>
        <v>24913789</v>
      </c>
      <c r="E23" s="119">
        <f>E24+E25</f>
        <v>62096388</v>
      </c>
      <c r="F23" s="119">
        <f>F24+F25</f>
        <v>0</v>
      </c>
      <c r="G23" s="120">
        <f>G24+G25</f>
        <v>0</v>
      </c>
    </row>
    <row r="24" spans="1:7" ht="21" x14ac:dyDescent="0.15">
      <c r="A24" s="121" t="s">
        <v>599</v>
      </c>
      <c r="B24" s="122" t="s">
        <v>600</v>
      </c>
      <c r="C24" s="123"/>
      <c r="D24" s="124">
        <v>24913789</v>
      </c>
      <c r="E24" s="124">
        <v>62096388</v>
      </c>
      <c r="F24" s="124">
        <v>0</v>
      </c>
      <c r="G24" s="125">
        <v>0</v>
      </c>
    </row>
    <row r="25" spans="1:7" ht="31.5" x14ac:dyDescent="0.15">
      <c r="A25" s="121" t="s">
        <v>601</v>
      </c>
      <c r="B25" s="122" t="s">
        <v>602</v>
      </c>
      <c r="C25" s="123"/>
      <c r="D25" s="124">
        <v>0</v>
      </c>
      <c r="E25" s="124">
        <v>0</v>
      </c>
      <c r="F25" s="124">
        <v>0</v>
      </c>
      <c r="G25" s="125">
        <v>0</v>
      </c>
    </row>
    <row r="26" spans="1:7" ht="42" x14ac:dyDescent="0.15">
      <c r="A26" s="116" t="s">
        <v>603</v>
      </c>
      <c r="B26" s="117" t="s">
        <v>604</v>
      </c>
      <c r="C26" s="118"/>
      <c r="D26" s="119">
        <f>D27+D28+D29</f>
        <v>17364123358</v>
      </c>
      <c r="E26" s="119">
        <f>E27+E28+E29</f>
        <v>17883057902</v>
      </c>
      <c r="F26" s="119">
        <f>F27+F28+F29</f>
        <v>0</v>
      </c>
      <c r="G26" s="120">
        <f>G27+G28+G29</f>
        <v>0</v>
      </c>
    </row>
    <row r="27" spans="1:7" ht="31.5" x14ac:dyDescent="0.15">
      <c r="A27" s="121" t="s">
        <v>605</v>
      </c>
      <c r="B27" s="122" t="s">
        <v>606</v>
      </c>
      <c r="C27" s="123"/>
      <c r="D27" s="124">
        <v>13344798458</v>
      </c>
      <c r="E27" s="124">
        <v>12415420336</v>
      </c>
      <c r="F27" s="124">
        <v>0</v>
      </c>
      <c r="G27" s="125">
        <v>0</v>
      </c>
    </row>
    <row r="28" spans="1:7" ht="42" x14ac:dyDescent="0.15">
      <c r="A28" s="121" t="s">
        <v>607</v>
      </c>
      <c r="B28" s="122" t="s">
        <v>608</v>
      </c>
      <c r="C28" s="123"/>
      <c r="D28" s="124">
        <v>4019324900</v>
      </c>
      <c r="E28" s="124">
        <v>5467637566</v>
      </c>
      <c r="F28" s="124">
        <v>0</v>
      </c>
      <c r="G28" s="125">
        <v>0</v>
      </c>
    </row>
    <row r="29" spans="1:7" ht="52.5" x14ac:dyDescent="0.15">
      <c r="A29" s="121" t="s">
        <v>609</v>
      </c>
      <c r="B29" s="122" t="s">
        <v>610</v>
      </c>
      <c r="C29" s="123"/>
      <c r="D29" s="124">
        <v>0</v>
      </c>
      <c r="E29" s="124">
        <v>0</v>
      </c>
      <c r="F29" s="124">
        <v>0</v>
      </c>
      <c r="G29" s="125">
        <v>0</v>
      </c>
    </row>
    <row r="30" spans="1:7" ht="42" x14ac:dyDescent="0.15">
      <c r="A30" s="116" t="s">
        <v>611</v>
      </c>
      <c r="B30" s="117" t="s">
        <v>612</v>
      </c>
      <c r="C30" s="118"/>
      <c r="D30" s="119">
        <v>31340591992</v>
      </c>
      <c r="E30" s="119">
        <v>225639194148</v>
      </c>
      <c r="F30" s="119">
        <v>0</v>
      </c>
      <c r="G30" s="120">
        <v>0</v>
      </c>
    </row>
    <row r="31" spans="1:7" ht="21" x14ac:dyDescent="0.15">
      <c r="A31" s="116" t="s">
        <v>613</v>
      </c>
      <c r="B31" s="117" t="s">
        <v>614</v>
      </c>
      <c r="C31" s="118"/>
      <c r="D31" s="119">
        <v>0</v>
      </c>
      <c r="E31" s="119">
        <v>0</v>
      </c>
      <c r="F31" s="119">
        <v>0</v>
      </c>
      <c r="G31" s="120">
        <v>0</v>
      </c>
    </row>
    <row r="32" spans="1:7" ht="42" x14ac:dyDescent="0.15">
      <c r="A32" s="116" t="s">
        <v>615</v>
      </c>
      <c r="B32" s="117" t="s">
        <v>616</v>
      </c>
      <c r="C32" s="118"/>
      <c r="D32" s="119">
        <v>0</v>
      </c>
      <c r="E32" s="119">
        <v>0</v>
      </c>
      <c r="F32" s="119">
        <v>0</v>
      </c>
      <c r="G32" s="120">
        <v>0</v>
      </c>
    </row>
    <row r="33" spans="1:7" ht="21" x14ac:dyDescent="0.15">
      <c r="A33" s="116" t="s">
        <v>617</v>
      </c>
      <c r="B33" s="117" t="s">
        <v>618</v>
      </c>
      <c r="C33" s="118"/>
      <c r="D33" s="119">
        <v>0</v>
      </c>
      <c r="E33" s="119">
        <v>0</v>
      </c>
      <c r="F33" s="119">
        <v>0</v>
      </c>
      <c r="G33" s="120">
        <v>0</v>
      </c>
    </row>
    <row r="34" spans="1:7" ht="65.25" customHeight="1" x14ac:dyDescent="0.15">
      <c r="A34" s="116" t="s">
        <v>619</v>
      </c>
      <c r="B34" s="117" t="s">
        <v>620</v>
      </c>
      <c r="C34" s="118"/>
      <c r="D34" s="119">
        <v>0</v>
      </c>
      <c r="E34" s="119">
        <v>0</v>
      </c>
      <c r="F34" s="119">
        <v>0</v>
      </c>
      <c r="G34" s="120">
        <v>0</v>
      </c>
    </row>
    <row r="35" spans="1:7" ht="21" x14ac:dyDescent="0.15">
      <c r="A35" s="111" t="s">
        <v>621</v>
      </c>
      <c r="B35" s="112" t="s">
        <v>59</v>
      </c>
      <c r="C35" s="113"/>
      <c r="D35" s="114">
        <f>D36+D39+D40+D41+D42</f>
        <v>229483265</v>
      </c>
      <c r="E35" s="114">
        <f>E36+E39+E40+E41+E42</f>
        <v>334390222</v>
      </c>
      <c r="F35" s="114">
        <f>F36+F39+F40+F41+F42</f>
        <v>0</v>
      </c>
      <c r="G35" s="115">
        <f>G36+G39+G40+G41+G42</f>
        <v>0</v>
      </c>
    </row>
    <row r="36" spans="1:7" ht="42" x14ac:dyDescent="0.15">
      <c r="A36" s="116" t="s">
        <v>622</v>
      </c>
      <c r="B36" s="117" t="s">
        <v>62</v>
      </c>
      <c r="C36" s="118"/>
      <c r="D36" s="119">
        <f>D37+D38</f>
        <v>229483265</v>
      </c>
      <c r="E36" s="119">
        <f>E37+E38</f>
        <v>334390222</v>
      </c>
      <c r="F36" s="119">
        <f>F37+F38</f>
        <v>0</v>
      </c>
      <c r="G36" s="120">
        <f>G37+G38</f>
        <v>0</v>
      </c>
    </row>
    <row r="37" spans="1:7" ht="21" x14ac:dyDescent="0.15">
      <c r="A37" s="121" t="s">
        <v>623</v>
      </c>
      <c r="B37" s="122" t="s">
        <v>624</v>
      </c>
      <c r="C37" s="123"/>
      <c r="D37" s="124">
        <v>229483265</v>
      </c>
      <c r="E37" s="124">
        <v>334390222</v>
      </c>
      <c r="F37" s="124">
        <v>0</v>
      </c>
      <c r="G37" s="125">
        <v>0</v>
      </c>
    </row>
    <row r="38" spans="1:7" ht="21" x14ac:dyDescent="0.15">
      <c r="A38" s="121" t="s">
        <v>625</v>
      </c>
      <c r="B38" s="122" t="s">
        <v>626</v>
      </c>
      <c r="C38" s="123"/>
      <c r="D38" s="124">
        <v>0</v>
      </c>
      <c r="E38" s="124">
        <v>0</v>
      </c>
      <c r="F38" s="124">
        <v>0</v>
      </c>
      <c r="G38" s="125">
        <v>0</v>
      </c>
    </row>
    <row r="39" spans="1:7" ht="31.5" x14ac:dyDescent="0.15">
      <c r="A39" s="116" t="s">
        <v>627</v>
      </c>
      <c r="B39" s="117" t="s">
        <v>65</v>
      </c>
      <c r="C39" s="118"/>
      <c r="D39" s="119">
        <v>0</v>
      </c>
      <c r="E39" s="119">
        <v>0</v>
      </c>
      <c r="F39" s="119">
        <v>0</v>
      </c>
      <c r="G39" s="120">
        <v>0</v>
      </c>
    </row>
    <row r="40" spans="1:7" ht="21" x14ac:dyDescent="0.15">
      <c r="A40" s="116" t="s">
        <v>628</v>
      </c>
      <c r="B40" s="117" t="s">
        <v>68</v>
      </c>
      <c r="C40" s="118"/>
      <c r="D40" s="119">
        <v>0</v>
      </c>
      <c r="E40" s="119">
        <v>0</v>
      </c>
      <c r="F40" s="119">
        <v>0</v>
      </c>
      <c r="G40" s="120">
        <v>0</v>
      </c>
    </row>
    <row r="41" spans="1:7" ht="63" x14ac:dyDescent="0.15">
      <c r="A41" s="116" t="s">
        <v>629</v>
      </c>
      <c r="B41" s="117" t="s">
        <v>630</v>
      </c>
      <c r="C41" s="118"/>
      <c r="D41" s="119">
        <v>0</v>
      </c>
      <c r="E41" s="119">
        <v>0</v>
      </c>
      <c r="F41" s="119">
        <v>0</v>
      </c>
      <c r="G41" s="120">
        <v>0</v>
      </c>
    </row>
    <row r="42" spans="1:7" ht="21" x14ac:dyDescent="0.15">
      <c r="A42" s="116" t="s">
        <v>631</v>
      </c>
      <c r="B42" s="117" t="s">
        <v>632</v>
      </c>
      <c r="C42" s="118"/>
      <c r="D42" s="119">
        <v>0</v>
      </c>
      <c r="E42" s="119">
        <v>0</v>
      </c>
      <c r="F42" s="119">
        <v>0</v>
      </c>
      <c r="G42" s="120">
        <v>0</v>
      </c>
    </row>
    <row r="43" spans="1:7" ht="21" x14ac:dyDescent="0.15">
      <c r="A43" s="111" t="s">
        <v>633</v>
      </c>
      <c r="B43" s="112" t="s">
        <v>634</v>
      </c>
      <c r="C43" s="113"/>
      <c r="D43" s="114">
        <f>D44+D45+D50+D51+D52+D53+D56+D57+D58+D59</f>
        <v>2040029847</v>
      </c>
      <c r="E43" s="114">
        <f>E44+E45+E50+E51+E52+E53+E56+E57+E58+E59</f>
        <v>7818464717</v>
      </c>
      <c r="F43" s="114">
        <f>F44+F45+F50+F51+F52+F53+F56+F57+F58+F59</f>
        <v>0</v>
      </c>
      <c r="G43" s="115">
        <f>G44+G45+G50+G51+G52+G53+G56+G57+G58+G59</f>
        <v>0</v>
      </c>
    </row>
    <row r="44" spans="1:7" ht="21" x14ac:dyDescent="0.15">
      <c r="A44" s="116" t="s">
        <v>635</v>
      </c>
      <c r="B44" s="117" t="s">
        <v>636</v>
      </c>
      <c r="C44" s="118"/>
      <c r="D44" s="119">
        <v>1627889072</v>
      </c>
      <c r="E44" s="119">
        <v>6058668282</v>
      </c>
      <c r="F44" s="119">
        <v>0</v>
      </c>
      <c r="G44" s="120">
        <v>0</v>
      </c>
    </row>
    <row r="45" spans="1:7" ht="21" x14ac:dyDescent="0.15">
      <c r="A45" s="116" t="s">
        <v>637</v>
      </c>
      <c r="B45" s="117" t="s">
        <v>638</v>
      </c>
      <c r="C45" s="118"/>
      <c r="D45" s="119">
        <f>D46+D47+D48+D49</f>
        <v>60992900</v>
      </c>
      <c r="E45" s="119">
        <f>E46+E47+E48+E49</f>
        <v>230645003</v>
      </c>
      <c r="F45" s="119">
        <f>F46+F47+F48+F49</f>
        <v>0</v>
      </c>
      <c r="G45" s="120">
        <f>G46+G47+G48+G49</f>
        <v>0</v>
      </c>
    </row>
    <row r="46" spans="1:7" ht="31.5" x14ac:dyDescent="0.15">
      <c r="A46" s="121" t="s">
        <v>639</v>
      </c>
      <c r="B46" s="122" t="s">
        <v>640</v>
      </c>
      <c r="C46" s="123"/>
      <c r="D46" s="124">
        <v>40697226</v>
      </c>
      <c r="E46" s="124">
        <v>158228380</v>
      </c>
      <c r="F46" s="124">
        <v>0</v>
      </c>
      <c r="G46" s="125">
        <v>0</v>
      </c>
    </row>
    <row r="47" spans="1:7" ht="31.5" x14ac:dyDescent="0.15">
      <c r="A47" s="121" t="s">
        <v>641</v>
      </c>
      <c r="B47" s="122" t="s">
        <v>642</v>
      </c>
      <c r="C47" s="123"/>
      <c r="D47" s="124">
        <v>1800000</v>
      </c>
      <c r="E47" s="124">
        <v>7500000</v>
      </c>
      <c r="F47" s="124">
        <v>0</v>
      </c>
      <c r="G47" s="125">
        <v>0</v>
      </c>
    </row>
    <row r="48" spans="1:7" ht="21" x14ac:dyDescent="0.15">
      <c r="A48" s="121" t="s">
        <v>643</v>
      </c>
      <c r="B48" s="122" t="s">
        <v>644</v>
      </c>
      <c r="C48" s="123"/>
      <c r="D48" s="124">
        <v>18495674</v>
      </c>
      <c r="E48" s="124">
        <v>64916623</v>
      </c>
      <c r="F48" s="124">
        <v>0</v>
      </c>
      <c r="G48" s="125">
        <v>0</v>
      </c>
    </row>
    <row r="49" spans="1:7" ht="63" x14ac:dyDescent="0.15">
      <c r="A49" s="121" t="s">
        <v>645</v>
      </c>
      <c r="B49" s="122" t="s">
        <v>646</v>
      </c>
      <c r="C49" s="123"/>
      <c r="D49" s="124">
        <v>0</v>
      </c>
      <c r="E49" s="124">
        <v>0</v>
      </c>
      <c r="F49" s="124">
        <v>0</v>
      </c>
      <c r="G49" s="125">
        <v>0</v>
      </c>
    </row>
    <row r="50" spans="1:7" ht="21" x14ac:dyDescent="0.15">
      <c r="A50" s="116" t="s">
        <v>647</v>
      </c>
      <c r="B50" s="117" t="s">
        <v>648</v>
      </c>
      <c r="C50" s="118"/>
      <c r="D50" s="119">
        <v>89533901</v>
      </c>
      <c r="E50" s="119">
        <v>348444569</v>
      </c>
      <c r="F50" s="119">
        <v>0</v>
      </c>
      <c r="G50" s="120">
        <v>0</v>
      </c>
    </row>
    <row r="51" spans="1:7" ht="21" x14ac:dyDescent="0.15">
      <c r="A51" s="116" t="s">
        <v>649</v>
      </c>
      <c r="B51" s="117" t="s">
        <v>650</v>
      </c>
      <c r="C51" s="118"/>
      <c r="D51" s="119">
        <v>44766946</v>
      </c>
      <c r="E51" s="119">
        <v>183553046</v>
      </c>
      <c r="F51" s="119">
        <v>0</v>
      </c>
      <c r="G51" s="120">
        <v>0</v>
      </c>
    </row>
    <row r="52" spans="1:7" ht="21" x14ac:dyDescent="0.15">
      <c r="A52" s="116" t="s">
        <v>651</v>
      </c>
      <c r="B52" s="117" t="s">
        <v>652</v>
      </c>
      <c r="C52" s="118"/>
      <c r="D52" s="119">
        <v>5500000</v>
      </c>
      <c r="E52" s="119">
        <v>31048387</v>
      </c>
      <c r="F52" s="119">
        <v>0</v>
      </c>
      <c r="G52" s="120">
        <v>0</v>
      </c>
    </row>
    <row r="53" spans="1:7" ht="31.5" x14ac:dyDescent="0.15">
      <c r="A53" s="116" t="s">
        <v>653</v>
      </c>
      <c r="B53" s="117" t="s">
        <v>654</v>
      </c>
      <c r="C53" s="118"/>
      <c r="D53" s="119">
        <f>D54+D55</f>
        <v>183137518</v>
      </c>
      <c r="E53" s="119">
        <f>E54+E55</f>
        <v>759287941</v>
      </c>
      <c r="F53" s="119">
        <f>F54+F55</f>
        <v>0</v>
      </c>
      <c r="G53" s="120">
        <f>G54+G55</f>
        <v>0</v>
      </c>
    </row>
    <row r="54" spans="1:7" ht="52.5" x14ac:dyDescent="0.15">
      <c r="A54" s="121" t="s">
        <v>655</v>
      </c>
      <c r="B54" s="122" t="s">
        <v>656</v>
      </c>
      <c r="C54" s="123"/>
      <c r="D54" s="124">
        <v>101743065</v>
      </c>
      <c r="E54" s="124">
        <v>375599382</v>
      </c>
      <c r="F54" s="124">
        <v>0</v>
      </c>
      <c r="G54" s="125">
        <v>0</v>
      </c>
    </row>
    <row r="55" spans="1:7" ht="42" x14ac:dyDescent="0.15">
      <c r="A55" s="121" t="s">
        <v>657</v>
      </c>
      <c r="B55" s="122" t="s">
        <v>658</v>
      </c>
      <c r="C55" s="123"/>
      <c r="D55" s="124">
        <v>81394453</v>
      </c>
      <c r="E55" s="124">
        <v>383688559</v>
      </c>
      <c r="F55" s="124">
        <v>0</v>
      </c>
      <c r="G55" s="125">
        <v>0</v>
      </c>
    </row>
    <row r="56" spans="1:7" ht="31.5" x14ac:dyDescent="0.15">
      <c r="A56" s="116" t="s">
        <v>659</v>
      </c>
      <c r="B56" s="117" t="s">
        <v>660</v>
      </c>
      <c r="C56" s="118"/>
      <c r="D56" s="119">
        <v>0</v>
      </c>
      <c r="E56" s="119">
        <v>0</v>
      </c>
      <c r="F56" s="119">
        <v>0</v>
      </c>
      <c r="G56" s="120">
        <v>0</v>
      </c>
    </row>
    <row r="57" spans="1:7" ht="21" x14ac:dyDescent="0.15">
      <c r="A57" s="116" t="s">
        <v>661</v>
      </c>
      <c r="B57" s="117" t="s">
        <v>662</v>
      </c>
      <c r="C57" s="118"/>
      <c r="D57" s="119">
        <v>16161137</v>
      </c>
      <c r="E57" s="119">
        <v>78199050</v>
      </c>
      <c r="F57" s="119">
        <v>0</v>
      </c>
      <c r="G57" s="120">
        <v>0</v>
      </c>
    </row>
    <row r="58" spans="1:7" ht="21" x14ac:dyDescent="0.15">
      <c r="A58" s="116" t="s">
        <v>663</v>
      </c>
      <c r="B58" s="117" t="s">
        <v>664</v>
      </c>
      <c r="C58" s="118"/>
      <c r="D58" s="119">
        <v>0</v>
      </c>
      <c r="E58" s="119">
        <v>0</v>
      </c>
      <c r="F58" s="119">
        <v>0</v>
      </c>
      <c r="G58" s="120">
        <v>0</v>
      </c>
    </row>
    <row r="59" spans="1:7" ht="21" x14ac:dyDescent="0.15">
      <c r="A59" s="116" t="s">
        <v>665</v>
      </c>
      <c r="B59" s="117" t="s">
        <v>666</v>
      </c>
      <c r="C59" s="118"/>
      <c r="D59" s="119">
        <f>D60+D61+D62+D63+D64+D65+D66+D67+D68+D70+D71+D72+D73</f>
        <v>12048373</v>
      </c>
      <c r="E59" s="119">
        <f>E60+E61+E62+E63+E64+E65+E66+E67+E68+E70+E71+E72+E73</f>
        <v>128618439</v>
      </c>
      <c r="F59" s="119">
        <f>F60+F61+F62+F63+F64+F65+F66+F67+F68+F70+F71+F72+F73</f>
        <v>0</v>
      </c>
      <c r="G59" s="120">
        <f>G60+G61+G62+G63+G64+G65+G66+G67+G68+G70+G71+G72+G73</f>
        <v>0</v>
      </c>
    </row>
    <row r="60" spans="1:7" ht="31.5" x14ac:dyDescent="0.15">
      <c r="A60" s="121" t="s">
        <v>667</v>
      </c>
      <c r="B60" s="122" t="s">
        <v>668</v>
      </c>
      <c r="C60" s="123"/>
      <c r="D60" s="124">
        <v>9760518</v>
      </c>
      <c r="E60" s="124">
        <v>48753526</v>
      </c>
      <c r="F60" s="124">
        <v>0</v>
      </c>
      <c r="G60" s="125">
        <v>0</v>
      </c>
    </row>
    <row r="61" spans="1:7" ht="31.5" x14ac:dyDescent="0.15">
      <c r="A61" s="121" t="s">
        <v>669</v>
      </c>
      <c r="B61" s="122" t="s">
        <v>670</v>
      </c>
      <c r="C61" s="123"/>
      <c r="D61" s="124">
        <v>0</v>
      </c>
      <c r="E61" s="124">
        <v>0</v>
      </c>
      <c r="F61" s="124">
        <v>0</v>
      </c>
      <c r="G61" s="125">
        <v>0</v>
      </c>
    </row>
    <row r="62" spans="1:7" ht="21" x14ac:dyDescent="0.15">
      <c r="A62" s="121" t="s">
        <v>671</v>
      </c>
      <c r="B62" s="122" t="s">
        <v>672</v>
      </c>
      <c r="C62" s="123"/>
      <c r="D62" s="124">
        <v>0</v>
      </c>
      <c r="E62" s="124">
        <v>0</v>
      </c>
      <c r="F62" s="124">
        <v>0</v>
      </c>
      <c r="G62" s="125">
        <v>0</v>
      </c>
    </row>
    <row r="63" spans="1:7" ht="21" x14ac:dyDescent="0.15">
      <c r="A63" s="121" t="s">
        <v>673</v>
      </c>
      <c r="B63" s="122" t="s">
        <v>674</v>
      </c>
      <c r="C63" s="123"/>
      <c r="D63" s="124">
        <v>0</v>
      </c>
      <c r="E63" s="124">
        <v>0</v>
      </c>
      <c r="F63" s="124">
        <v>0</v>
      </c>
      <c r="G63" s="125">
        <v>0</v>
      </c>
    </row>
    <row r="64" spans="1:7" ht="21" x14ac:dyDescent="0.15">
      <c r="A64" s="121" t="s">
        <v>210</v>
      </c>
      <c r="B64" s="122" t="s">
        <v>675</v>
      </c>
      <c r="C64" s="123"/>
      <c r="D64" s="124">
        <v>0</v>
      </c>
      <c r="E64" s="124">
        <v>0</v>
      </c>
      <c r="F64" s="124">
        <v>0</v>
      </c>
      <c r="G64" s="125">
        <v>0</v>
      </c>
    </row>
    <row r="65" spans="1:7" ht="21" x14ac:dyDescent="0.15">
      <c r="A65" s="121" t="s">
        <v>676</v>
      </c>
      <c r="B65" s="122" t="s">
        <v>677</v>
      </c>
      <c r="C65" s="123"/>
      <c r="D65" s="124">
        <v>0</v>
      </c>
      <c r="E65" s="124">
        <v>50000000</v>
      </c>
      <c r="F65" s="124">
        <v>0</v>
      </c>
      <c r="G65" s="125">
        <v>0</v>
      </c>
    </row>
    <row r="66" spans="1:7" ht="21" x14ac:dyDescent="0.15">
      <c r="A66" s="121" t="s">
        <v>678</v>
      </c>
      <c r="B66" s="122" t="s">
        <v>679</v>
      </c>
      <c r="C66" s="123"/>
      <c r="D66" s="124">
        <v>610235</v>
      </c>
      <c r="E66" s="124">
        <v>4173220</v>
      </c>
      <c r="F66" s="124">
        <v>0</v>
      </c>
      <c r="G66" s="125">
        <v>0</v>
      </c>
    </row>
    <row r="67" spans="1:7" ht="21" x14ac:dyDescent="0.15">
      <c r="A67" s="121" t="s">
        <v>238</v>
      </c>
      <c r="B67" s="122" t="s">
        <v>680</v>
      </c>
      <c r="C67" s="123"/>
      <c r="D67" s="124">
        <v>1677620</v>
      </c>
      <c r="E67" s="124">
        <v>8191693</v>
      </c>
      <c r="F67" s="124">
        <v>0</v>
      </c>
      <c r="G67" s="125">
        <v>0</v>
      </c>
    </row>
    <row r="68" spans="1:7" ht="31.5" x14ac:dyDescent="0.15">
      <c r="A68" s="121" t="s">
        <v>220</v>
      </c>
      <c r="B68" s="122" t="s">
        <v>681</v>
      </c>
      <c r="C68" s="123"/>
      <c r="D68" s="124">
        <v>0</v>
      </c>
      <c r="E68" s="124">
        <v>0</v>
      </c>
      <c r="F68" s="124">
        <v>0</v>
      </c>
      <c r="G68" s="125">
        <v>0</v>
      </c>
    </row>
    <row r="69" spans="1:7" ht="21" x14ac:dyDescent="0.15">
      <c r="A69" s="121" t="s">
        <v>222</v>
      </c>
      <c r="B69" s="122" t="s">
        <v>682</v>
      </c>
      <c r="C69" s="123"/>
      <c r="D69" s="124">
        <v>0</v>
      </c>
      <c r="E69" s="124">
        <v>0</v>
      </c>
      <c r="F69" s="124">
        <v>0</v>
      </c>
      <c r="G69" s="125">
        <v>0</v>
      </c>
    </row>
    <row r="70" spans="1:7" ht="31.5" x14ac:dyDescent="0.15">
      <c r="A70" s="121" t="s">
        <v>244</v>
      </c>
      <c r="B70" s="122" t="s">
        <v>683</v>
      </c>
      <c r="C70" s="123"/>
      <c r="D70" s="124">
        <v>0</v>
      </c>
      <c r="E70" s="124">
        <v>0</v>
      </c>
      <c r="F70" s="124">
        <v>0</v>
      </c>
      <c r="G70" s="125">
        <v>0</v>
      </c>
    </row>
    <row r="71" spans="1:7" ht="21" x14ac:dyDescent="0.15">
      <c r="A71" s="121" t="s">
        <v>246</v>
      </c>
      <c r="B71" s="122" t="s">
        <v>684</v>
      </c>
      <c r="C71" s="123"/>
      <c r="D71" s="124">
        <v>0</v>
      </c>
      <c r="E71" s="124">
        <v>0</v>
      </c>
      <c r="F71" s="124">
        <v>0</v>
      </c>
      <c r="G71" s="125">
        <v>0</v>
      </c>
    </row>
    <row r="72" spans="1:7" ht="21" x14ac:dyDescent="0.15">
      <c r="A72" s="121" t="s">
        <v>685</v>
      </c>
      <c r="B72" s="122" t="s">
        <v>686</v>
      </c>
      <c r="C72" s="123"/>
      <c r="D72" s="124">
        <v>0</v>
      </c>
      <c r="E72" s="124">
        <v>17500000</v>
      </c>
      <c r="F72" s="124">
        <v>0</v>
      </c>
      <c r="G72" s="125">
        <v>0</v>
      </c>
    </row>
    <row r="73" spans="1:7" ht="21" x14ac:dyDescent="0.15">
      <c r="A73" s="121" t="s">
        <v>687</v>
      </c>
      <c r="B73" s="122" t="s">
        <v>688</v>
      </c>
      <c r="C73" s="123"/>
      <c r="D73" s="124">
        <v>0</v>
      </c>
      <c r="E73" s="124">
        <v>0</v>
      </c>
      <c r="F73" s="124">
        <v>0</v>
      </c>
      <c r="G73" s="125">
        <v>0</v>
      </c>
    </row>
    <row r="74" spans="1:7" ht="31.5" x14ac:dyDescent="0.15">
      <c r="A74" s="111" t="s">
        <v>689</v>
      </c>
      <c r="B74" s="112" t="s">
        <v>690</v>
      </c>
      <c r="C74" s="113"/>
      <c r="D74" s="114">
        <f>D19-D35-D43</f>
        <v>52196176027</v>
      </c>
      <c r="E74" s="114">
        <f>E19-E35-E43</f>
        <v>254109795499</v>
      </c>
      <c r="F74" s="114">
        <f>F19-F35-F43</f>
        <v>0</v>
      </c>
      <c r="G74" s="115">
        <f>G19-G35-G43</f>
        <v>0</v>
      </c>
    </row>
    <row r="75" spans="1:7" ht="31.5" x14ac:dyDescent="0.15">
      <c r="A75" s="111" t="s">
        <v>691</v>
      </c>
      <c r="B75" s="112" t="s">
        <v>692</v>
      </c>
      <c r="C75" s="113"/>
      <c r="D75" s="114">
        <f>D76-D77</f>
        <v>0</v>
      </c>
      <c r="E75" s="114">
        <f>E76-E77</f>
        <v>0</v>
      </c>
      <c r="F75" s="114">
        <f>F76-F77</f>
        <v>0</v>
      </c>
      <c r="G75" s="115">
        <f>G76-G77</f>
        <v>0</v>
      </c>
    </row>
    <row r="76" spans="1:7" ht="21" x14ac:dyDescent="0.15">
      <c r="A76" s="116" t="s">
        <v>693</v>
      </c>
      <c r="B76" s="117" t="s">
        <v>694</v>
      </c>
      <c r="C76" s="118"/>
      <c r="D76" s="119">
        <v>0</v>
      </c>
      <c r="E76" s="119">
        <v>0</v>
      </c>
      <c r="F76" s="119">
        <v>0</v>
      </c>
      <c r="G76" s="120">
        <v>0</v>
      </c>
    </row>
    <row r="77" spans="1:7" ht="21" x14ac:dyDescent="0.15">
      <c r="A77" s="116" t="s">
        <v>695</v>
      </c>
      <c r="B77" s="117" t="s">
        <v>696</v>
      </c>
      <c r="C77" s="118"/>
      <c r="D77" s="119">
        <v>0</v>
      </c>
      <c r="E77" s="119">
        <v>0</v>
      </c>
      <c r="F77" s="119">
        <v>0</v>
      </c>
      <c r="G77" s="120">
        <v>0</v>
      </c>
    </row>
    <row r="78" spans="1:7" ht="42" x14ac:dyDescent="0.15">
      <c r="A78" s="111" t="s">
        <v>697</v>
      </c>
      <c r="B78" s="112" t="s">
        <v>698</v>
      </c>
      <c r="C78" s="113"/>
      <c r="D78" s="114">
        <f>D74+D75</f>
        <v>52196176027</v>
      </c>
      <c r="E78" s="114">
        <f>E74+E75</f>
        <v>254109795499</v>
      </c>
      <c r="F78" s="114">
        <f>F74+F75</f>
        <v>0</v>
      </c>
      <c r="G78" s="115">
        <f>G74+G75</f>
        <v>0</v>
      </c>
    </row>
    <row r="79" spans="1:7" ht="21" x14ac:dyDescent="0.15">
      <c r="A79" s="116" t="s">
        <v>699</v>
      </c>
      <c r="B79" s="117" t="s">
        <v>700</v>
      </c>
      <c r="C79" s="118"/>
      <c r="D79" s="119">
        <v>20855584035</v>
      </c>
      <c r="E79" s="119">
        <v>28470601351</v>
      </c>
      <c r="F79" s="119">
        <v>0</v>
      </c>
      <c r="G79" s="120">
        <v>0</v>
      </c>
    </row>
    <row r="80" spans="1:7" ht="21" x14ac:dyDescent="0.15">
      <c r="A80" s="116" t="s">
        <v>701</v>
      </c>
      <c r="B80" s="117" t="s">
        <v>702</v>
      </c>
      <c r="C80" s="118"/>
      <c r="D80" s="119">
        <v>31340591992</v>
      </c>
      <c r="E80" s="119">
        <v>225639194148</v>
      </c>
      <c r="F80" s="119">
        <v>0</v>
      </c>
      <c r="G80" s="120">
        <v>0</v>
      </c>
    </row>
    <row r="81" spans="1:7" ht="21" x14ac:dyDescent="0.15">
      <c r="A81" s="111" t="s">
        <v>703</v>
      </c>
      <c r="B81" s="112" t="s">
        <v>704</v>
      </c>
      <c r="C81" s="113"/>
      <c r="D81" s="114">
        <v>0</v>
      </c>
      <c r="E81" s="114">
        <v>0</v>
      </c>
      <c r="F81" s="114">
        <v>0</v>
      </c>
      <c r="G81" s="115">
        <v>0</v>
      </c>
    </row>
    <row r="82" spans="1:7" ht="42" x14ac:dyDescent="0.15">
      <c r="A82" s="126" t="s">
        <v>705</v>
      </c>
      <c r="B82" s="127" t="s">
        <v>706</v>
      </c>
      <c r="C82" s="128"/>
      <c r="D82" s="129">
        <f>D78</f>
        <v>52196176027</v>
      </c>
      <c r="E82" s="129">
        <f>E78</f>
        <v>254109795499</v>
      </c>
      <c r="F82" s="129">
        <f>F78</f>
        <v>0</v>
      </c>
      <c r="G82" s="130">
        <f>G78</f>
        <v>0</v>
      </c>
    </row>
    <row r="83" spans="1:7" x14ac:dyDescent="0.15">
      <c r="A83" s="101"/>
      <c r="B83" s="330"/>
      <c r="C83" s="330"/>
      <c r="D83" s="330"/>
      <c r="E83" s="330"/>
      <c r="F83" s="330"/>
      <c r="G83" s="330"/>
    </row>
    <row r="84" spans="1:7" x14ac:dyDescent="0.15">
      <c r="A84" s="131" t="s">
        <v>707</v>
      </c>
      <c r="B84" s="333" t="s">
        <v>573</v>
      </c>
      <c r="C84" s="333"/>
      <c r="D84" s="333"/>
      <c r="E84" s="333"/>
      <c r="F84" s="398" t="s">
        <v>708</v>
      </c>
      <c r="G84" s="398"/>
    </row>
    <row r="85" spans="1:7" x14ac:dyDescent="0.15">
      <c r="A85" s="132" t="s">
        <v>575</v>
      </c>
      <c r="B85" s="360" t="s">
        <v>575</v>
      </c>
      <c r="C85" s="360"/>
      <c r="D85" s="360"/>
      <c r="E85" s="360"/>
      <c r="F85" s="393" t="s">
        <v>576</v>
      </c>
      <c r="G85" s="393"/>
    </row>
    <row r="86" spans="1:7" x14ac:dyDescent="0.15">
      <c r="A86" s="101"/>
      <c r="B86" s="330"/>
      <c r="C86" s="330"/>
      <c r="D86" s="330"/>
      <c r="E86" s="330"/>
      <c r="F86" s="330"/>
      <c r="G86" s="330"/>
    </row>
    <row r="87" spans="1:7" x14ac:dyDescent="0.15">
      <c r="A87" s="101"/>
      <c r="B87" s="330"/>
      <c r="C87" s="330"/>
      <c r="D87" s="330"/>
      <c r="E87" s="330"/>
      <c r="F87" s="330"/>
      <c r="G87" s="330"/>
    </row>
    <row r="93" spans="1:7" x14ac:dyDescent="0.15">
      <c r="A93" s="131" t="s">
        <v>577</v>
      </c>
      <c r="B93" s="333" t="s">
        <v>578</v>
      </c>
      <c r="C93" s="333"/>
      <c r="D93" s="333"/>
      <c r="E93" s="333"/>
      <c r="F93" s="398" t="s">
        <v>297</v>
      </c>
      <c r="G93" s="398"/>
    </row>
  </sheetData>
  <mergeCells count="43">
    <mergeCell ref="B93:E93"/>
    <mergeCell ref="F93:G93"/>
    <mergeCell ref="B86:C86"/>
    <mergeCell ref="D86:E86"/>
    <mergeCell ref="F86:G86"/>
    <mergeCell ref="B87:C87"/>
    <mergeCell ref="D87:E87"/>
    <mergeCell ref="F87:G87"/>
    <mergeCell ref="B85:E85"/>
    <mergeCell ref="F85:G85"/>
    <mergeCell ref="B14:G14"/>
    <mergeCell ref="B15:G15"/>
    <mergeCell ref="B16:C16"/>
    <mergeCell ref="D16:E16"/>
    <mergeCell ref="F16:G16"/>
    <mergeCell ref="B83:C83"/>
    <mergeCell ref="D83:E83"/>
    <mergeCell ref="F83:G83"/>
    <mergeCell ref="B84:E84"/>
    <mergeCell ref="F84:G84"/>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9" bottom="0.59" header="0.5" footer="0.5"/>
  <pageSetup paperSize="9" scale="92"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topLeftCell="A106" zoomScaleNormal="100" zoomScaleSheetLayoutView="100" workbookViewId="0">
      <selection activeCell="E112" sqref="E112"/>
    </sheetView>
  </sheetViews>
  <sheetFormatPr defaultRowHeight="15" x14ac:dyDescent="0.25"/>
  <cols>
    <col min="1" max="1" width="4.28515625" style="36" customWidth="1"/>
    <col min="2" max="2" width="42.85546875" style="36" customWidth="1"/>
    <col min="3" max="4" width="7.85546875" style="36" customWidth="1"/>
    <col min="5" max="6" width="21.140625" style="36" customWidth="1"/>
    <col min="7" max="256" width="9.140625" style="36"/>
    <col min="257" max="257" width="4.28515625" style="36" customWidth="1"/>
    <col min="258" max="258" width="42.85546875" style="36" customWidth="1"/>
    <col min="259" max="260" width="7.85546875" style="36" customWidth="1"/>
    <col min="261" max="262" width="21.140625" style="36" customWidth="1"/>
    <col min="263" max="512" width="9.140625" style="36"/>
    <col min="513" max="513" width="4.28515625" style="36" customWidth="1"/>
    <col min="514" max="514" width="42.85546875" style="36" customWidth="1"/>
    <col min="515" max="516" width="7.85546875" style="36" customWidth="1"/>
    <col min="517" max="518" width="21.140625" style="36" customWidth="1"/>
    <col min="519" max="768" width="9.140625" style="36"/>
    <col min="769" max="769" width="4.28515625" style="36" customWidth="1"/>
    <col min="770" max="770" width="42.85546875" style="36" customWidth="1"/>
    <col min="771" max="772" width="7.85546875" style="36" customWidth="1"/>
    <col min="773" max="774" width="21.140625" style="36" customWidth="1"/>
    <col min="775" max="1024" width="9.140625" style="36"/>
    <col min="1025" max="1025" width="4.28515625" style="36" customWidth="1"/>
    <col min="1026" max="1026" width="42.85546875" style="36" customWidth="1"/>
    <col min="1027" max="1028" width="7.85546875" style="36" customWidth="1"/>
    <col min="1029" max="1030" width="21.140625" style="36" customWidth="1"/>
    <col min="1031" max="1280" width="9.140625" style="36"/>
    <col min="1281" max="1281" width="4.28515625" style="36" customWidth="1"/>
    <col min="1282" max="1282" width="42.85546875" style="36" customWidth="1"/>
    <col min="1283" max="1284" width="7.85546875" style="36" customWidth="1"/>
    <col min="1285" max="1286" width="21.140625" style="36" customWidth="1"/>
    <col min="1287" max="1536" width="9.140625" style="36"/>
    <col min="1537" max="1537" width="4.28515625" style="36" customWidth="1"/>
    <col min="1538" max="1538" width="42.85546875" style="36" customWidth="1"/>
    <col min="1539" max="1540" width="7.85546875" style="36" customWidth="1"/>
    <col min="1541" max="1542" width="21.140625" style="36" customWidth="1"/>
    <col min="1543" max="1792" width="9.140625" style="36"/>
    <col min="1793" max="1793" width="4.28515625" style="36" customWidth="1"/>
    <col min="1794" max="1794" width="42.85546875" style="36" customWidth="1"/>
    <col min="1795" max="1796" width="7.85546875" style="36" customWidth="1"/>
    <col min="1797" max="1798" width="21.140625" style="36" customWidth="1"/>
    <col min="1799" max="2048" width="9.140625" style="36"/>
    <col min="2049" max="2049" width="4.28515625" style="36" customWidth="1"/>
    <col min="2050" max="2050" width="42.85546875" style="36" customWidth="1"/>
    <col min="2051" max="2052" width="7.85546875" style="36" customWidth="1"/>
    <col min="2053" max="2054" width="21.140625" style="36" customWidth="1"/>
    <col min="2055" max="2304" width="9.140625" style="36"/>
    <col min="2305" max="2305" width="4.28515625" style="36" customWidth="1"/>
    <col min="2306" max="2306" width="42.85546875" style="36" customWidth="1"/>
    <col min="2307" max="2308" width="7.85546875" style="36" customWidth="1"/>
    <col min="2309" max="2310" width="21.140625" style="36" customWidth="1"/>
    <col min="2311" max="2560" width="9.140625" style="36"/>
    <col min="2561" max="2561" width="4.28515625" style="36" customWidth="1"/>
    <col min="2562" max="2562" width="42.85546875" style="36" customWidth="1"/>
    <col min="2563" max="2564" width="7.85546875" style="36" customWidth="1"/>
    <col min="2565" max="2566" width="21.140625" style="36" customWidth="1"/>
    <col min="2567" max="2816" width="9.140625" style="36"/>
    <col min="2817" max="2817" width="4.28515625" style="36" customWidth="1"/>
    <col min="2818" max="2818" width="42.85546875" style="36" customWidth="1"/>
    <col min="2819" max="2820" width="7.85546875" style="36" customWidth="1"/>
    <col min="2821" max="2822" width="21.140625" style="36" customWidth="1"/>
    <col min="2823" max="3072" width="9.140625" style="36"/>
    <col min="3073" max="3073" width="4.28515625" style="36" customWidth="1"/>
    <col min="3074" max="3074" width="42.85546875" style="36" customWidth="1"/>
    <col min="3075" max="3076" width="7.85546875" style="36" customWidth="1"/>
    <col min="3077" max="3078" width="21.140625" style="36" customWidth="1"/>
    <col min="3079" max="3328" width="9.140625" style="36"/>
    <col min="3329" max="3329" width="4.28515625" style="36" customWidth="1"/>
    <col min="3330" max="3330" width="42.85546875" style="36" customWidth="1"/>
    <col min="3331" max="3332" width="7.85546875" style="36" customWidth="1"/>
    <col min="3333" max="3334" width="21.140625" style="36" customWidth="1"/>
    <col min="3335" max="3584" width="9.140625" style="36"/>
    <col min="3585" max="3585" width="4.28515625" style="36" customWidth="1"/>
    <col min="3586" max="3586" width="42.85546875" style="36" customWidth="1"/>
    <col min="3587" max="3588" width="7.85546875" style="36" customWidth="1"/>
    <col min="3589" max="3590" width="21.140625" style="36" customWidth="1"/>
    <col min="3591" max="3840" width="9.140625" style="36"/>
    <col min="3841" max="3841" width="4.28515625" style="36" customWidth="1"/>
    <col min="3842" max="3842" width="42.85546875" style="36" customWidth="1"/>
    <col min="3843" max="3844" width="7.85546875" style="36" customWidth="1"/>
    <col min="3845" max="3846" width="21.140625" style="36" customWidth="1"/>
    <col min="3847" max="4096" width="9.140625" style="36"/>
    <col min="4097" max="4097" width="4.28515625" style="36" customWidth="1"/>
    <col min="4098" max="4098" width="42.85546875" style="36" customWidth="1"/>
    <col min="4099" max="4100" width="7.85546875" style="36" customWidth="1"/>
    <col min="4101" max="4102" width="21.140625" style="36" customWidth="1"/>
    <col min="4103" max="4352" width="9.140625" style="36"/>
    <col min="4353" max="4353" width="4.28515625" style="36" customWidth="1"/>
    <col min="4354" max="4354" width="42.85546875" style="36" customWidth="1"/>
    <col min="4355" max="4356" width="7.85546875" style="36" customWidth="1"/>
    <col min="4357" max="4358" width="21.140625" style="36" customWidth="1"/>
    <col min="4359" max="4608" width="9.140625" style="36"/>
    <col min="4609" max="4609" width="4.28515625" style="36" customWidth="1"/>
    <col min="4610" max="4610" width="42.85546875" style="36" customWidth="1"/>
    <col min="4611" max="4612" width="7.85546875" style="36" customWidth="1"/>
    <col min="4613" max="4614" width="21.140625" style="36" customWidth="1"/>
    <col min="4615" max="4864" width="9.140625" style="36"/>
    <col min="4865" max="4865" width="4.28515625" style="36" customWidth="1"/>
    <col min="4866" max="4866" width="42.85546875" style="36" customWidth="1"/>
    <col min="4867" max="4868" width="7.85546875" style="36" customWidth="1"/>
    <col min="4869" max="4870" width="21.140625" style="36" customWidth="1"/>
    <col min="4871" max="5120" width="9.140625" style="36"/>
    <col min="5121" max="5121" width="4.28515625" style="36" customWidth="1"/>
    <col min="5122" max="5122" width="42.85546875" style="36" customWidth="1"/>
    <col min="5123" max="5124" width="7.85546875" style="36" customWidth="1"/>
    <col min="5125" max="5126" width="21.140625" style="36" customWidth="1"/>
    <col min="5127" max="5376" width="9.140625" style="36"/>
    <col min="5377" max="5377" width="4.28515625" style="36" customWidth="1"/>
    <col min="5378" max="5378" width="42.85546875" style="36" customWidth="1"/>
    <col min="5379" max="5380" width="7.85546875" style="36" customWidth="1"/>
    <col min="5381" max="5382" width="21.140625" style="36" customWidth="1"/>
    <col min="5383" max="5632" width="9.140625" style="36"/>
    <col min="5633" max="5633" width="4.28515625" style="36" customWidth="1"/>
    <col min="5634" max="5634" width="42.85546875" style="36" customWidth="1"/>
    <col min="5635" max="5636" width="7.85546875" style="36" customWidth="1"/>
    <col min="5637" max="5638" width="21.140625" style="36" customWidth="1"/>
    <col min="5639" max="5888" width="9.140625" style="36"/>
    <col min="5889" max="5889" width="4.28515625" style="36" customWidth="1"/>
    <col min="5890" max="5890" width="42.85546875" style="36" customWidth="1"/>
    <col min="5891" max="5892" width="7.85546875" style="36" customWidth="1"/>
    <col min="5893" max="5894" width="21.140625" style="36" customWidth="1"/>
    <col min="5895" max="6144" width="9.140625" style="36"/>
    <col min="6145" max="6145" width="4.28515625" style="36" customWidth="1"/>
    <col min="6146" max="6146" width="42.85546875" style="36" customWidth="1"/>
    <col min="6147" max="6148" width="7.85546875" style="36" customWidth="1"/>
    <col min="6149" max="6150" width="21.140625" style="36" customWidth="1"/>
    <col min="6151" max="6400" width="9.140625" style="36"/>
    <col min="6401" max="6401" width="4.28515625" style="36" customWidth="1"/>
    <col min="6402" max="6402" width="42.85546875" style="36" customWidth="1"/>
    <col min="6403" max="6404" width="7.85546875" style="36" customWidth="1"/>
    <col min="6405" max="6406" width="21.140625" style="36" customWidth="1"/>
    <col min="6407" max="6656" width="9.140625" style="36"/>
    <col min="6657" max="6657" width="4.28515625" style="36" customWidth="1"/>
    <col min="6658" max="6658" width="42.85546875" style="36" customWidth="1"/>
    <col min="6659" max="6660" width="7.85546875" style="36" customWidth="1"/>
    <col min="6661" max="6662" width="21.140625" style="36" customWidth="1"/>
    <col min="6663" max="6912" width="9.140625" style="36"/>
    <col min="6913" max="6913" width="4.28515625" style="36" customWidth="1"/>
    <col min="6914" max="6914" width="42.85546875" style="36" customWidth="1"/>
    <col min="6915" max="6916" width="7.85546875" style="36" customWidth="1"/>
    <col min="6917" max="6918" width="21.140625" style="36" customWidth="1"/>
    <col min="6919" max="7168" width="9.140625" style="36"/>
    <col min="7169" max="7169" width="4.28515625" style="36" customWidth="1"/>
    <col min="7170" max="7170" width="42.85546875" style="36" customWidth="1"/>
    <col min="7171" max="7172" width="7.85546875" style="36" customWidth="1"/>
    <col min="7173" max="7174" width="21.140625" style="36" customWidth="1"/>
    <col min="7175" max="7424" width="9.140625" style="36"/>
    <col min="7425" max="7425" width="4.28515625" style="36" customWidth="1"/>
    <col min="7426" max="7426" width="42.85546875" style="36" customWidth="1"/>
    <col min="7427" max="7428" width="7.85546875" style="36" customWidth="1"/>
    <col min="7429" max="7430" width="21.140625" style="36" customWidth="1"/>
    <col min="7431" max="7680" width="9.140625" style="36"/>
    <col min="7681" max="7681" width="4.28515625" style="36" customWidth="1"/>
    <col min="7682" max="7682" width="42.85546875" style="36" customWidth="1"/>
    <col min="7683" max="7684" width="7.85546875" style="36" customWidth="1"/>
    <col min="7685" max="7686" width="21.140625" style="36" customWidth="1"/>
    <col min="7687" max="7936" width="9.140625" style="36"/>
    <col min="7937" max="7937" width="4.28515625" style="36" customWidth="1"/>
    <col min="7938" max="7938" width="42.85546875" style="36" customWidth="1"/>
    <col min="7939" max="7940" width="7.85546875" style="36" customWidth="1"/>
    <col min="7941" max="7942" width="21.140625" style="36" customWidth="1"/>
    <col min="7943" max="8192" width="9.140625" style="36"/>
    <col min="8193" max="8193" width="4.28515625" style="36" customWidth="1"/>
    <col min="8194" max="8194" width="42.85546875" style="36" customWidth="1"/>
    <col min="8195" max="8196" width="7.85546875" style="36" customWidth="1"/>
    <col min="8197" max="8198" width="21.140625" style="36" customWidth="1"/>
    <col min="8199" max="8448" width="9.140625" style="36"/>
    <col min="8449" max="8449" width="4.28515625" style="36" customWidth="1"/>
    <col min="8450" max="8450" width="42.85546875" style="36" customWidth="1"/>
    <col min="8451" max="8452" width="7.85546875" style="36" customWidth="1"/>
    <col min="8453" max="8454" width="21.140625" style="36" customWidth="1"/>
    <col min="8455" max="8704" width="9.140625" style="36"/>
    <col min="8705" max="8705" width="4.28515625" style="36" customWidth="1"/>
    <col min="8706" max="8706" width="42.85546875" style="36" customWidth="1"/>
    <col min="8707" max="8708" width="7.85546875" style="36" customWidth="1"/>
    <col min="8709" max="8710" width="21.140625" style="36" customWidth="1"/>
    <col min="8711" max="8960" width="9.140625" style="36"/>
    <col min="8961" max="8961" width="4.28515625" style="36" customWidth="1"/>
    <col min="8962" max="8962" width="42.85546875" style="36" customWidth="1"/>
    <col min="8963" max="8964" width="7.85546875" style="36" customWidth="1"/>
    <col min="8965" max="8966" width="21.140625" style="36" customWidth="1"/>
    <col min="8967" max="9216" width="9.140625" style="36"/>
    <col min="9217" max="9217" width="4.28515625" style="36" customWidth="1"/>
    <col min="9218" max="9218" width="42.85546875" style="36" customWidth="1"/>
    <col min="9219" max="9220" width="7.85546875" style="36" customWidth="1"/>
    <col min="9221" max="9222" width="21.140625" style="36" customWidth="1"/>
    <col min="9223" max="9472" width="9.140625" style="36"/>
    <col min="9473" max="9473" width="4.28515625" style="36" customWidth="1"/>
    <col min="9474" max="9474" width="42.85546875" style="36" customWidth="1"/>
    <col min="9475" max="9476" width="7.85546875" style="36" customWidth="1"/>
    <col min="9477" max="9478" width="21.140625" style="36" customWidth="1"/>
    <col min="9479" max="9728" width="9.140625" style="36"/>
    <col min="9729" max="9729" width="4.28515625" style="36" customWidth="1"/>
    <col min="9730" max="9730" width="42.85546875" style="36" customWidth="1"/>
    <col min="9731" max="9732" width="7.85546875" style="36" customWidth="1"/>
    <col min="9733" max="9734" width="21.140625" style="36" customWidth="1"/>
    <col min="9735" max="9984" width="9.140625" style="36"/>
    <col min="9985" max="9985" width="4.28515625" style="36" customWidth="1"/>
    <col min="9986" max="9986" width="42.85546875" style="36" customWidth="1"/>
    <col min="9987" max="9988" width="7.85546875" style="36" customWidth="1"/>
    <col min="9989" max="9990" width="21.140625" style="36" customWidth="1"/>
    <col min="9991" max="10240" width="9.140625" style="36"/>
    <col min="10241" max="10241" width="4.28515625" style="36" customWidth="1"/>
    <col min="10242" max="10242" width="42.85546875" style="36" customWidth="1"/>
    <col min="10243" max="10244" width="7.85546875" style="36" customWidth="1"/>
    <col min="10245" max="10246" width="21.140625" style="36" customWidth="1"/>
    <col min="10247" max="10496" width="9.140625" style="36"/>
    <col min="10497" max="10497" width="4.28515625" style="36" customWidth="1"/>
    <col min="10498" max="10498" width="42.85546875" style="36" customWidth="1"/>
    <col min="10499" max="10500" width="7.85546875" style="36" customWidth="1"/>
    <col min="10501" max="10502" width="21.140625" style="36" customWidth="1"/>
    <col min="10503" max="10752" width="9.140625" style="36"/>
    <col min="10753" max="10753" width="4.28515625" style="36" customWidth="1"/>
    <col min="10754" max="10754" width="42.85546875" style="36" customWidth="1"/>
    <col min="10755" max="10756" width="7.85546875" style="36" customWidth="1"/>
    <col min="10757" max="10758" width="21.140625" style="36" customWidth="1"/>
    <col min="10759" max="11008" width="9.140625" style="36"/>
    <col min="11009" max="11009" width="4.28515625" style="36" customWidth="1"/>
    <col min="11010" max="11010" width="42.85546875" style="36" customWidth="1"/>
    <col min="11011" max="11012" width="7.85546875" style="36" customWidth="1"/>
    <col min="11013" max="11014" width="21.140625" style="36" customWidth="1"/>
    <col min="11015" max="11264" width="9.140625" style="36"/>
    <col min="11265" max="11265" width="4.28515625" style="36" customWidth="1"/>
    <col min="11266" max="11266" width="42.85546875" style="36" customWidth="1"/>
    <col min="11267" max="11268" width="7.85546875" style="36" customWidth="1"/>
    <col min="11269" max="11270" width="21.140625" style="36" customWidth="1"/>
    <col min="11271" max="11520" width="9.140625" style="36"/>
    <col min="11521" max="11521" width="4.28515625" style="36" customWidth="1"/>
    <col min="11522" max="11522" width="42.85546875" style="36" customWidth="1"/>
    <col min="11523" max="11524" width="7.85546875" style="36" customWidth="1"/>
    <col min="11525" max="11526" width="21.140625" style="36" customWidth="1"/>
    <col min="11527" max="11776" width="9.140625" style="36"/>
    <col min="11777" max="11777" width="4.28515625" style="36" customWidth="1"/>
    <col min="11778" max="11778" width="42.85546875" style="36" customWidth="1"/>
    <col min="11779" max="11780" width="7.85546875" style="36" customWidth="1"/>
    <col min="11781" max="11782" width="21.140625" style="36" customWidth="1"/>
    <col min="11783" max="12032" width="9.140625" style="36"/>
    <col min="12033" max="12033" width="4.28515625" style="36" customWidth="1"/>
    <col min="12034" max="12034" width="42.85546875" style="36" customWidth="1"/>
    <col min="12035" max="12036" width="7.85546875" style="36" customWidth="1"/>
    <col min="12037" max="12038" width="21.140625" style="36" customWidth="1"/>
    <col min="12039" max="12288" width="9.140625" style="36"/>
    <col min="12289" max="12289" width="4.28515625" style="36" customWidth="1"/>
    <col min="12290" max="12290" width="42.85546875" style="36" customWidth="1"/>
    <col min="12291" max="12292" width="7.85546875" style="36" customWidth="1"/>
    <col min="12293" max="12294" width="21.140625" style="36" customWidth="1"/>
    <col min="12295" max="12544" width="9.140625" style="36"/>
    <col min="12545" max="12545" width="4.28515625" style="36" customWidth="1"/>
    <col min="12546" max="12546" width="42.85546875" style="36" customWidth="1"/>
    <col min="12547" max="12548" width="7.85546875" style="36" customWidth="1"/>
    <col min="12549" max="12550" width="21.140625" style="36" customWidth="1"/>
    <col min="12551" max="12800" width="9.140625" style="36"/>
    <col min="12801" max="12801" width="4.28515625" style="36" customWidth="1"/>
    <col min="12802" max="12802" width="42.85546875" style="36" customWidth="1"/>
    <col min="12803" max="12804" width="7.85546875" style="36" customWidth="1"/>
    <col min="12805" max="12806" width="21.140625" style="36" customWidth="1"/>
    <col min="12807" max="13056" width="9.140625" style="36"/>
    <col min="13057" max="13057" width="4.28515625" style="36" customWidth="1"/>
    <col min="13058" max="13058" width="42.85546875" style="36" customWidth="1"/>
    <col min="13059" max="13060" width="7.85546875" style="36" customWidth="1"/>
    <col min="13061" max="13062" width="21.140625" style="36" customWidth="1"/>
    <col min="13063" max="13312" width="9.140625" style="36"/>
    <col min="13313" max="13313" width="4.28515625" style="36" customWidth="1"/>
    <col min="13314" max="13314" width="42.85546875" style="36" customWidth="1"/>
    <col min="13315" max="13316" width="7.85546875" style="36" customWidth="1"/>
    <col min="13317" max="13318" width="21.140625" style="36" customWidth="1"/>
    <col min="13319" max="13568" width="9.140625" style="36"/>
    <col min="13569" max="13569" width="4.28515625" style="36" customWidth="1"/>
    <col min="13570" max="13570" width="42.85546875" style="36" customWidth="1"/>
    <col min="13571" max="13572" width="7.85546875" style="36" customWidth="1"/>
    <col min="13573" max="13574" width="21.140625" style="36" customWidth="1"/>
    <col min="13575" max="13824" width="9.140625" style="36"/>
    <col min="13825" max="13825" width="4.28515625" style="36" customWidth="1"/>
    <col min="13826" max="13826" width="42.85546875" style="36" customWidth="1"/>
    <col min="13827" max="13828" width="7.85546875" style="36" customWidth="1"/>
    <col min="13829" max="13830" width="21.140625" style="36" customWidth="1"/>
    <col min="13831" max="14080" width="9.140625" style="36"/>
    <col min="14081" max="14081" width="4.28515625" style="36" customWidth="1"/>
    <col min="14082" max="14082" width="42.85546875" style="36" customWidth="1"/>
    <col min="14083" max="14084" width="7.85546875" style="36" customWidth="1"/>
    <col min="14085" max="14086" width="21.140625" style="36" customWidth="1"/>
    <col min="14087" max="14336" width="9.140625" style="36"/>
    <col min="14337" max="14337" width="4.28515625" style="36" customWidth="1"/>
    <col min="14338" max="14338" width="42.85546875" style="36" customWidth="1"/>
    <col min="14339" max="14340" width="7.85546875" style="36" customWidth="1"/>
    <col min="14341" max="14342" width="21.140625" style="36" customWidth="1"/>
    <col min="14343" max="14592" width="9.140625" style="36"/>
    <col min="14593" max="14593" width="4.28515625" style="36" customWidth="1"/>
    <col min="14594" max="14594" width="42.85546875" style="36" customWidth="1"/>
    <col min="14595" max="14596" width="7.85546875" style="36" customWidth="1"/>
    <col min="14597" max="14598" width="21.140625" style="36" customWidth="1"/>
    <col min="14599" max="14848" width="9.140625" style="36"/>
    <col min="14849" max="14849" width="4.28515625" style="36" customWidth="1"/>
    <col min="14850" max="14850" width="42.85546875" style="36" customWidth="1"/>
    <col min="14851" max="14852" width="7.85546875" style="36" customWidth="1"/>
    <col min="14853" max="14854" width="21.140625" style="36" customWidth="1"/>
    <col min="14855" max="15104" width="9.140625" style="36"/>
    <col min="15105" max="15105" width="4.28515625" style="36" customWidth="1"/>
    <col min="15106" max="15106" width="42.85546875" style="36" customWidth="1"/>
    <col min="15107" max="15108" width="7.85546875" style="36" customWidth="1"/>
    <col min="15109" max="15110" width="21.140625" style="36" customWidth="1"/>
    <col min="15111" max="15360" width="9.140625" style="36"/>
    <col min="15361" max="15361" width="4.28515625" style="36" customWidth="1"/>
    <col min="15362" max="15362" width="42.85546875" style="36" customWidth="1"/>
    <col min="15363" max="15364" width="7.85546875" style="36" customWidth="1"/>
    <col min="15365" max="15366" width="21.140625" style="36" customWidth="1"/>
    <col min="15367" max="15616" width="9.140625" style="36"/>
    <col min="15617" max="15617" width="4.28515625" style="36" customWidth="1"/>
    <col min="15618" max="15618" width="42.85546875" style="36" customWidth="1"/>
    <col min="15619" max="15620" width="7.85546875" style="36" customWidth="1"/>
    <col min="15621" max="15622" width="21.140625" style="36" customWidth="1"/>
    <col min="15623" max="15872" width="9.140625" style="36"/>
    <col min="15873" max="15873" width="4.28515625" style="36" customWidth="1"/>
    <col min="15874" max="15874" width="42.85546875" style="36" customWidth="1"/>
    <col min="15875" max="15876" width="7.85546875" style="36" customWidth="1"/>
    <col min="15877" max="15878" width="21.140625" style="36" customWidth="1"/>
    <col min="15879" max="16128" width="9.140625" style="36"/>
    <col min="16129" max="16129" width="4.28515625" style="36" customWidth="1"/>
    <col min="16130" max="16130" width="42.85546875" style="36" customWidth="1"/>
    <col min="16131" max="16132" width="7.85546875" style="36" customWidth="1"/>
    <col min="16133" max="16134" width="21.140625" style="36" customWidth="1"/>
    <col min="16135" max="16384" width="9.140625" style="36"/>
  </cols>
  <sheetData>
    <row r="1" spans="1:6" ht="23.25" customHeight="1" x14ac:dyDescent="0.25">
      <c r="A1" s="321"/>
      <c r="B1" s="321"/>
      <c r="C1" s="333" t="s">
        <v>709</v>
      </c>
      <c r="D1" s="333"/>
      <c r="E1" s="333"/>
      <c r="F1" s="333"/>
    </row>
    <row r="2" spans="1:6" ht="24.75" customHeight="1" x14ac:dyDescent="0.25">
      <c r="A2" s="334" t="s">
        <v>541</v>
      </c>
      <c r="B2" s="334"/>
      <c r="C2" s="334"/>
      <c r="D2" s="334"/>
      <c r="E2" s="334"/>
      <c r="F2" s="334"/>
    </row>
    <row r="3" spans="1:6" ht="3.75" customHeight="1" x14ac:dyDescent="0.25">
      <c r="A3" s="37"/>
      <c r="B3" s="37"/>
      <c r="C3" s="37"/>
      <c r="D3" s="37"/>
      <c r="E3" s="37"/>
      <c r="F3" s="37"/>
    </row>
    <row r="4" spans="1:6" ht="30.75" customHeight="1" x14ac:dyDescent="0.25">
      <c r="A4" s="345" t="s">
        <v>710</v>
      </c>
      <c r="B4" s="345"/>
      <c r="C4" s="345"/>
      <c r="D4" s="345"/>
      <c r="E4" s="345"/>
      <c r="F4" s="345"/>
    </row>
    <row r="5" spans="1:6" ht="11.25" customHeight="1" x14ac:dyDescent="0.25">
      <c r="A5" s="357" t="s">
        <v>4</v>
      </c>
      <c r="B5" s="357"/>
      <c r="C5" s="357"/>
      <c r="D5" s="357"/>
      <c r="E5" s="357"/>
      <c r="F5" s="357"/>
    </row>
    <row r="6" spans="1:6" ht="5.25" customHeight="1" x14ac:dyDescent="0.25">
      <c r="A6" s="37"/>
      <c r="B6" s="37"/>
      <c r="C6" s="133"/>
      <c r="D6" s="37"/>
      <c r="E6" s="37"/>
      <c r="F6" s="37"/>
    </row>
    <row r="7" spans="1:6" ht="4.5" customHeight="1" x14ac:dyDescent="0.25">
      <c r="A7" s="37"/>
      <c r="B7" s="37"/>
      <c r="C7" s="37"/>
      <c r="D7" s="37"/>
      <c r="E7" s="37"/>
      <c r="F7" s="37"/>
    </row>
    <row r="8" spans="1:6" ht="12.75" customHeight="1" x14ac:dyDescent="0.25">
      <c r="A8" s="328" t="s">
        <v>6</v>
      </c>
      <c r="B8" s="328"/>
      <c r="C8" s="328" t="s">
        <v>7</v>
      </c>
      <c r="D8" s="328"/>
      <c r="E8" s="328"/>
      <c r="F8" s="328"/>
    </row>
    <row r="9" spans="1:6" ht="12.75" customHeight="1" x14ac:dyDescent="0.25">
      <c r="A9" s="339" t="s">
        <v>8</v>
      </c>
      <c r="B9" s="339"/>
      <c r="C9" s="339" t="s">
        <v>9</v>
      </c>
      <c r="D9" s="339"/>
      <c r="E9" s="339"/>
      <c r="F9" s="339"/>
    </row>
    <row r="10" spans="1:6" ht="12.75" customHeight="1" x14ac:dyDescent="0.25">
      <c r="A10" s="328" t="s">
        <v>11</v>
      </c>
      <c r="B10" s="328"/>
      <c r="C10" s="328" t="s">
        <v>12</v>
      </c>
      <c r="D10" s="328"/>
      <c r="E10" s="328"/>
      <c r="F10" s="328"/>
    </row>
    <row r="11" spans="1:6" ht="12.75" customHeight="1" x14ac:dyDescent="0.25">
      <c r="A11" s="339" t="s">
        <v>13</v>
      </c>
      <c r="B11" s="339"/>
      <c r="C11" s="339" t="s">
        <v>14</v>
      </c>
      <c r="D11" s="339"/>
      <c r="E11" s="339"/>
      <c r="F11" s="339"/>
    </row>
    <row r="12" spans="1:6" ht="12.75" customHeight="1" x14ac:dyDescent="0.25">
      <c r="A12" s="328" t="s">
        <v>16</v>
      </c>
      <c r="B12" s="328"/>
      <c r="C12" s="328" t="s">
        <v>17</v>
      </c>
      <c r="D12" s="328"/>
      <c r="E12" s="328"/>
      <c r="F12" s="328"/>
    </row>
    <row r="13" spans="1:6" ht="12.75" customHeight="1" x14ac:dyDescent="0.25">
      <c r="A13" s="339" t="s">
        <v>18</v>
      </c>
      <c r="B13" s="339"/>
      <c r="C13" s="339" t="s">
        <v>19</v>
      </c>
      <c r="D13" s="339"/>
      <c r="E13" s="339"/>
      <c r="F13" s="339"/>
    </row>
    <row r="14" spans="1:6" ht="12.75" customHeight="1" x14ac:dyDescent="0.25">
      <c r="A14" s="328" t="s">
        <v>21</v>
      </c>
      <c r="B14" s="328"/>
      <c r="C14" s="340">
        <v>44140</v>
      </c>
      <c r="D14" s="328"/>
      <c r="E14" s="328"/>
      <c r="F14" s="328"/>
    </row>
    <row r="15" spans="1:6" ht="12.75" customHeight="1" x14ac:dyDescent="0.25">
      <c r="A15" s="339" t="s">
        <v>22</v>
      </c>
      <c r="B15" s="339"/>
      <c r="C15" s="341">
        <v>44140</v>
      </c>
      <c r="D15" s="339"/>
      <c r="E15" s="339"/>
      <c r="F15" s="339"/>
    </row>
    <row r="16" spans="1:6" ht="12.75" customHeight="1" x14ac:dyDescent="0.25">
      <c r="A16" s="89"/>
      <c r="B16" s="134"/>
      <c r="C16" s="89"/>
      <c r="D16" s="89"/>
      <c r="E16" s="89"/>
      <c r="F16" s="88" t="s">
        <v>25</v>
      </c>
    </row>
    <row r="17" spans="1:6" ht="36" customHeight="1" x14ac:dyDescent="0.25">
      <c r="A17" s="106" t="s">
        <v>26</v>
      </c>
      <c r="B17" s="107" t="s">
        <v>711</v>
      </c>
      <c r="C17" s="107" t="s">
        <v>583</v>
      </c>
      <c r="D17" s="107" t="s">
        <v>712</v>
      </c>
      <c r="E17" s="135" t="s">
        <v>366</v>
      </c>
      <c r="F17" s="108" t="s">
        <v>368</v>
      </c>
    </row>
    <row r="18" spans="1:6" ht="21" x14ac:dyDescent="0.25">
      <c r="A18" s="136" t="s">
        <v>33</v>
      </c>
      <c r="B18" s="137" t="s">
        <v>713</v>
      </c>
      <c r="C18" s="138" t="s">
        <v>33</v>
      </c>
      <c r="D18" s="138"/>
      <c r="E18" s="139">
        <v>0</v>
      </c>
      <c r="F18" s="140">
        <v>0</v>
      </c>
    </row>
    <row r="19" spans="1:6" ht="21" x14ac:dyDescent="0.25">
      <c r="A19" s="136" t="s">
        <v>5</v>
      </c>
      <c r="B19" s="137" t="s">
        <v>714</v>
      </c>
      <c r="C19" s="138" t="s">
        <v>715</v>
      </c>
      <c r="D19" s="138"/>
      <c r="E19" s="139">
        <f>E20+E25+E26</f>
        <v>20605256713</v>
      </c>
      <c r="F19" s="140">
        <f>F20+F25+F26</f>
        <v>14866265764</v>
      </c>
    </row>
    <row r="20" spans="1:6" ht="21" x14ac:dyDescent="0.25">
      <c r="A20" s="141" t="s">
        <v>716</v>
      </c>
      <c r="B20" s="142" t="s">
        <v>717</v>
      </c>
      <c r="C20" s="143" t="s">
        <v>718</v>
      </c>
      <c r="D20" s="143"/>
      <c r="E20" s="144">
        <f>E21+E22+E23+E24</f>
        <v>20605256713</v>
      </c>
      <c r="F20" s="145">
        <f>F21+F22+F23+F24</f>
        <v>1328738761</v>
      </c>
    </row>
    <row r="21" spans="1:6" ht="21" x14ac:dyDescent="0.25">
      <c r="A21" s="146"/>
      <c r="B21" s="147" t="s">
        <v>719</v>
      </c>
      <c r="C21" s="148" t="s">
        <v>720</v>
      </c>
      <c r="D21" s="148"/>
      <c r="E21" s="149">
        <v>0</v>
      </c>
      <c r="F21" s="150">
        <v>0</v>
      </c>
    </row>
    <row r="22" spans="1:6" ht="21" x14ac:dyDescent="0.25">
      <c r="A22" s="146"/>
      <c r="B22" s="147" t="s">
        <v>379</v>
      </c>
      <c r="C22" s="148" t="s">
        <v>721</v>
      </c>
      <c r="D22" s="148"/>
      <c r="E22" s="149">
        <v>0</v>
      </c>
      <c r="F22" s="150">
        <v>0</v>
      </c>
    </row>
    <row r="23" spans="1:6" ht="21" x14ac:dyDescent="0.25">
      <c r="A23" s="146"/>
      <c r="B23" s="147" t="s">
        <v>381</v>
      </c>
      <c r="C23" s="148" t="s">
        <v>722</v>
      </c>
      <c r="D23" s="148"/>
      <c r="E23" s="149">
        <v>20605256713</v>
      </c>
      <c r="F23" s="150">
        <v>1328738761</v>
      </c>
    </row>
    <row r="24" spans="1:6" ht="23.25" customHeight="1" x14ac:dyDescent="0.25">
      <c r="A24" s="146"/>
      <c r="B24" s="147" t="s">
        <v>723</v>
      </c>
      <c r="C24" s="148" t="s">
        <v>724</v>
      </c>
      <c r="D24" s="148"/>
      <c r="E24" s="149">
        <v>0</v>
      </c>
      <c r="F24" s="150">
        <v>0</v>
      </c>
    </row>
    <row r="25" spans="1:6" ht="21" x14ac:dyDescent="0.25">
      <c r="A25" s="141" t="s">
        <v>725</v>
      </c>
      <c r="B25" s="142" t="s">
        <v>726</v>
      </c>
      <c r="C25" s="143" t="s">
        <v>727</v>
      </c>
      <c r="D25" s="143"/>
      <c r="E25" s="144">
        <v>0</v>
      </c>
      <c r="F25" s="145">
        <v>13500000000</v>
      </c>
    </row>
    <row r="26" spans="1:6" ht="21" x14ac:dyDescent="0.25">
      <c r="A26" s="141" t="s">
        <v>728</v>
      </c>
      <c r="B26" s="142" t="s">
        <v>729</v>
      </c>
      <c r="C26" s="143" t="s">
        <v>730</v>
      </c>
      <c r="D26" s="143"/>
      <c r="E26" s="144">
        <v>0</v>
      </c>
      <c r="F26" s="145">
        <v>37527003</v>
      </c>
    </row>
    <row r="27" spans="1:6" ht="21" x14ac:dyDescent="0.25">
      <c r="A27" s="136" t="s">
        <v>10</v>
      </c>
      <c r="B27" s="137" t="s">
        <v>731</v>
      </c>
      <c r="C27" s="138" t="s">
        <v>732</v>
      </c>
      <c r="D27" s="138"/>
      <c r="E27" s="139">
        <f>E28-E38</f>
        <v>2265804129550</v>
      </c>
      <c r="F27" s="140">
        <f>F28-F38</f>
        <v>2232023736450</v>
      </c>
    </row>
    <row r="28" spans="1:6" ht="21" x14ac:dyDescent="0.25">
      <c r="A28" s="141" t="s">
        <v>733</v>
      </c>
      <c r="B28" s="142" t="s">
        <v>734</v>
      </c>
      <c r="C28" s="143" t="s">
        <v>735</v>
      </c>
      <c r="D28" s="143"/>
      <c r="E28" s="144">
        <f>E29+E30+E31+E32+E33+E34+E35+E36+E37</f>
        <v>2265804129550</v>
      </c>
      <c r="F28" s="145">
        <f>F29+F30+F31+F32+F33+F34+F35+F36+F37</f>
        <v>2232023736450</v>
      </c>
    </row>
    <row r="29" spans="1:6" ht="21" x14ac:dyDescent="0.25">
      <c r="A29" s="146"/>
      <c r="B29" s="147" t="s">
        <v>736</v>
      </c>
      <c r="C29" s="148" t="s">
        <v>737</v>
      </c>
      <c r="D29" s="148"/>
      <c r="E29" s="149">
        <v>2265804129550</v>
      </c>
      <c r="F29" s="150">
        <v>2232023736450</v>
      </c>
    </row>
    <row r="30" spans="1:6" ht="21" x14ac:dyDescent="0.25">
      <c r="A30" s="146"/>
      <c r="B30" s="147" t="s">
        <v>738</v>
      </c>
      <c r="C30" s="148" t="s">
        <v>739</v>
      </c>
      <c r="D30" s="148"/>
      <c r="E30" s="149">
        <v>0</v>
      </c>
      <c r="F30" s="150">
        <v>0</v>
      </c>
    </row>
    <row r="31" spans="1:6" ht="21" x14ac:dyDescent="0.25">
      <c r="A31" s="146"/>
      <c r="B31" s="147" t="s">
        <v>740</v>
      </c>
      <c r="C31" s="148" t="s">
        <v>741</v>
      </c>
      <c r="D31" s="148"/>
      <c r="E31" s="149">
        <v>0</v>
      </c>
      <c r="F31" s="150">
        <v>0</v>
      </c>
    </row>
    <row r="32" spans="1:6" ht="21" x14ac:dyDescent="0.25">
      <c r="A32" s="146"/>
      <c r="B32" s="147" t="s">
        <v>742</v>
      </c>
      <c r="C32" s="148" t="s">
        <v>743</v>
      </c>
      <c r="D32" s="148"/>
      <c r="E32" s="149">
        <v>0</v>
      </c>
      <c r="F32" s="150">
        <v>0</v>
      </c>
    </row>
    <row r="33" spans="1:6" ht="21" x14ac:dyDescent="0.25">
      <c r="A33" s="146"/>
      <c r="B33" s="147" t="s">
        <v>744</v>
      </c>
      <c r="C33" s="148" t="s">
        <v>745</v>
      </c>
      <c r="D33" s="148"/>
      <c r="E33" s="149">
        <v>0</v>
      </c>
      <c r="F33" s="150">
        <v>0</v>
      </c>
    </row>
    <row r="34" spans="1:6" ht="21" x14ac:dyDescent="0.25">
      <c r="A34" s="146"/>
      <c r="B34" s="147" t="s">
        <v>397</v>
      </c>
      <c r="C34" s="148" t="s">
        <v>746</v>
      </c>
      <c r="D34" s="148"/>
      <c r="E34" s="149">
        <v>0</v>
      </c>
      <c r="F34" s="150">
        <v>0</v>
      </c>
    </row>
    <row r="35" spans="1:6" ht="21" x14ac:dyDescent="0.25">
      <c r="A35" s="146"/>
      <c r="B35" s="147" t="s">
        <v>87</v>
      </c>
      <c r="C35" s="148" t="s">
        <v>747</v>
      </c>
      <c r="D35" s="148"/>
      <c r="E35" s="149">
        <v>0</v>
      </c>
      <c r="F35" s="150">
        <v>0</v>
      </c>
    </row>
    <row r="36" spans="1:6" ht="21" x14ac:dyDescent="0.25">
      <c r="A36" s="146"/>
      <c r="B36" s="147" t="s">
        <v>401</v>
      </c>
      <c r="C36" s="148" t="s">
        <v>748</v>
      </c>
      <c r="D36" s="148"/>
      <c r="E36" s="149">
        <v>0</v>
      </c>
      <c r="F36" s="150">
        <v>0</v>
      </c>
    </row>
    <row r="37" spans="1:6" ht="21" x14ac:dyDescent="0.25">
      <c r="A37" s="146"/>
      <c r="B37" s="147" t="s">
        <v>749</v>
      </c>
      <c r="C37" s="148" t="s">
        <v>750</v>
      </c>
      <c r="D37" s="148"/>
      <c r="E37" s="149">
        <v>0</v>
      </c>
      <c r="F37" s="150">
        <v>0</v>
      </c>
    </row>
    <row r="38" spans="1:6" ht="21" x14ac:dyDescent="0.25">
      <c r="A38" s="141" t="s">
        <v>751</v>
      </c>
      <c r="B38" s="142" t="s">
        <v>752</v>
      </c>
      <c r="C38" s="143" t="s">
        <v>753</v>
      </c>
      <c r="D38" s="143"/>
      <c r="E38" s="144">
        <v>0</v>
      </c>
      <c r="F38" s="145">
        <v>0</v>
      </c>
    </row>
    <row r="39" spans="1:6" ht="21" x14ac:dyDescent="0.25">
      <c r="A39" s="136" t="s">
        <v>15</v>
      </c>
      <c r="B39" s="137" t="s">
        <v>754</v>
      </c>
      <c r="C39" s="138" t="s">
        <v>755</v>
      </c>
      <c r="D39" s="138"/>
      <c r="E39" s="139">
        <f>E40+E42+E56-E64</f>
        <v>133570828500</v>
      </c>
      <c r="F39" s="140">
        <f>F40+F42+F56-F64</f>
        <v>1595486703</v>
      </c>
    </row>
    <row r="40" spans="1:6" ht="21" x14ac:dyDescent="0.25">
      <c r="A40" s="141" t="s">
        <v>756</v>
      </c>
      <c r="B40" s="142" t="s">
        <v>757</v>
      </c>
      <c r="C40" s="143" t="s">
        <v>758</v>
      </c>
      <c r="D40" s="143"/>
      <c r="E40" s="144">
        <v>133570828500</v>
      </c>
      <c r="F40" s="145">
        <v>1581941500</v>
      </c>
    </row>
    <row r="41" spans="1:6" ht="21" x14ac:dyDescent="0.25">
      <c r="A41" s="141"/>
      <c r="B41" s="142" t="s">
        <v>759</v>
      </c>
      <c r="C41" s="143" t="s">
        <v>760</v>
      </c>
      <c r="D41" s="143"/>
      <c r="E41" s="144">
        <v>0</v>
      </c>
      <c r="F41" s="145">
        <v>0</v>
      </c>
    </row>
    <row r="42" spans="1:6" ht="21" x14ac:dyDescent="0.25">
      <c r="A42" s="141" t="s">
        <v>761</v>
      </c>
      <c r="B42" s="142" t="s">
        <v>762</v>
      </c>
      <c r="C42" s="143" t="s">
        <v>763</v>
      </c>
      <c r="D42" s="143"/>
      <c r="E42" s="144">
        <f>E43+E49+E50</f>
        <v>0</v>
      </c>
      <c r="F42" s="145">
        <f>F43+F49+F50</f>
        <v>13545203</v>
      </c>
    </row>
    <row r="43" spans="1:6" ht="21" x14ac:dyDescent="0.25">
      <c r="A43" s="141" t="s">
        <v>764</v>
      </c>
      <c r="B43" s="142" t="s">
        <v>765</v>
      </c>
      <c r="C43" s="143" t="s">
        <v>766</v>
      </c>
      <c r="D43" s="143"/>
      <c r="E43" s="144">
        <f>E44+E45+E46+E47+E48</f>
        <v>0</v>
      </c>
      <c r="F43" s="145">
        <f>F44+F45+F46+F47+F48</f>
        <v>0</v>
      </c>
    </row>
    <row r="44" spans="1:6" ht="21" x14ac:dyDescent="0.25">
      <c r="A44" s="146"/>
      <c r="B44" s="147" t="s">
        <v>767</v>
      </c>
      <c r="C44" s="148" t="s">
        <v>768</v>
      </c>
      <c r="D44" s="148"/>
      <c r="E44" s="149">
        <v>0</v>
      </c>
      <c r="F44" s="150">
        <v>0</v>
      </c>
    </row>
    <row r="45" spans="1:6" ht="21" x14ac:dyDescent="0.25">
      <c r="A45" s="146"/>
      <c r="B45" s="147" t="s">
        <v>410</v>
      </c>
      <c r="C45" s="148" t="s">
        <v>769</v>
      </c>
      <c r="D45" s="148"/>
      <c r="E45" s="149">
        <v>0</v>
      </c>
      <c r="F45" s="150">
        <v>0</v>
      </c>
    </row>
    <row r="46" spans="1:6" ht="31.5" x14ac:dyDescent="0.25">
      <c r="A46" s="146"/>
      <c r="B46" s="147" t="s">
        <v>770</v>
      </c>
      <c r="C46" s="148" t="s">
        <v>771</v>
      </c>
      <c r="D46" s="148"/>
      <c r="E46" s="149">
        <v>0</v>
      </c>
      <c r="F46" s="150">
        <v>0</v>
      </c>
    </row>
    <row r="47" spans="1:6" ht="31.5" x14ac:dyDescent="0.25">
      <c r="A47" s="146"/>
      <c r="B47" s="147" t="s">
        <v>417</v>
      </c>
      <c r="C47" s="148" t="s">
        <v>772</v>
      </c>
      <c r="D47" s="148"/>
      <c r="E47" s="149">
        <v>0</v>
      </c>
      <c r="F47" s="150">
        <v>0</v>
      </c>
    </row>
    <row r="48" spans="1:6" ht="21" x14ac:dyDescent="0.25">
      <c r="A48" s="146"/>
      <c r="B48" s="147" t="s">
        <v>773</v>
      </c>
      <c r="C48" s="148" t="s">
        <v>774</v>
      </c>
      <c r="D48" s="148"/>
      <c r="E48" s="149">
        <v>0</v>
      </c>
      <c r="F48" s="150">
        <v>0</v>
      </c>
    </row>
    <row r="49" spans="1:6" ht="42" x14ac:dyDescent="0.25">
      <c r="A49" s="141"/>
      <c r="B49" s="142" t="s">
        <v>775</v>
      </c>
      <c r="C49" s="143" t="s">
        <v>776</v>
      </c>
      <c r="D49" s="143"/>
      <c r="E49" s="144">
        <v>0</v>
      </c>
      <c r="F49" s="145">
        <v>0</v>
      </c>
    </row>
    <row r="50" spans="1:6" ht="21" x14ac:dyDescent="0.25">
      <c r="A50" s="141" t="s">
        <v>777</v>
      </c>
      <c r="B50" s="142" t="s">
        <v>778</v>
      </c>
      <c r="C50" s="143" t="s">
        <v>779</v>
      </c>
      <c r="D50" s="143"/>
      <c r="E50" s="144">
        <f>E51+E52+E53+E54+E55</f>
        <v>0</v>
      </c>
      <c r="F50" s="145">
        <f>F51+F52+F53+F54+F55</f>
        <v>13545203</v>
      </c>
    </row>
    <row r="51" spans="1:6" ht="21" x14ac:dyDescent="0.25">
      <c r="A51" s="146"/>
      <c r="B51" s="147" t="s">
        <v>780</v>
      </c>
      <c r="C51" s="148" t="s">
        <v>781</v>
      </c>
      <c r="D51" s="148"/>
      <c r="E51" s="149">
        <v>0</v>
      </c>
      <c r="F51" s="150">
        <v>0</v>
      </c>
    </row>
    <row r="52" spans="1:6" ht="21" x14ac:dyDescent="0.25">
      <c r="A52" s="146"/>
      <c r="B52" s="147" t="s">
        <v>782</v>
      </c>
      <c r="C52" s="148" t="s">
        <v>783</v>
      </c>
      <c r="D52" s="148"/>
      <c r="E52" s="149">
        <v>0</v>
      </c>
      <c r="F52" s="150">
        <v>0</v>
      </c>
    </row>
    <row r="53" spans="1:6" ht="31.5" x14ac:dyDescent="0.25">
      <c r="A53" s="146"/>
      <c r="B53" s="147" t="s">
        <v>784</v>
      </c>
      <c r="C53" s="148" t="s">
        <v>785</v>
      </c>
      <c r="D53" s="148"/>
      <c r="E53" s="149">
        <v>0</v>
      </c>
      <c r="F53" s="150">
        <v>13545203</v>
      </c>
    </row>
    <row r="54" spans="1:6" ht="31.5" x14ac:dyDescent="0.25">
      <c r="A54" s="146"/>
      <c r="B54" s="147" t="s">
        <v>786</v>
      </c>
      <c r="C54" s="148" t="s">
        <v>787</v>
      </c>
      <c r="D54" s="148"/>
      <c r="E54" s="149">
        <v>0</v>
      </c>
      <c r="F54" s="150">
        <v>0</v>
      </c>
    </row>
    <row r="55" spans="1:6" ht="21" x14ac:dyDescent="0.25">
      <c r="A55" s="146"/>
      <c r="B55" s="147" t="s">
        <v>788</v>
      </c>
      <c r="C55" s="148" t="s">
        <v>789</v>
      </c>
      <c r="D55" s="148"/>
      <c r="E55" s="149">
        <v>0</v>
      </c>
      <c r="F55" s="150">
        <v>0</v>
      </c>
    </row>
    <row r="56" spans="1:6" ht="21" x14ac:dyDescent="0.25">
      <c r="A56" s="141" t="s">
        <v>790</v>
      </c>
      <c r="B56" s="142" t="s">
        <v>791</v>
      </c>
      <c r="C56" s="143" t="s">
        <v>792</v>
      </c>
      <c r="D56" s="143"/>
      <c r="E56" s="144">
        <f>E57+E58+E63</f>
        <v>0</v>
      </c>
      <c r="F56" s="145">
        <f>F57+F58+F63</f>
        <v>0</v>
      </c>
    </row>
    <row r="57" spans="1:6" ht="21.75" customHeight="1" x14ac:dyDescent="0.25">
      <c r="A57" s="146"/>
      <c r="B57" s="147" t="s">
        <v>793</v>
      </c>
      <c r="C57" s="148" t="s">
        <v>794</v>
      </c>
      <c r="D57" s="148"/>
      <c r="E57" s="149">
        <v>0</v>
      </c>
      <c r="F57" s="150">
        <v>0</v>
      </c>
    </row>
    <row r="58" spans="1:6" ht="21" x14ac:dyDescent="0.25">
      <c r="A58" s="146"/>
      <c r="B58" s="147" t="s">
        <v>434</v>
      </c>
      <c r="C58" s="148" t="s">
        <v>795</v>
      </c>
      <c r="D58" s="148"/>
      <c r="E58" s="149">
        <f>E59+E60+E61+E62</f>
        <v>0</v>
      </c>
      <c r="F58" s="150">
        <f>F59+F60+F61+F62</f>
        <v>0</v>
      </c>
    </row>
    <row r="59" spans="1:6" ht="21" x14ac:dyDescent="0.25">
      <c r="A59" s="146"/>
      <c r="B59" s="147" t="s">
        <v>109</v>
      </c>
      <c r="C59" s="148" t="s">
        <v>796</v>
      </c>
      <c r="D59" s="148"/>
      <c r="E59" s="149">
        <v>0</v>
      </c>
      <c r="F59" s="150">
        <v>0</v>
      </c>
    </row>
    <row r="60" spans="1:6" ht="21" x14ac:dyDescent="0.25">
      <c r="A60" s="146"/>
      <c r="B60" s="147" t="s">
        <v>797</v>
      </c>
      <c r="C60" s="148" t="s">
        <v>798</v>
      </c>
      <c r="D60" s="148"/>
      <c r="E60" s="149">
        <v>0</v>
      </c>
      <c r="F60" s="150">
        <v>0</v>
      </c>
    </row>
    <row r="61" spans="1:6" ht="21" x14ac:dyDescent="0.25">
      <c r="A61" s="146"/>
      <c r="B61" s="147" t="s">
        <v>113</v>
      </c>
      <c r="C61" s="148" t="s">
        <v>799</v>
      </c>
      <c r="D61" s="148"/>
      <c r="E61" s="149">
        <v>0</v>
      </c>
      <c r="F61" s="150">
        <v>0</v>
      </c>
    </row>
    <row r="62" spans="1:6" ht="31.5" x14ac:dyDescent="0.25">
      <c r="A62" s="146"/>
      <c r="B62" s="147" t="s">
        <v>115</v>
      </c>
      <c r="C62" s="148" t="s">
        <v>800</v>
      </c>
      <c r="D62" s="148"/>
      <c r="E62" s="149">
        <v>0</v>
      </c>
      <c r="F62" s="150">
        <v>0</v>
      </c>
    </row>
    <row r="63" spans="1:6" ht="21" x14ac:dyDescent="0.25">
      <c r="A63" s="146"/>
      <c r="B63" s="147" t="s">
        <v>431</v>
      </c>
      <c r="C63" s="148" t="s">
        <v>801</v>
      </c>
      <c r="D63" s="148"/>
      <c r="E63" s="149">
        <v>0</v>
      </c>
      <c r="F63" s="150">
        <v>0</v>
      </c>
    </row>
    <row r="64" spans="1:6" ht="21" x14ac:dyDescent="0.25">
      <c r="A64" s="141" t="s">
        <v>802</v>
      </c>
      <c r="B64" s="142" t="s">
        <v>803</v>
      </c>
      <c r="C64" s="143" t="s">
        <v>804</v>
      </c>
      <c r="D64" s="143"/>
      <c r="E64" s="144">
        <v>0</v>
      </c>
      <c r="F64" s="145">
        <v>0</v>
      </c>
    </row>
    <row r="65" spans="1:6" ht="21" x14ac:dyDescent="0.25">
      <c r="A65" s="136"/>
      <c r="B65" s="137" t="s">
        <v>805</v>
      </c>
      <c r="C65" s="138" t="s">
        <v>806</v>
      </c>
      <c r="D65" s="138"/>
      <c r="E65" s="139">
        <f>E19+E27+E39</f>
        <v>2419980214763</v>
      </c>
      <c r="F65" s="140">
        <f>F19+F27+F39</f>
        <v>2248485488917</v>
      </c>
    </row>
    <row r="66" spans="1:6" ht="21" x14ac:dyDescent="0.25">
      <c r="A66" s="136" t="s">
        <v>73</v>
      </c>
      <c r="B66" s="137" t="s">
        <v>807</v>
      </c>
      <c r="C66" s="138" t="s">
        <v>73</v>
      </c>
      <c r="D66" s="138"/>
      <c r="E66" s="139">
        <v>0</v>
      </c>
      <c r="F66" s="140">
        <v>0</v>
      </c>
    </row>
    <row r="67" spans="1:6" ht="21" x14ac:dyDescent="0.25">
      <c r="A67" s="141" t="s">
        <v>5</v>
      </c>
      <c r="B67" s="142" t="s">
        <v>808</v>
      </c>
      <c r="C67" s="143" t="s">
        <v>809</v>
      </c>
      <c r="D67" s="143"/>
      <c r="E67" s="144">
        <v>0</v>
      </c>
      <c r="F67" s="145">
        <v>0</v>
      </c>
    </row>
    <row r="68" spans="1:6" ht="21" x14ac:dyDescent="0.25">
      <c r="A68" s="141"/>
      <c r="B68" s="142" t="s">
        <v>810</v>
      </c>
      <c r="C68" s="143" t="s">
        <v>811</v>
      </c>
      <c r="D68" s="143"/>
      <c r="E68" s="144">
        <v>0</v>
      </c>
      <c r="F68" s="145">
        <v>0</v>
      </c>
    </row>
    <row r="69" spans="1:6" ht="21" x14ac:dyDescent="0.25">
      <c r="A69" s="141"/>
      <c r="B69" s="142" t="s">
        <v>812</v>
      </c>
      <c r="C69" s="143" t="s">
        <v>813</v>
      </c>
      <c r="D69" s="143"/>
      <c r="E69" s="144">
        <v>0</v>
      </c>
      <c r="F69" s="145">
        <v>0</v>
      </c>
    </row>
    <row r="70" spans="1:6" ht="21" x14ac:dyDescent="0.25">
      <c r="A70" s="141" t="s">
        <v>10</v>
      </c>
      <c r="B70" s="142" t="s">
        <v>814</v>
      </c>
      <c r="C70" s="143" t="s">
        <v>815</v>
      </c>
      <c r="D70" s="143"/>
      <c r="E70" s="144">
        <v>12302825000</v>
      </c>
      <c r="F70" s="145">
        <v>0</v>
      </c>
    </row>
    <row r="71" spans="1:6" ht="42" x14ac:dyDescent="0.25">
      <c r="A71" s="141" t="s">
        <v>15</v>
      </c>
      <c r="B71" s="142" t="s">
        <v>816</v>
      </c>
      <c r="C71" s="143" t="s">
        <v>817</v>
      </c>
      <c r="D71" s="143"/>
      <c r="E71" s="144">
        <f>E72+E73</f>
        <v>0</v>
      </c>
      <c r="F71" s="145">
        <f>F72+F73</f>
        <v>0</v>
      </c>
    </row>
    <row r="72" spans="1:6" ht="21" x14ac:dyDescent="0.25">
      <c r="A72" s="146"/>
      <c r="B72" s="147" t="s">
        <v>818</v>
      </c>
      <c r="C72" s="148" t="s">
        <v>819</v>
      </c>
      <c r="D72" s="148"/>
      <c r="E72" s="149">
        <v>0</v>
      </c>
      <c r="F72" s="150">
        <v>0</v>
      </c>
    </row>
    <row r="73" spans="1:6" ht="31.5" x14ac:dyDescent="0.25">
      <c r="A73" s="146"/>
      <c r="B73" s="147" t="s">
        <v>820</v>
      </c>
      <c r="C73" s="148" t="s">
        <v>821</v>
      </c>
      <c r="D73" s="148"/>
      <c r="E73" s="149">
        <v>0</v>
      </c>
      <c r="F73" s="150">
        <v>0</v>
      </c>
    </row>
    <row r="74" spans="1:6" ht="21" x14ac:dyDescent="0.25">
      <c r="A74" s="141" t="s">
        <v>20</v>
      </c>
      <c r="B74" s="142" t="s">
        <v>822</v>
      </c>
      <c r="C74" s="143" t="s">
        <v>823</v>
      </c>
      <c r="D74" s="143"/>
      <c r="E74" s="144">
        <v>0</v>
      </c>
      <c r="F74" s="145">
        <v>0</v>
      </c>
    </row>
    <row r="75" spans="1:6" ht="21" x14ac:dyDescent="0.25">
      <c r="A75" s="141" t="s">
        <v>44</v>
      </c>
      <c r="B75" s="142" t="s">
        <v>824</v>
      </c>
      <c r="C75" s="143" t="s">
        <v>825</v>
      </c>
      <c r="D75" s="143"/>
      <c r="E75" s="144">
        <v>0</v>
      </c>
      <c r="F75" s="145">
        <v>0</v>
      </c>
    </row>
    <row r="76" spans="1:6" ht="21" x14ac:dyDescent="0.25">
      <c r="A76" s="141" t="s">
        <v>47</v>
      </c>
      <c r="B76" s="142" t="s">
        <v>826</v>
      </c>
      <c r="C76" s="143" t="s">
        <v>827</v>
      </c>
      <c r="D76" s="143"/>
      <c r="E76" s="144">
        <f>E77+E78+E79+E80+E81+E82+E83</f>
        <v>271736254</v>
      </c>
      <c r="F76" s="145">
        <f>F77+F78+F79+F80+F81+F82+F83</f>
        <v>44593906</v>
      </c>
    </row>
    <row r="77" spans="1:6" ht="21" x14ac:dyDescent="0.25">
      <c r="A77" s="146"/>
      <c r="B77" s="147" t="s">
        <v>828</v>
      </c>
      <c r="C77" s="148" t="s">
        <v>829</v>
      </c>
      <c r="D77" s="148"/>
      <c r="E77" s="149">
        <v>209610458</v>
      </c>
      <c r="F77" s="150">
        <v>0</v>
      </c>
    </row>
    <row r="78" spans="1:6" ht="21" x14ac:dyDescent="0.25">
      <c r="A78" s="146"/>
      <c r="B78" s="147" t="s">
        <v>830</v>
      </c>
      <c r="C78" s="148" t="s">
        <v>831</v>
      </c>
      <c r="D78" s="148"/>
      <c r="E78" s="149">
        <v>45199050</v>
      </c>
      <c r="F78" s="150">
        <v>29037913</v>
      </c>
    </row>
    <row r="79" spans="1:6" ht="21" x14ac:dyDescent="0.25">
      <c r="A79" s="146"/>
      <c r="B79" s="147" t="s">
        <v>832</v>
      </c>
      <c r="C79" s="148" t="s">
        <v>833</v>
      </c>
      <c r="D79" s="148"/>
      <c r="E79" s="149">
        <v>0</v>
      </c>
      <c r="F79" s="150">
        <v>0</v>
      </c>
    </row>
    <row r="80" spans="1:6" ht="21" x14ac:dyDescent="0.25">
      <c r="A80" s="146"/>
      <c r="B80" s="147" t="s">
        <v>834</v>
      </c>
      <c r="C80" s="148" t="s">
        <v>835</v>
      </c>
      <c r="D80" s="148"/>
      <c r="E80" s="149">
        <v>0</v>
      </c>
      <c r="F80" s="150">
        <v>0</v>
      </c>
    </row>
    <row r="81" spans="1:6" ht="31.5" x14ac:dyDescent="0.25">
      <c r="A81" s="146"/>
      <c r="B81" s="147" t="s">
        <v>836</v>
      </c>
      <c r="C81" s="148" t="s">
        <v>837</v>
      </c>
      <c r="D81" s="148"/>
      <c r="E81" s="149">
        <v>12753526</v>
      </c>
      <c r="F81" s="150">
        <v>11993008</v>
      </c>
    </row>
    <row r="82" spans="1:6" ht="21" x14ac:dyDescent="0.25">
      <c r="A82" s="146"/>
      <c r="B82" s="147" t="s">
        <v>838</v>
      </c>
      <c r="C82" s="148" t="s">
        <v>839</v>
      </c>
      <c r="D82" s="148"/>
      <c r="E82" s="149">
        <v>0</v>
      </c>
      <c r="F82" s="150">
        <v>0</v>
      </c>
    </row>
    <row r="83" spans="1:6" ht="21" x14ac:dyDescent="0.25">
      <c r="A83" s="146"/>
      <c r="B83" s="147" t="s">
        <v>840</v>
      </c>
      <c r="C83" s="148" t="s">
        <v>841</v>
      </c>
      <c r="D83" s="148"/>
      <c r="E83" s="149">
        <v>4173220</v>
      </c>
      <c r="F83" s="150">
        <v>3562985</v>
      </c>
    </row>
    <row r="84" spans="1:6" ht="21" x14ac:dyDescent="0.25">
      <c r="A84" s="141" t="s">
        <v>50</v>
      </c>
      <c r="B84" s="142" t="s">
        <v>842</v>
      </c>
      <c r="C84" s="143" t="s">
        <v>843</v>
      </c>
      <c r="D84" s="143"/>
      <c r="E84" s="144">
        <v>0</v>
      </c>
      <c r="F84" s="145">
        <v>0</v>
      </c>
    </row>
    <row r="85" spans="1:6" ht="21" x14ac:dyDescent="0.25">
      <c r="A85" s="141" t="s">
        <v>53</v>
      </c>
      <c r="B85" s="142" t="s">
        <v>844</v>
      </c>
      <c r="C85" s="143" t="s">
        <v>845</v>
      </c>
      <c r="D85" s="143"/>
      <c r="E85" s="144">
        <v>91095348</v>
      </c>
      <c r="F85" s="145">
        <v>1618848411</v>
      </c>
    </row>
    <row r="86" spans="1:6" ht="21" x14ac:dyDescent="0.25">
      <c r="A86" s="141" t="s">
        <v>56</v>
      </c>
      <c r="B86" s="142" t="s">
        <v>846</v>
      </c>
      <c r="C86" s="143" t="s">
        <v>847</v>
      </c>
      <c r="D86" s="143"/>
      <c r="E86" s="144">
        <f>E87+E88+E93+E94+E95+E96+E97</f>
        <v>2426555238</v>
      </c>
      <c r="F86" s="145">
        <f>F87+F88+F93+F94+F95+F96+F97</f>
        <v>1943050629</v>
      </c>
    </row>
    <row r="87" spans="1:6" ht="21" x14ac:dyDescent="0.25">
      <c r="A87" s="146" t="s">
        <v>848</v>
      </c>
      <c r="B87" s="147" t="s">
        <v>849</v>
      </c>
      <c r="C87" s="148" t="s">
        <v>850</v>
      </c>
      <c r="D87" s="148"/>
      <c r="E87" s="149">
        <v>1627889072</v>
      </c>
      <c r="F87" s="150">
        <v>1344848804</v>
      </c>
    </row>
    <row r="88" spans="1:6" ht="21" x14ac:dyDescent="0.25">
      <c r="A88" s="146" t="s">
        <v>851</v>
      </c>
      <c r="B88" s="147" t="s">
        <v>852</v>
      </c>
      <c r="C88" s="148" t="s">
        <v>853</v>
      </c>
      <c r="D88" s="148"/>
      <c r="E88" s="149">
        <f>E89+E90+E91</f>
        <v>44597226</v>
      </c>
      <c r="F88" s="150">
        <f>F89+F90+F91</f>
        <v>39621222</v>
      </c>
    </row>
    <row r="89" spans="1:6" ht="21" x14ac:dyDescent="0.25">
      <c r="A89" s="146"/>
      <c r="B89" s="147" t="s">
        <v>854</v>
      </c>
      <c r="C89" s="148" t="s">
        <v>855</v>
      </c>
      <c r="D89" s="148"/>
      <c r="E89" s="149">
        <v>40697226</v>
      </c>
      <c r="F89" s="150">
        <v>33621222</v>
      </c>
    </row>
    <row r="90" spans="1:6" ht="21" x14ac:dyDescent="0.25">
      <c r="A90" s="146"/>
      <c r="B90" s="147" t="s">
        <v>856</v>
      </c>
      <c r="C90" s="148" t="s">
        <v>857</v>
      </c>
      <c r="D90" s="148"/>
      <c r="E90" s="149">
        <v>3900000</v>
      </c>
      <c r="F90" s="150">
        <v>6000000</v>
      </c>
    </row>
    <row r="91" spans="1:6" ht="21" x14ac:dyDescent="0.25">
      <c r="A91" s="146"/>
      <c r="B91" s="147" t="s">
        <v>858</v>
      </c>
      <c r="C91" s="148" t="s">
        <v>859</v>
      </c>
      <c r="D91" s="148"/>
      <c r="E91" s="149">
        <v>0</v>
      </c>
      <c r="F91" s="150">
        <v>0</v>
      </c>
    </row>
    <row r="92" spans="1:6" ht="42" x14ac:dyDescent="0.25">
      <c r="A92" s="146"/>
      <c r="B92" s="147" t="s">
        <v>860</v>
      </c>
      <c r="C92" s="148" t="s">
        <v>861</v>
      </c>
      <c r="D92" s="148"/>
      <c r="E92" s="149">
        <v>0</v>
      </c>
      <c r="F92" s="150">
        <v>0</v>
      </c>
    </row>
    <row r="93" spans="1:6" ht="21" x14ac:dyDescent="0.25">
      <c r="A93" s="146" t="s">
        <v>862</v>
      </c>
      <c r="B93" s="147" t="s">
        <v>863</v>
      </c>
      <c r="C93" s="148" t="s">
        <v>864</v>
      </c>
      <c r="D93" s="148"/>
      <c r="E93" s="149">
        <v>44766946</v>
      </c>
      <c r="F93" s="150">
        <v>36983344</v>
      </c>
    </row>
    <row r="94" spans="1:6" ht="21" x14ac:dyDescent="0.25">
      <c r="A94" s="146" t="s">
        <v>865</v>
      </c>
      <c r="B94" s="147" t="s">
        <v>866</v>
      </c>
      <c r="C94" s="148" t="s">
        <v>867</v>
      </c>
      <c r="D94" s="148"/>
      <c r="E94" s="149">
        <v>89533901</v>
      </c>
      <c r="F94" s="150">
        <v>73966684</v>
      </c>
    </row>
    <row r="95" spans="1:6" ht="21" x14ac:dyDescent="0.25">
      <c r="A95" s="146" t="s">
        <v>868</v>
      </c>
      <c r="B95" s="147" t="s">
        <v>869</v>
      </c>
      <c r="C95" s="148" t="s">
        <v>870</v>
      </c>
      <c r="D95" s="148"/>
      <c r="E95" s="149">
        <v>5500000</v>
      </c>
      <c r="F95" s="150">
        <v>16500000</v>
      </c>
    </row>
    <row r="96" spans="1:6" ht="31.5" x14ac:dyDescent="0.25">
      <c r="A96" s="146" t="s">
        <v>871</v>
      </c>
      <c r="B96" s="147" t="s">
        <v>872</v>
      </c>
      <c r="C96" s="148" t="s">
        <v>873</v>
      </c>
      <c r="D96" s="148"/>
      <c r="E96" s="149">
        <v>315308662</v>
      </c>
      <c r="F96" s="150">
        <v>213565597</v>
      </c>
    </row>
    <row r="97" spans="1:6" ht="21" x14ac:dyDescent="0.25">
      <c r="A97" s="146" t="s">
        <v>874</v>
      </c>
      <c r="B97" s="147" t="s">
        <v>875</v>
      </c>
      <c r="C97" s="148" t="s">
        <v>876</v>
      </c>
      <c r="D97" s="148"/>
      <c r="E97" s="149">
        <v>298959431</v>
      </c>
      <c r="F97" s="150">
        <v>217564978</v>
      </c>
    </row>
    <row r="98" spans="1:6" ht="21" x14ac:dyDescent="0.25">
      <c r="A98" s="141" t="s">
        <v>59</v>
      </c>
      <c r="B98" s="142" t="s">
        <v>877</v>
      </c>
      <c r="C98" s="143" t="s">
        <v>878</v>
      </c>
      <c r="D98" s="143"/>
      <c r="E98" s="144">
        <f>E99+E100+E101</f>
        <v>0</v>
      </c>
      <c r="F98" s="145">
        <f>F99+F100+F101</f>
        <v>0</v>
      </c>
    </row>
    <row r="99" spans="1:6" ht="21" x14ac:dyDescent="0.25">
      <c r="A99" s="146" t="s">
        <v>879</v>
      </c>
      <c r="B99" s="147" t="s">
        <v>880</v>
      </c>
      <c r="C99" s="148" t="s">
        <v>881</v>
      </c>
      <c r="D99" s="148"/>
      <c r="E99" s="149">
        <v>0</v>
      </c>
      <c r="F99" s="150">
        <v>0</v>
      </c>
    </row>
    <row r="100" spans="1:6" ht="31.5" x14ac:dyDescent="0.25">
      <c r="A100" s="146" t="s">
        <v>882</v>
      </c>
      <c r="B100" s="147" t="s">
        <v>883</v>
      </c>
      <c r="C100" s="148" t="s">
        <v>884</v>
      </c>
      <c r="D100" s="148"/>
      <c r="E100" s="149">
        <v>0</v>
      </c>
      <c r="F100" s="150">
        <v>0</v>
      </c>
    </row>
    <row r="101" spans="1:6" ht="21" x14ac:dyDescent="0.25">
      <c r="A101" s="146" t="s">
        <v>885</v>
      </c>
      <c r="B101" s="147" t="s">
        <v>886</v>
      </c>
      <c r="C101" s="148" t="s">
        <v>887</v>
      </c>
      <c r="D101" s="148"/>
      <c r="E101" s="149">
        <f>E102+E103+E104+E105+E106</f>
        <v>0</v>
      </c>
      <c r="F101" s="150">
        <f>F102+F103+F104+F105+F106</f>
        <v>0</v>
      </c>
    </row>
    <row r="102" spans="1:6" ht="21.75" customHeight="1" x14ac:dyDescent="0.25">
      <c r="A102" s="146"/>
      <c r="B102" s="147" t="s">
        <v>516</v>
      </c>
      <c r="C102" s="148" t="s">
        <v>888</v>
      </c>
      <c r="D102" s="148"/>
      <c r="E102" s="149">
        <v>0</v>
      </c>
      <c r="F102" s="150">
        <v>0</v>
      </c>
    </row>
    <row r="103" spans="1:6" ht="21" x14ac:dyDescent="0.25">
      <c r="A103" s="146"/>
      <c r="B103" s="147" t="s">
        <v>518</v>
      </c>
      <c r="C103" s="148" t="s">
        <v>889</v>
      </c>
      <c r="D103" s="148"/>
      <c r="E103" s="149">
        <v>0</v>
      </c>
      <c r="F103" s="150">
        <v>0</v>
      </c>
    </row>
    <row r="104" spans="1:6" ht="21" x14ac:dyDescent="0.25">
      <c r="A104" s="141"/>
      <c r="B104" s="142" t="s">
        <v>890</v>
      </c>
      <c r="C104" s="143" t="s">
        <v>891</v>
      </c>
      <c r="D104" s="143"/>
      <c r="E104" s="144">
        <v>0</v>
      </c>
      <c r="F104" s="145">
        <v>0</v>
      </c>
    </row>
    <row r="105" spans="1:6" ht="21" x14ac:dyDescent="0.25">
      <c r="A105" s="146"/>
      <c r="B105" s="147" t="s">
        <v>520</v>
      </c>
      <c r="C105" s="148" t="s">
        <v>892</v>
      </c>
      <c r="D105" s="148"/>
      <c r="E105" s="149">
        <v>0</v>
      </c>
      <c r="F105" s="150">
        <v>0</v>
      </c>
    </row>
    <row r="106" spans="1:6" ht="21" x14ac:dyDescent="0.25">
      <c r="A106" s="146"/>
      <c r="B106" s="147" t="s">
        <v>893</v>
      </c>
      <c r="C106" s="148" t="s">
        <v>894</v>
      </c>
      <c r="D106" s="148"/>
      <c r="E106" s="149">
        <v>0</v>
      </c>
      <c r="F106" s="150">
        <v>0</v>
      </c>
    </row>
    <row r="107" spans="1:6" ht="21" x14ac:dyDescent="0.25">
      <c r="A107" s="136"/>
      <c r="B107" s="137" t="s">
        <v>895</v>
      </c>
      <c r="C107" s="138" t="s">
        <v>896</v>
      </c>
      <c r="D107" s="138"/>
      <c r="E107" s="139">
        <f>E67+E70+E71+E74+E75+E76+E84+E85+E86+E98</f>
        <v>15092211840</v>
      </c>
      <c r="F107" s="140">
        <f>F67+F70+F71+F74+F75+F76+F84+F85+F86+F98</f>
        <v>3606492946</v>
      </c>
    </row>
    <row r="108" spans="1:6" ht="31.5" x14ac:dyDescent="0.25">
      <c r="A108" s="136" t="s">
        <v>80</v>
      </c>
      <c r="B108" s="137" t="s">
        <v>897</v>
      </c>
      <c r="C108" s="138" t="s">
        <v>898</v>
      </c>
      <c r="D108" s="138"/>
      <c r="E108" s="139">
        <f>E65-E107</f>
        <v>2404888002923</v>
      </c>
      <c r="F108" s="140">
        <f>F65-F107</f>
        <v>2244878995971</v>
      </c>
    </row>
    <row r="109" spans="1:6" ht="21" x14ac:dyDescent="0.25">
      <c r="A109" s="141" t="s">
        <v>5</v>
      </c>
      <c r="B109" s="142" t="s">
        <v>899</v>
      </c>
      <c r="C109" s="143" t="s">
        <v>900</v>
      </c>
      <c r="D109" s="143"/>
      <c r="E109" s="144">
        <f>E110+E111</f>
        <v>1763000000000</v>
      </c>
      <c r="F109" s="145">
        <f>F110+F111</f>
        <v>1683000000000</v>
      </c>
    </row>
    <row r="110" spans="1:6" ht="21" x14ac:dyDescent="0.25">
      <c r="A110" s="141" t="s">
        <v>716</v>
      </c>
      <c r="B110" s="142" t="s">
        <v>901</v>
      </c>
      <c r="C110" s="143" t="s">
        <v>902</v>
      </c>
      <c r="D110" s="143"/>
      <c r="E110" s="144">
        <v>1816000000000</v>
      </c>
      <c r="F110" s="145">
        <v>1714000000000</v>
      </c>
    </row>
    <row r="111" spans="1:6" ht="21" x14ac:dyDescent="0.25">
      <c r="A111" s="141" t="s">
        <v>725</v>
      </c>
      <c r="B111" s="142" t="s">
        <v>903</v>
      </c>
      <c r="C111" s="143" t="s">
        <v>904</v>
      </c>
      <c r="D111" s="143"/>
      <c r="E111" s="416">
        <v>-53000000000</v>
      </c>
      <c r="F111" s="417">
        <v>-31000000000</v>
      </c>
    </row>
    <row r="112" spans="1:6" ht="21" x14ac:dyDescent="0.25">
      <c r="A112" s="141" t="s">
        <v>10</v>
      </c>
      <c r="B112" s="142" t="s">
        <v>905</v>
      </c>
      <c r="C112" s="143" t="s">
        <v>906</v>
      </c>
      <c r="D112" s="143"/>
      <c r="E112" s="144">
        <v>387778207424</v>
      </c>
      <c r="F112" s="145">
        <v>359965376499</v>
      </c>
    </row>
    <row r="113" spans="1:6" ht="21" x14ac:dyDescent="0.25">
      <c r="A113" s="141" t="s">
        <v>15</v>
      </c>
      <c r="B113" s="142" t="s">
        <v>907</v>
      </c>
      <c r="C113" s="143" t="s">
        <v>908</v>
      </c>
      <c r="D113" s="143"/>
      <c r="E113" s="144">
        <f>E114+E115</f>
        <v>254109795499</v>
      </c>
      <c r="F113" s="145">
        <f>F114+F115</f>
        <v>201913619472</v>
      </c>
    </row>
    <row r="114" spans="1:6" ht="21" x14ac:dyDescent="0.25">
      <c r="A114" s="141" t="s">
        <v>756</v>
      </c>
      <c r="B114" s="142" t="s">
        <v>909</v>
      </c>
      <c r="C114" s="143" t="s">
        <v>910</v>
      </c>
      <c r="D114" s="143"/>
      <c r="E114" s="144">
        <v>201913619472</v>
      </c>
      <c r="F114" s="145">
        <v>104377056183</v>
      </c>
    </row>
    <row r="115" spans="1:6" ht="21" x14ac:dyDescent="0.25">
      <c r="A115" s="141" t="s">
        <v>761</v>
      </c>
      <c r="B115" s="142" t="s">
        <v>911</v>
      </c>
      <c r="C115" s="143" t="s">
        <v>912</v>
      </c>
      <c r="D115" s="143"/>
      <c r="E115" s="144">
        <v>52196176027</v>
      </c>
      <c r="F115" s="145">
        <v>97536563289</v>
      </c>
    </row>
    <row r="116" spans="1:6" ht="31.5" x14ac:dyDescent="0.25">
      <c r="A116" s="151" t="s">
        <v>84</v>
      </c>
      <c r="B116" s="152" t="s">
        <v>913</v>
      </c>
      <c r="C116" s="153" t="s">
        <v>914</v>
      </c>
      <c r="D116" s="153"/>
      <c r="E116" s="43">
        <v>13640.88</v>
      </c>
      <c r="F116" s="154">
        <v>13338.55</v>
      </c>
    </row>
    <row r="117" spans="1:6" ht="21" x14ac:dyDescent="0.25">
      <c r="A117" s="136" t="s">
        <v>94</v>
      </c>
      <c r="B117" s="137" t="s">
        <v>915</v>
      </c>
      <c r="C117" s="138" t="s">
        <v>916</v>
      </c>
      <c r="D117" s="138"/>
      <c r="E117" s="139">
        <f>E118+E119</f>
        <v>0</v>
      </c>
      <c r="F117" s="140">
        <f>F118+F119</f>
        <v>0</v>
      </c>
    </row>
    <row r="118" spans="1:6" ht="23.25" customHeight="1" x14ac:dyDescent="0.25">
      <c r="A118" s="141" t="s">
        <v>5</v>
      </c>
      <c r="B118" s="142" t="s">
        <v>917</v>
      </c>
      <c r="C118" s="143" t="s">
        <v>918</v>
      </c>
      <c r="D118" s="143"/>
      <c r="E118" s="144">
        <v>0</v>
      </c>
      <c r="F118" s="145">
        <v>0</v>
      </c>
    </row>
    <row r="119" spans="1:6" ht="31.5" x14ac:dyDescent="0.25">
      <c r="A119" s="141" t="s">
        <v>10</v>
      </c>
      <c r="B119" s="142" t="s">
        <v>919</v>
      </c>
      <c r="C119" s="143" t="s">
        <v>920</v>
      </c>
      <c r="D119" s="143"/>
      <c r="E119" s="144">
        <v>0</v>
      </c>
      <c r="F119" s="145">
        <v>0</v>
      </c>
    </row>
    <row r="120" spans="1:6" ht="31.5" x14ac:dyDescent="0.25">
      <c r="A120" s="136" t="s">
        <v>118</v>
      </c>
      <c r="B120" s="137" t="s">
        <v>921</v>
      </c>
      <c r="C120" s="138" t="s">
        <v>118</v>
      </c>
      <c r="D120" s="138"/>
      <c r="E120" s="139">
        <v>0</v>
      </c>
      <c r="F120" s="140">
        <v>0</v>
      </c>
    </row>
    <row r="121" spans="1:6" ht="21" x14ac:dyDescent="0.25">
      <c r="A121" s="141" t="s">
        <v>5</v>
      </c>
      <c r="B121" s="142" t="s">
        <v>922</v>
      </c>
      <c r="C121" s="143" t="s">
        <v>923</v>
      </c>
      <c r="D121" s="143"/>
      <c r="E121" s="144">
        <v>0</v>
      </c>
      <c r="F121" s="145">
        <v>0</v>
      </c>
    </row>
    <row r="122" spans="1:6" ht="21" x14ac:dyDescent="0.25">
      <c r="A122" s="141" t="s">
        <v>10</v>
      </c>
      <c r="B122" s="142" t="s">
        <v>924</v>
      </c>
      <c r="C122" s="143" t="s">
        <v>925</v>
      </c>
      <c r="D122" s="143"/>
      <c r="E122" s="144">
        <v>0</v>
      </c>
      <c r="F122" s="145">
        <v>0</v>
      </c>
    </row>
    <row r="123" spans="1:6" ht="21" x14ac:dyDescent="0.25">
      <c r="A123" s="141" t="s">
        <v>15</v>
      </c>
      <c r="B123" s="142" t="s">
        <v>926</v>
      </c>
      <c r="C123" s="143" t="s">
        <v>927</v>
      </c>
      <c r="D123" s="143"/>
      <c r="E123" s="144">
        <v>0</v>
      </c>
      <c r="F123" s="145">
        <v>0</v>
      </c>
    </row>
    <row r="124" spans="1:6" ht="21" x14ac:dyDescent="0.25">
      <c r="A124" s="155" t="s">
        <v>20</v>
      </c>
      <c r="B124" s="156" t="s">
        <v>928</v>
      </c>
      <c r="C124" s="157" t="s">
        <v>929</v>
      </c>
      <c r="D124" s="157"/>
      <c r="E124" s="158">
        <v>176300000</v>
      </c>
      <c r="F124" s="159">
        <v>168300000</v>
      </c>
    </row>
    <row r="125" spans="1:6" ht="10.5" customHeight="1" x14ac:dyDescent="0.25">
      <c r="A125" s="37"/>
      <c r="B125" s="37"/>
      <c r="C125" s="37"/>
      <c r="D125" s="37"/>
      <c r="E125" s="37"/>
      <c r="F125" s="37"/>
    </row>
    <row r="126" spans="1:6" ht="13.5" customHeight="1" x14ac:dyDescent="0.25">
      <c r="A126" s="333" t="s">
        <v>707</v>
      </c>
      <c r="B126" s="333"/>
      <c r="C126" s="333" t="s">
        <v>573</v>
      </c>
      <c r="D126" s="333"/>
      <c r="E126" s="333" t="s">
        <v>708</v>
      </c>
      <c r="F126" s="333"/>
    </row>
    <row r="127" spans="1:6" ht="13.5" customHeight="1" x14ac:dyDescent="0.25">
      <c r="A127" s="399" t="s">
        <v>575</v>
      </c>
      <c r="B127" s="399"/>
      <c r="C127" s="399" t="s">
        <v>575</v>
      </c>
      <c r="D127" s="399"/>
      <c r="E127" s="399" t="s">
        <v>576</v>
      </c>
      <c r="F127" s="399"/>
    </row>
    <row r="128" spans="1:6" ht="79.5" customHeight="1" x14ac:dyDescent="0.25">
      <c r="A128" s="37"/>
      <c r="B128" s="37"/>
      <c r="C128" s="37"/>
      <c r="D128" s="37"/>
      <c r="E128" s="37"/>
      <c r="F128" s="37"/>
    </row>
    <row r="129" spans="1:6" ht="15.75" customHeight="1" x14ac:dyDescent="0.25">
      <c r="A129" s="319" t="s">
        <v>577</v>
      </c>
      <c r="B129" s="319"/>
      <c r="C129" s="333" t="s">
        <v>578</v>
      </c>
      <c r="D129" s="333"/>
      <c r="E129" s="333" t="s">
        <v>297</v>
      </c>
      <c r="F129" s="333"/>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29:B129"/>
    <mergeCell ref="C129:D129"/>
    <mergeCell ref="E129:F129"/>
    <mergeCell ref="A15:B15"/>
    <mergeCell ref="C15:F15"/>
    <mergeCell ref="A126:B126"/>
    <mergeCell ref="C126:D126"/>
    <mergeCell ref="E126:F126"/>
    <mergeCell ref="A127:B127"/>
    <mergeCell ref="C127:D127"/>
    <mergeCell ref="E127:F127"/>
  </mergeCells>
  <printOptions horizontalCentered="1"/>
  <pageMargins left="0" right="0" top="0.59" bottom="0.59" header="0.5" footer="0.5"/>
  <pageSetup paperSize="9" scale="9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32"/>
  <sheetViews>
    <sheetView showGridLines="0" showZeros="0" showOutlineSymbols="0" view="pageBreakPreview" topLeftCell="A13" zoomScaleNormal="100" zoomScaleSheetLayoutView="100" workbookViewId="0">
      <selection activeCell="H18" sqref="H18"/>
    </sheetView>
  </sheetViews>
  <sheetFormatPr defaultRowHeight="15" x14ac:dyDescent="0.25"/>
  <cols>
    <col min="1" max="1" width="4.140625" style="36" customWidth="1"/>
    <col min="2" max="2" width="45" style="36" customWidth="1"/>
    <col min="3" max="3" width="8.5703125" style="36" customWidth="1"/>
    <col min="4" max="5" width="23.5703125" style="36" customWidth="1"/>
    <col min="6" max="16384" width="9.140625" style="36"/>
  </cols>
  <sheetData>
    <row r="1" spans="1:5" ht="21.75" customHeight="1" x14ac:dyDescent="0.25">
      <c r="A1" s="37"/>
      <c r="B1" s="400" t="s">
        <v>540</v>
      </c>
      <c r="C1" s="400"/>
      <c r="D1" s="400"/>
      <c r="E1" s="400"/>
    </row>
    <row r="2" spans="1:5" ht="24.75" customHeight="1" x14ac:dyDescent="0.25">
      <c r="A2" s="401" t="s">
        <v>541</v>
      </c>
      <c r="B2" s="401"/>
      <c r="C2" s="401"/>
      <c r="D2" s="401"/>
      <c r="E2" s="401"/>
    </row>
    <row r="3" spans="1:5" ht="6" customHeight="1" x14ac:dyDescent="0.25">
      <c r="A3" s="37"/>
      <c r="B3" s="37"/>
      <c r="C3" s="37"/>
      <c r="D3" s="321"/>
      <c r="E3" s="321"/>
    </row>
    <row r="4" spans="1:5" ht="31.5" customHeight="1" x14ac:dyDescent="0.25">
      <c r="A4" s="402" t="s">
        <v>542</v>
      </c>
      <c r="B4" s="402"/>
      <c r="C4" s="402"/>
      <c r="D4" s="402"/>
      <c r="E4" s="402"/>
    </row>
    <row r="5" spans="1:5" ht="15.75" customHeight="1" x14ac:dyDescent="0.25">
      <c r="A5" s="323" t="s">
        <v>145</v>
      </c>
      <c r="B5" s="323"/>
      <c r="C5" s="323"/>
      <c r="D5" s="323"/>
      <c r="E5" s="323"/>
    </row>
    <row r="6" spans="1:5" ht="3.75" customHeight="1" x14ac:dyDescent="0.25">
      <c r="A6" s="37"/>
      <c r="B6" s="37"/>
      <c r="C6" s="37"/>
      <c r="D6" s="321"/>
      <c r="E6" s="321"/>
    </row>
    <row r="7" spans="1:5" ht="15.75" customHeight="1" x14ac:dyDescent="0.25">
      <c r="A7" s="328" t="s">
        <v>543</v>
      </c>
      <c r="B7" s="328"/>
      <c r="C7" s="328" t="s">
        <v>7</v>
      </c>
      <c r="D7" s="328"/>
      <c r="E7" s="328"/>
    </row>
    <row r="8" spans="1:5" ht="15.75" customHeight="1" x14ac:dyDescent="0.25">
      <c r="A8" s="339" t="s">
        <v>8</v>
      </c>
      <c r="B8" s="339"/>
      <c r="C8" s="339" t="s">
        <v>9</v>
      </c>
      <c r="D8" s="339"/>
      <c r="E8" s="339"/>
    </row>
    <row r="9" spans="1:5" ht="15.75" customHeight="1" x14ac:dyDescent="0.25">
      <c r="A9" s="328" t="s">
        <v>146</v>
      </c>
      <c r="B9" s="328"/>
      <c r="C9" s="328" t="s">
        <v>12</v>
      </c>
      <c r="D9" s="328"/>
      <c r="E9" s="328"/>
    </row>
    <row r="10" spans="1:5" ht="15.75" customHeight="1" x14ac:dyDescent="0.25">
      <c r="A10" s="339" t="s">
        <v>544</v>
      </c>
      <c r="B10" s="339"/>
      <c r="C10" s="403" t="s">
        <v>14</v>
      </c>
      <c r="D10" s="403"/>
      <c r="E10" s="403"/>
    </row>
    <row r="11" spans="1:5" ht="15" customHeight="1" x14ac:dyDescent="0.25">
      <c r="A11" s="328" t="s">
        <v>545</v>
      </c>
      <c r="B11" s="328"/>
      <c r="C11" s="340">
        <v>44140</v>
      </c>
      <c r="D11" s="328"/>
      <c r="E11" s="328"/>
    </row>
    <row r="12" spans="1:5" ht="15.75" customHeight="1" x14ac:dyDescent="0.25">
      <c r="A12" s="339" t="s">
        <v>546</v>
      </c>
      <c r="B12" s="339"/>
      <c r="C12" s="341">
        <v>44140</v>
      </c>
      <c r="D12" s="339"/>
      <c r="E12" s="339"/>
    </row>
    <row r="13" spans="1:5" ht="15.75" customHeight="1" x14ac:dyDescent="0.25">
      <c r="A13" s="89"/>
      <c r="B13" s="89"/>
      <c r="C13" s="89"/>
      <c r="D13" s="343" t="s">
        <v>547</v>
      </c>
      <c r="E13" s="343"/>
    </row>
    <row r="14" spans="1:5" ht="59.25" customHeight="1" x14ac:dyDescent="0.25">
      <c r="A14" s="106" t="s">
        <v>548</v>
      </c>
      <c r="B14" s="107" t="s">
        <v>549</v>
      </c>
      <c r="C14" s="107" t="s">
        <v>550</v>
      </c>
      <c r="D14" s="107" t="s">
        <v>151</v>
      </c>
      <c r="E14" s="108" t="s">
        <v>152</v>
      </c>
    </row>
    <row r="15" spans="1:5" ht="21" x14ac:dyDescent="0.25">
      <c r="A15" s="58" t="s">
        <v>33</v>
      </c>
      <c r="B15" s="59" t="s">
        <v>551</v>
      </c>
      <c r="C15" s="60" t="s">
        <v>552</v>
      </c>
      <c r="D15" s="44">
        <v>2244878995971</v>
      </c>
      <c r="E15" s="61">
        <v>1853924646350</v>
      </c>
    </row>
    <row r="16" spans="1:5" ht="31.5" x14ac:dyDescent="0.25">
      <c r="A16" s="58" t="s">
        <v>73</v>
      </c>
      <c r="B16" s="59" t="s">
        <v>553</v>
      </c>
      <c r="C16" s="60" t="s">
        <v>554</v>
      </c>
      <c r="D16" s="44">
        <v>52196176027</v>
      </c>
      <c r="E16" s="61">
        <v>97536563289</v>
      </c>
    </row>
    <row r="17" spans="1:5" x14ac:dyDescent="0.25">
      <c r="A17" s="62"/>
      <c r="B17" s="63" t="s">
        <v>555</v>
      </c>
      <c r="C17" s="64"/>
      <c r="D17" s="49">
        <v>0</v>
      </c>
      <c r="E17" s="65">
        <v>0</v>
      </c>
    </row>
    <row r="18" spans="1:5" ht="42" x14ac:dyDescent="0.25">
      <c r="A18" s="62" t="s">
        <v>450</v>
      </c>
      <c r="B18" s="63" t="s">
        <v>556</v>
      </c>
      <c r="C18" s="64" t="s">
        <v>557</v>
      </c>
      <c r="D18" s="49">
        <v>52196176027</v>
      </c>
      <c r="E18" s="65">
        <v>97536563289</v>
      </c>
    </row>
    <row r="19" spans="1:5" ht="42" x14ac:dyDescent="0.25">
      <c r="A19" s="62" t="s">
        <v>453</v>
      </c>
      <c r="B19" s="63" t="s">
        <v>558</v>
      </c>
      <c r="C19" s="64" t="s">
        <v>559</v>
      </c>
      <c r="D19" s="49">
        <v>0</v>
      </c>
      <c r="E19" s="65">
        <v>0</v>
      </c>
    </row>
    <row r="20" spans="1:5" ht="42" x14ac:dyDescent="0.25">
      <c r="A20" s="58" t="s">
        <v>80</v>
      </c>
      <c r="B20" s="59" t="s">
        <v>560</v>
      </c>
      <c r="C20" s="60" t="s">
        <v>561</v>
      </c>
      <c r="D20" s="44">
        <v>107812830925</v>
      </c>
      <c r="E20" s="61">
        <v>293417786332</v>
      </c>
    </row>
    <row r="21" spans="1:5" ht="21" x14ac:dyDescent="0.25">
      <c r="A21" s="62" t="s">
        <v>562</v>
      </c>
      <c r="B21" s="63" t="s">
        <v>563</v>
      </c>
      <c r="C21" s="64" t="s">
        <v>564</v>
      </c>
      <c r="D21" s="49">
        <v>138849970508</v>
      </c>
      <c r="E21" s="65">
        <v>317870283704</v>
      </c>
    </row>
    <row r="22" spans="1:5" ht="21" x14ac:dyDescent="0.25">
      <c r="A22" s="62" t="s">
        <v>565</v>
      </c>
      <c r="B22" s="63" t="s">
        <v>566</v>
      </c>
      <c r="C22" s="64" t="s">
        <v>567</v>
      </c>
      <c r="D22" s="49">
        <v>-31037139583</v>
      </c>
      <c r="E22" s="65">
        <v>-24452497372</v>
      </c>
    </row>
    <row r="23" spans="1:5" ht="22.5" customHeight="1" x14ac:dyDescent="0.25">
      <c r="A23" s="58" t="s">
        <v>84</v>
      </c>
      <c r="B23" s="59" t="s">
        <v>568</v>
      </c>
      <c r="C23" s="60" t="s">
        <v>569</v>
      </c>
      <c r="D23" s="44">
        <v>2404888002923</v>
      </c>
      <c r="E23" s="61">
        <v>2244878995971</v>
      </c>
    </row>
    <row r="24" spans="1:5" ht="31.5" x14ac:dyDescent="0.25">
      <c r="A24" s="95" t="s">
        <v>94</v>
      </c>
      <c r="B24" s="96" t="s">
        <v>570</v>
      </c>
      <c r="C24" s="97" t="s">
        <v>571</v>
      </c>
      <c r="D24" s="54">
        <v>13640.88</v>
      </c>
      <c r="E24" s="98">
        <v>13338.55</v>
      </c>
    </row>
    <row r="25" spans="1:5" ht="15.75" customHeight="1" x14ac:dyDescent="0.25">
      <c r="A25" s="321"/>
      <c r="B25" s="321"/>
      <c r="C25" s="321"/>
      <c r="D25" s="321"/>
      <c r="E25" s="37"/>
    </row>
    <row r="26" spans="1:5" ht="14.25" customHeight="1" x14ac:dyDescent="0.25">
      <c r="A26" s="404" t="s">
        <v>572</v>
      </c>
      <c r="B26" s="404"/>
      <c r="C26" s="404" t="s">
        <v>573</v>
      </c>
      <c r="D26" s="404"/>
      <c r="E26" s="99" t="s">
        <v>574</v>
      </c>
    </row>
    <row r="27" spans="1:5" ht="14.25" customHeight="1" x14ac:dyDescent="0.25">
      <c r="A27" s="399" t="s">
        <v>575</v>
      </c>
      <c r="B27" s="399"/>
      <c r="C27" s="357" t="s">
        <v>575</v>
      </c>
      <c r="D27" s="357"/>
      <c r="E27" s="100" t="s">
        <v>576</v>
      </c>
    </row>
    <row r="28" spans="1:5" ht="45" customHeight="1" x14ac:dyDescent="0.25">
      <c r="A28" s="321"/>
      <c r="B28" s="321"/>
      <c r="C28" s="321"/>
      <c r="D28" s="321"/>
      <c r="E28" s="37"/>
    </row>
    <row r="32" spans="1:5" ht="14.25" customHeight="1" x14ac:dyDescent="0.25">
      <c r="A32" s="404" t="s">
        <v>577</v>
      </c>
      <c r="B32" s="404"/>
      <c r="C32" s="404" t="s">
        <v>578</v>
      </c>
      <c r="D32" s="404"/>
      <c r="E32" s="99" t="s">
        <v>297</v>
      </c>
    </row>
  </sheetData>
  <mergeCells count="29">
    <mergeCell ref="A32:B32"/>
    <mergeCell ref="C32:D32"/>
    <mergeCell ref="A26:B26"/>
    <mergeCell ref="C26:D26"/>
    <mergeCell ref="A27:B27"/>
    <mergeCell ref="C27:D27"/>
    <mergeCell ref="A9:B9"/>
    <mergeCell ref="C9:E9"/>
    <mergeCell ref="A28:B28"/>
    <mergeCell ref="A10:B10"/>
    <mergeCell ref="C10:E10"/>
    <mergeCell ref="A11:B11"/>
    <mergeCell ref="C11:E11"/>
    <mergeCell ref="A12:B12"/>
    <mergeCell ref="C12:E12"/>
    <mergeCell ref="C28:D28"/>
    <mergeCell ref="D13:E13"/>
    <mergeCell ref="A25:B25"/>
    <mergeCell ref="C25:D25"/>
    <mergeCell ref="D6:E6"/>
    <mergeCell ref="A7:B7"/>
    <mergeCell ref="C7:E7"/>
    <mergeCell ref="A8:B8"/>
    <mergeCell ref="C8:E8"/>
    <mergeCell ref="B1:E1"/>
    <mergeCell ref="A2:E2"/>
    <mergeCell ref="D3:E3"/>
    <mergeCell ref="A4:E4"/>
    <mergeCell ref="A5:E5"/>
  </mergeCells>
  <printOptions horizontalCentered="1"/>
  <pageMargins left="0" right="0" top="0.59" bottom="0.59" header="0.5" footer="0.5"/>
  <pageSetup paperSize="9" scale="9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3"/>
  <sheetViews>
    <sheetView showGridLines="0" showZeros="0" tabSelected="1" showOutlineSymbols="0" topLeftCell="A43" zoomScaleNormal="100" workbookViewId="0">
      <selection activeCell="G30" sqref="G30"/>
    </sheetView>
  </sheetViews>
  <sheetFormatPr defaultRowHeight="15" x14ac:dyDescent="0.25"/>
  <cols>
    <col min="1" max="1" width="6.28515625" style="1" customWidth="1"/>
    <col min="2" max="2" width="45" style="1" customWidth="1"/>
    <col min="3" max="3" width="8.5703125" style="1" customWidth="1"/>
    <col min="4" max="5" width="21.140625" style="1" customWidth="1"/>
    <col min="6" max="256" width="9.140625" style="1"/>
    <col min="257" max="257" width="6.28515625" style="1" customWidth="1"/>
    <col min="258" max="258" width="45" style="1" customWidth="1"/>
    <col min="259" max="259" width="8.5703125" style="1" customWidth="1"/>
    <col min="260" max="261" width="21.140625" style="1" customWidth="1"/>
    <col min="262" max="512" width="9.140625" style="1"/>
    <col min="513" max="513" width="6.28515625" style="1" customWidth="1"/>
    <col min="514" max="514" width="45" style="1" customWidth="1"/>
    <col min="515" max="515" width="8.5703125" style="1" customWidth="1"/>
    <col min="516" max="517" width="21.140625" style="1" customWidth="1"/>
    <col min="518" max="768" width="9.140625" style="1"/>
    <col min="769" max="769" width="6.28515625" style="1" customWidth="1"/>
    <col min="770" max="770" width="45" style="1" customWidth="1"/>
    <col min="771" max="771" width="8.5703125" style="1" customWidth="1"/>
    <col min="772" max="773" width="21.140625" style="1" customWidth="1"/>
    <col min="774" max="1024" width="9.140625" style="1"/>
    <col min="1025" max="1025" width="6.28515625" style="1" customWidth="1"/>
    <col min="1026" max="1026" width="45" style="1" customWidth="1"/>
    <col min="1027" max="1027" width="8.5703125" style="1" customWidth="1"/>
    <col min="1028" max="1029" width="21.140625" style="1" customWidth="1"/>
    <col min="1030" max="1280" width="9.140625" style="1"/>
    <col min="1281" max="1281" width="6.28515625" style="1" customWidth="1"/>
    <col min="1282" max="1282" width="45" style="1" customWidth="1"/>
    <col min="1283" max="1283" width="8.5703125" style="1" customWidth="1"/>
    <col min="1284" max="1285" width="21.140625" style="1" customWidth="1"/>
    <col min="1286" max="1536" width="9.140625" style="1"/>
    <col min="1537" max="1537" width="6.28515625" style="1" customWidth="1"/>
    <col min="1538" max="1538" width="45" style="1" customWidth="1"/>
    <col min="1539" max="1539" width="8.5703125" style="1" customWidth="1"/>
    <col min="1540" max="1541" width="21.140625" style="1" customWidth="1"/>
    <col min="1542" max="1792" width="9.140625" style="1"/>
    <col min="1793" max="1793" width="6.28515625" style="1" customWidth="1"/>
    <col min="1794" max="1794" width="45" style="1" customWidth="1"/>
    <col min="1795" max="1795" width="8.5703125" style="1" customWidth="1"/>
    <col min="1796" max="1797" width="21.140625" style="1" customWidth="1"/>
    <col min="1798" max="2048" width="9.140625" style="1"/>
    <col min="2049" max="2049" width="6.28515625" style="1" customWidth="1"/>
    <col min="2050" max="2050" width="45" style="1" customWidth="1"/>
    <col min="2051" max="2051" width="8.5703125" style="1" customWidth="1"/>
    <col min="2052" max="2053" width="21.140625" style="1" customWidth="1"/>
    <col min="2054" max="2304" width="9.140625" style="1"/>
    <col min="2305" max="2305" width="6.28515625" style="1" customWidth="1"/>
    <col min="2306" max="2306" width="45" style="1" customWidth="1"/>
    <col min="2307" max="2307" width="8.5703125" style="1" customWidth="1"/>
    <col min="2308" max="2309" width="21.140625" style="1" customWidth="1"/>
    <col min="2310" max="2560" width="9.140625" style="1"/>
    <col min="2561" max="2561" width="6.28515625" style="1" customWidth="1"/>
    <col min="2562" max="2562" width="45" style="1" customWidth="1"/>
    <col min="2563" max="2563" width="8.5703125" style="1" customWidth="1"/>
    <col min="2564" max="2565" width="21.140625" style="1" customWidth="1"/>
    <col min="2566" max="2816" width="9.140625" style="1"/>
    <col min="2817" max="2817" width="6.28515625" style="1" customWidth="1"/>
    <col min="2818" max="2818" width="45" style="1" customWidth="1"/>
    <col min="2819" max="2819" width="8.5703125" style="1" customWidth="1"/>
    <col min="2820" max="2821" width="21.140625" style="1" customWidth="1"/>
    <col min="2822" max="3072" width="9.140625" style="1"/>
    <col min="3073" max="3073" width="6.28515625" style="1" customWidth="1"/>
    <col min="3074" max="3074" width="45" style="1" customWidth="1"/>
    <col min="3075" max="3075" width="8.5703125" style="1" customWidth="1"/>
    <col min="3076" max="3077" width="21.140625" style="1" customWidth="1"/>
    <col min="3078" max="3328" width="9.140625" style="1"/>
    <col min="3329" max="3329" width="6.28515625" style="1" customWidth="1"/>
    <col min="3330" max="3330" width="45" style="1" customWidth="1"/>
    <col min="3331" max="3331" width="8.5703125" style="1" customWidth="1"/>
    <col min="3332" max="3333" width="21.140625" style="1" customWidth="1"/>
    <col min="3334" max="3584" width="9.140625" style="1"/>
    <col min="3585" max="3585" width="6.28515625" style="1" customWidth="1"/>
    <col min="3586" max="3586" width="45" style="1" customWidth="1"/>
    <col min="3587" max="3587" width="8.5703125" style="1" customWidth="1"/>
    <col min="3588" max="3589" width="21.140625" style="1" customWidth="1"/>
    <col min="3590" max="3840" width="9.140625" style="1"/>
    <col min="3841" max="3841" width="6.28515625" style="1" customWidth="1"/>
    <col min="3842" max="3842" width="45" style="1" customWidth="1"/>
    <col min="3843" max="3843" width="8.5703125" style="1" customWidth="1"/>
    <col min="3844" max="3845" width="21.140625" style="1" customWidth="1"/>
    <col min="3846" max="4096" width="9.140625" style="1"/>
    <col min="4097" max="4097" width="6.28515625" style="1" customWidth="1"/>
    <col min="4098" max="4098" width="45" style="1" customWidth="1"/>
    <col min="4099" max="4099" width="8.5703125" style="1" customWidth="1"/>
    <col min="4100" max="4101" width="21.140625" style="1" customWidth="1"/>
    <col min="4102" max="4352" width="9.140625" style="1"/>
    <col min="4353" max="4353" width="6.28515625" style="1" customWidth="1"/>
    <col min="4354" max="4354" width="45" style="1" customWidth="1"/>
    <col min="4355" max="4355" width="8.5703125" style="1" customWidth="1"/>
    <col min="4356" max="4357" width="21.140625" style="1" customWidth="1"/>
    <col min="4358" max="4608" width="9.140625" style="1"/>
    <col min="4609" max="4609" width="6.28515625" style="1" customWidth="1"/>
    <col min="4610" max="4610" width="45" style="1" customWidth="1"/>
    <col min="4611" max="4611" width="8.5703125" style="1" customWidth="1"/>
    <col min="4612" max="4613" width="21.140625" style="1" customWidth="1"/>
    <col min="4614" max="4864" width="9.140625" style="1"/>
    <col min="4865" max="4865" width="6.28515625" style="1" customWidth="1"/>
    <col min="4866" max="4866" width="45" style="1" customWidth="1"/>
    <col min="4867" max="4867" width="8.5703125" style="1" customWidth="1"/>
    <col min="4868" max="4869" width="21.140625" style="1" customWidth="1"/>
    <col min="4870" max="5120" width="9.140625" style="1"/>
    <col min="5121" max="5121" width="6.28515625" style="1" customWidth="1"/>
    <col min="5122" max="5122" width="45" style="1" customWidth="1"/>
    <col min="5123" max="5123" width="8.5703125" style="1" customWidth="1"/>
    <col min="5124" max="5125" width="21.140625" style="1" customWidth="1"/>
    <col min="5126" max="5376" width="9.140625" style="1"/>
    <col min="5377" max="5377" width="6.28515625" style="1" customWidth="1"/>
    <col min="5378" max="5378" width="45" style="1" customWidth="1"/>
    <col min="5379" max="5379" width="8.5703125" style="1" customWidth="1"/>
    <col min="5380" max="5381" width="21.140625" style="1" customWidth="1"/>
    <col min="5382" max="5632" width="9.140625" style="1"/>
    <col min="5633" max="5633" width="6.28515625" style="1" customWidth="1"/>
    <col min="5634" max="5634" width="45" style="1" customWidth="1"/>
    <col min="5635" max="5635" width="8.5703125" style="1" customWidth="1"/>
    <col min="5636" max="5637" width="21.140625" style="1" customWidth="1"/>
    <col min="5638" max="5888" width="9.140625" style="1"/>
    <col min="5889" max="5889" width="6.28515625" style="1" customWidth="1"/>
    <col min="5890" max="5890" width="45" style="1" customWidth="1"/>
    <col min="5891" max="5891" width="8.5703125" style="1" customWidth="1"/>
    <col min="5892" max="5893" width="21.140625" style="1" customWidth="1"/>
    <col min="5894" max="6144" width="9.140625" style="1"/>
    <col min="6145" max="6145" width="6.28515625" style="1" customWidth="1"/>
    <col min="6146" max="6146" width="45" style="1" customWidth="1"/>
    <col min="6147" max="6147" width="8.5703125" style="1" customWidth="1"/>
    <col min="6148" max="6149" width="21.140625" style="1" customWidth="1"/>
    <col min="6150" max="6400" width="9.140625" style="1"/>
    <col min="6401" max="6401" width="6.28515625" style="1" customWidth="1"/>
    <col min="6402" max="6402" width="45" style="1" customWidth="1"/>
    <col min="6403" max="6403" width="8.5703125" style="1" customWidth="1"/>
    <col min="6404" max="6405" width="21.140625" style="1" customWidth="1"/>
    <col min="6406" max="6656" width="9.140625" style="1"/>
    <col min="6657" max="6657" width="6.28515625" style="1" customWidth="1"/>
    <col min="6658" max="6658" width="45" style="1" customWidth="1"/>
    <col min="6659" max="6659" width="8.5703125" style="1" customWidth="1"/>
    <col min="6660" max="6661" width="21.140625" style="1" customWidth="1"/>
    <col min="6662" max="6912" width="9.140625" style="1"/>
    <col min="6913" max="6913" width="6.28515625" style="1" customWidth="1"/>
    <col min="6914" max="6914" width="45" style="1" customWidth="1"/>
    <col min="6915" max="6915" width="8.5703125" style="1" customWidth="1"/>
    <col min="6916" max="6917" width="21.140625" style="1" customWidth="1"/>
    <col min="6918" max="7168" width="9.140625" style="1"/>
    <col min="7169" max="7169" width="6.28515625" style="1" customWidth="1"/>
    <col min="7170" max="7170" width="45" style="1" customWidth="1"/>
    <col min="7171" max="7171" width="8.5703125" style="1" customWidth="1"/>
    <col min="7172" max="7173" width="21.140625" style="1" customWidth="1"/>
    <col min="7174" max="7424" width="9.140625" style="1"/>
    <col min="7425" max="7425" width="6.28515625" style="1" customWidth="1"/>
    <col min="7426" max="7426" width="45" style="1" customWidth="1"/>
    <col min="7427" max="7427" width="8.5703125" style="1" customWidth="1"/>
    <col min="7428" max="7429" width="21.140625" style="1" customWidth="1"/>
    <col min="7430" max="7680" width="9.140625" style="1"/>
    <col min="7681" max="7681" width="6.28515625" style="1" customWidth="1"/>
    <col min="7682" max="7682" width="45" style="1" customWidth="1"/>
    <col min="7683" max="7683" width="8.5703125" style="1" customWidth="1"/>
    <col min="7684" max="7685" width="21.140625" style="1" customWidth="1"/>
    <col min="7686" max="7936" width="9.140625" style="1"/>
    <col min="7937" max="7937" width="6.28515625" style="1" customWidth="1"/>
    <col min="7938" max="7938" width="45" style="1" customWidth="1"/>
    <col min="7939" max="7939" width="8.5703125" style="1" customWidth="1"/>
    <col min="7940" max="7941" width="21.140625" style="1" customWidth="1"/>
    <col min="7942" max="8192" width="9.140625" style="1"/>
    <col min="8193" max="8193" width="6.28515625" style="1" customWidth="1"/>
    <col min="8194" max="8194" width="45" style="1" customWidth="1"/>
    <col min="8195" max="8195" width="8.5703125" style="1" customWidth="1"/>
    <col min="8196" max="8197" width="21.140625" style="1" customWidth="1"/>
    <col min="8198" max="8448" width="9.140625" style="1"/>
    <col min="8449" max="8449" width="6.28515625" style="1" customWidth="1"/>
    <col min="8450" max="8450" width="45" style="1" customWidth="1"/>
    <col min="8451" max="8451" width="8.5703125" style="1" customWidth="1"/>
    <col min="8452" max="8453" width="21.140625" style="1" customWidth="1"/>
    <col min="8454" max="8704" width="9.140625" style="1"/>
    <col min="8705" max="8705" width="6.28515625" style="1" customWidth="1"/>
    <col min="8706" max="8706" width="45" style="1" customWidth="1"/>
    <col min="8707" max="8707" width="8.5703125" style="1" customWidth="1"/>
    <col min="8708" max="8709" width="21.140625" style="1" customWidth="1"/>
    <col min="8710" max="8960" width="9.140625" style="1"/>
    <col min="8961" max="8961" width="6.28515625" style="1" customWidth="1"/>
    <col min="8962" max="8962" width="45" style="1" customWidth="1"/>
    <col min="8963" max="8963" width="8.5703125" style="1" customWidth="1"/>
    <col min="8964" max="8965" width="21.140625" style="1" customWidth="1"/>
    <col min="8966" max="9216" width="9.140625" style="1"/>
    <col min="9217" max="9217" width="6.28515625" style="1" customWidth="1"/>
    <col min="9218" max="9218" width="45" style="1" customWidth="1"/>
    <col min="9219" max="9219" width="8.5703125" style="1" customWidth="1"/>
    <col min="9220" max="9221" width="21.140625" style="1" customWidth="1"/>
    <col min="9222" max="9472" width="9.140625" style="1"/>
    <col min="9473" max="9473" width="6.28515625" style="1" customWidth="1"/>
    <col min="9474" max="9474" width="45" style="1" customWidth="1"/>
    <col min="9475" max="9475" width="8.5703125" style="1" customWidth="1"/>
    <col min="9476" max="9477" width="21.140625" style="1" customWidth="1"/>
    <col min="9478" max="9728" width="9.140625" style="1"/>
    <col min="9729" max="9729" width="6.28515625" style="1" customWidth="1"/>
    <col min="9730" max="9730" width="45" style="1" customWidth="1"/>
    <col min="9731" max="9731" width="8.5703125" style="1" customWidth="1"/>
    <col min="9732" max="9733" width="21.140625" style="1" customWidth="1"/>
    <col min="9734" max="9984" width="9.140625" style="1"/>
    <col min="9985" max="9985" width="6.28515625" style="1" customWidth="1"/>
    <col min="9986" max="9986" width="45" style="1" customWidth="1"/>
    <col min="9987" max="9987" width="8.5703125" style="1" customWidth="1"/>
    <col min="9988" max="9989" width="21.140625" style="1" customWidth="1"/>
    <col min="9990" max="10240" width="9.140625" style="1"/>
    <col min="10241" max="10241" width="6.28515625" style="1" customWidth="1"/>
    <col min="10242" max="10242" width="45" style="1" customWidth="1"/>
    <col min="10243" max="10243" width="8.5703125" style="1" customWidth="1"/>
    <col min="10244" max="10245" width="21.140625" style="1" customWidth="1"/>
    <col min="10246" max="10496" width="9.140625" style="1"/>
    <col min="10497" max="10497" width="6.28515625" style="1" customWidth="1"/>
    <col min="10498" max="10498" width="45" style="1" customWidth="1"/>
    <col min="10499" max="10499" width="8.5703125" style="1" customWidth="1"/>
    <col min="10500" max="10501" width="21.140625" style="1" customWidth="1"/>
    <col min="10502" max="10752" width="9.140625" style="1"/>
    <col min="10753" max="10753" width="6.28515625" style="1" customWidth="1"/>
    <col min="10754" max="10754" width="45" style="1" customWidth="1"/>
    <col min="10755" max="10755" width="8.5703125" style="1" customWidth="1"/>
    <col min="10756" max="10757" width="21.140625" style="1" customWidth="1"/>
    <col min="10758" max="11008" width="9.140625" style="1"/>
    <col min="11009" max="11009" width="6.28515625" style="1" customWidth="1"/>
    <col min="11010" max="11010" width="45" style="1" customWidth="1"/>
    <col min="11011" max="11011" width="8.5703125" style="1" customWidth="1"/>
    <col min="11012" max="11013" width="21.140625" style="1" customWidth="1"/>
    <col min="11014" max="11264" width="9.140625" style="1"/>
    <col min="11265" max="11265" width="6.28515625" style="1" customWidth="1"/>
    <col min="11266" max="11266" width="45" style="1" customWidth="1"/>
    <col min="11267" max="11267" width="8.5703125" style="1" customWidth="1"/>
    <col min="11268" max="11269" width="21.140625" style="1" customWidth="1"/>
    <col min="11270" max="11520" width="9.140625" style="1"/>
    <col min="11521" max="11521" width="6.28515625" style="1" customWidth="1"/>
    <col min="11522" max="11522" width="45" style="1" customWidth="1"/>
    <col min="11523" max="11523" width="8.5703125" style="1" customWidth="1"/>
    <col min="11524" max="11525" width="21.140625" style="1" customWidth="1"/>
    <col min="11526" max="11776" width="9.140625" style="1"/>
    <col min="11777" max="11777" width="6.28515625" style="1" customWidth="1"/>
    <col min="11778" max="11778" width="45" style="1" customWidth="1"/>
    <col min="11779" max="11779" width="8.5703125" style="1" customWidth="1"/>
    <col min="11780" max="11781" width="21.140625" style="1" customWidth="1"/>
    <col min="11782" max="12032" width="9.140625" style="1"/>
    <col min="12033" max="12033" width="6.28515625" style="1" customWidth="1"/>
    <col min="12034" max="12034" width="45" style="1" customWidth="1"/>
    <col min="12035" max="12035" width="8.5703125" style="1" customWidth="1"/>
    <col min="12036" max="12037" width="21.140625" style="1" customWidth="1"/>
    <col min="12038" max="12288" width="9.140625" style="1"/>
    <col min="12289" max="12289" width="6.28515625" style="1" customWidth="1"/>
    <col min="12290" max="12290" width="45" style="1" customWidth="1"/>
    <col min="12291" max="12291" width="8.5703125" style="1" customWidth="1"/>
    <col min="12292" max="12293" width="21.140625" style="1" customWidth="1"/>
    <col min="12294" max="12544" width="9.140625" style="1"/>
    <col min="12545" max="12545" width="6.28515625" style="1" customWidth="1"/>
    <col min="12546" max="12546" width="45" style="1" customWidth="1"/>
    <col min="12547" max="12547" width="8.5703125" style="1" customWidth="1"/>
    <col min="12548" max="12549" width="21.140625" style="1" customWidth="1"/>
    <col min="12550" max="12800" width="9.140625" style="1"/>
    <col min="12801" max="12801" width="6.28515625" style="1" customWidth="1"/>
    <col min="12802" max="12802" width="45" style="1" customWidth="1"/>
    <col min="12803" max="12803" width="8.5703125" style="1" customWidth="1"/>
    <col min="12804" max="12805" width="21.140625" style="1" customWidth="1"/>
    <col min="12806" max="13056" width="9.140625" style="1"/>
    <col min="13057" max="13057" width="6.28515625" style="1" customWidth="1"/>
    <col min="13058" max="13058" width="45" style="1" customWidth="1"/>
    <col min="13059" max="13059" width="8.5703125" style="1" customWidth="1"/>
    <col min="13060" max="13061" width="21.140625" style="1" customWidth="1"/>
    <col min="13062" max="13312" width="9.140625" style="1"/>
    <col min="13313" max="13313" width="6.28515625" style="1" customWidth="1"/>
    <col min="13314" max="13314" width="45" style="1" customWidth="1"/>
    <col min="13315" max="13315" width="8.5703125" style="1" customWidth="1"/>
    <col min="13316" max="13317" width="21.140625" style="1" customWidth="1"/>
    <col min="13318" max="13568" width="9.140625" style="1"/>
    <col min="13569" max="13569" width="6.28515625" style="1" customWidth="1"/>
    <col min="13570" max="13570" width="45" style="1" customWidth="1"/>
    <col min="13571" max="13571" width="8.5703125" style="1" customWidth="1"/>
    <col min="13572" max="13573" width="21.140625" style="1" customWidth="1"/>
    <col min="13574" max="13824" width="9.140625" style="1"/>
    <col min="13825" max="13825" width="6.28515625" style="1" customWidth="1"/>
    <col min="13826" max="13826" width="45" style="1" customWidth="1"/>
    <col min="13827" max="13827" width="8.5703125" style="1" customWidth="1"/>
    <col min="13828" max="13829" width="21.140625" style="1" customWidth="1"/>
    <col min="13830" max="14080" width="9.140625" style="1"/>
    <col min="14081" max="14081" width="6.28515625" style="1" customWidth="1"/>
    <col min="14082" max="14082" width="45" style="1" customWidth="1"/>
    <col min="14083" max="14083" width="8.5703125" style="1" customWidth="1"/>
    <col min="14084" max="14085" width="21.140625" style="1" customWidth="1"/>
    <col min="14086" max="14336" width="9.140625" style="1"/>
    <col min="14337" max="14337" width="6.28515625" style="1" customWidth="1"/>
    <col min="14338" max="14338" width="45" style="1" customWidth="1"/>
    <col min="14339" max="14339" width="8.5703125" style="1" customWidth="1"/>
    <col min="14340" max="14341" width="21.140625" style="1" customWidth="1"/>
    <col min="14342" max="14592" width="9.140625" style="1"/>
    <col min="14593" max="14593" width="6.28515625" style="1" customWidth="1"/>
    <col min="14594" max="14594" width="45" style="1" customWidth="1"/>
    <col min="14595" max="14595" width="8.5703125" style="1" customWidth="1"/>
    <col min="14596" max="14597" width="21.140625" style="1" customWidth="1"/>
    <col min="14598" max="14848" width="9.140625" style="1"/>
    <col min="14849" max="14849" width="6.28515625" style="1" customWidth="1"/>
    <col min="14850" max="14850" width="45" style="1" customWidth="1"/>
    <col min="14851" max="14851" width="8.5703125" style="1" customWidth="1"/>
    <col min="14852" max="14853" width="21.140625" style="1" customWidth="1"/>
    <col min="14854" max="15104" width="9.140625" style="1"/>
    <col min="15105" max="15105" width="6.28515625" style="1" customWidth="1"/>
    <col min="15106" max="15106" width="45" style="1" customWidth="1"/>
    <col min="15107" max="15107" width="8.5703125" style="1" customWidth="1"/>
    <col min="15108" max="15109" width="21.140625" style="1" customWidth="1"/>
    <col min="15110" max="15360" width="9.140625" style="1"/>
    <col min="15361" max="15361" width="6.28515625" style="1" customWidth="1"/>
    <col min="15362" max="15362" width="45" style="1" customWidth="1"/>
    <col min="15363" max="15363" width="8.5703125" style="1" customWidth="1"/>
    <col min="15364" max="15365" width="21.140625" style="1" customWidth="1"/>
    <col min="15366" max="15616" width="9.140625" style="1"/>
    <col min="15617" max="15617" width="6.28515625" style="1" customWidth="1"/>
    <col min="15618" max="15618" width="45" style="1" customWidth="1"/>
    <col min="15619" max="15619" width="8.5703125" style="1" customWidth="1"/>
    <col min="15620" max="15621" width="21.140625" style="1" customWidth="1"/>
    <col min="15622" max="15872" width="9.140625" style="1"/>
    <col min="15873" max="15873" width="6.28515625" style="1" customWidth="1"/>
    <col min="15874" max="15874" width="45" style="1" customWidth="1"/>
    <col min="15875" max="15875" width="8.5703125" style="1" customWidth="1"/>
    <col min="15876" max="15877" width="21.140625" style="1" customWidth="1"/>
    <col min="15878" max="16128" width="9.140625" style="1"/>
    <col min="16129" max="16129" width="6.28515625" style="1" customWidth="1"/>
    <col min="16130" max="16130" width="45" style="1" customWidth="1"/>
    <col min="16131" max="16131" width="8.5703125" style="1" customWidth="1"/>
    <col min="16132" max="16133" width="21.140625" style="1" customWidth="1"/>
    <col min="16134" max="16384" width="9.140625" style="1"/>
  </cols>
  <sheetData>
    <row r="1" spans="1:5" ht="28.5" customHeight="1" x14ac:dyDescent="0.25">
      <c r="A1" s="412"/>
      <c r="B1" s="412"/>
      <c r="C1" s="348" t="s">
        <v>1006</v>
      </c>
      <c r="D1" s="348"/>
      <c r="E1" s="348"/>
    </row>
    <row r="2" spans="1:5" ht="12" customHeight="1" x14ac:dyDescent="0.25">
      <c r="A2" s="413" t="s">
        <v>1007</v>
      </c>
      <c r="B2" s="413"/>
      <c r="C2" s="413"/>
      <c r="D2" s="413"/>
      <c r="E2" s="413"/>
    </row>
    <row r="3" spans="1:5" ht="11.25" customHeight="1" x14ac:dyDescent="0.25">
      <c r="A3" s="413" t="s">
        <v>1008</v>
      </c>
      <c r="B3" s="413"/>
      <c r="C3" s="413"/>
      <c r="D3" s="413"/>
      <c r="E3" s="413"/>
    </row>
    <row r="4" spans="1:5" ht="29.25" customHeight="1" x14ac:dyDescent="0.25">
      <c r="A4" s="414" t="s">
        <v>1009</v>
      </c>
      <c r="B4" s="414"/>
      <c r="C4" s="414"/>
      <c r="D4" s="414"/>
      <c r="E4" s="414"/>
    </row>
    <row r="5" spans="1:5" ht="12" customHeight="1" x14ac:dyDescent="0.25">
      <c r="A5" s="415" t="s">
        <v>145</v>
      </c>
      <c r="B5" s="415"/>
      <c r="C5" s="415"/>
      <c r="D5" s="415"/>
      <c r="E5" s="415"/>
    </row>
    <row r="6" spans="1:5" ht="6.75" customHeight="1" x14ac:dyDescent="0.25">
      <c r="A6" s="188"/>
      <c r="B6" s="410"/>
      <c r="C6" s="410"/>
      <c r="D6" s="410"/>
      <c r="E6" s="410"/>
    </row>
    <row r="7" spans="1:5" ht="12.75" customHeight="1" x14ac:dyDescent="0.25">
      <c r="A7" s="189" t="s">
        <v>5</v>
      </c>
      <c r="B7" s="248" t="s">
        <v>543</v>
      </c>
      <c r="C7" s="408" t="s">
        <v>7</v>
      </c>
      <c r="D7" s="408"/>
      <c r="E7" s="408"/>
    </row>
    <row r="8" spans="1:5" ht="12.75" customHeight="1" x14ac:dyDescent="0.25">
      <c r="A8" s="188"/>
      <c r="B8" s="249" t="s">
        <v>8</v>
      </c>
      <c r="C8" s="407" t="s">
        <v>9</v>
      </c>
      <c r="D8" s="407"/>
      <c r="E8" s="407"/>
    </row>
    <row r="9" spans="1:5" ht="12.75" customHeight="1" x14ac:dyDescent="0.25">
      <c r="A9" s="189" t="s">
        <v>10</v>
      </c>
      <c r="B9" s="248" t="s">
        <v>146</v>
      </c>
      <c r="C9" s="408" t="s">
        <v>12</v>
      </c>
      <c r="D9" s="408"/>
      <c r="E9" s="408"/>
    </row>
    <row r="10" spans="1:5" ht="12.75" customHeight="1" x14ac:dyDescent="0.25">
      <c r="A10" s="188"/>
      <c r="B10" s="249" t="s">
        <v>13</v>
      </c>
      <c r="C10" s="411" t="s">
        <v>14</v>
      </c>
      <c r="D10" s="411"/>
      <c r="E10" s="411"/>
    </row>
    <row r="11" spans="1:5" ht="12.75" customHeight="1" x14ac:dyDescent="0.25">
      <c r="A11" s="189" t="s">
        <v>15</v>
      </c>
      <c r="B11" s="248" t="s">
        <v>16</v>
      </c>
      <c r="C11" s="408" t="s">
        <v>17</v>
      </c>
      <c r="D11" s="408"/>
      <c r="E11" s="408"/>
    </row>
    <row r="12" spans="1:5" ht="12.75" customHeight="1" x14ac:dyDescent="0.25">
      <c r="A12" s="188"/>
      <c r="B12" s="249" t="s">
        <v>18</v>
      </c>
      <c r="C12" s="407" t="s">
        <v>19</v>
      </c>
      <c r="D12" s="407"/>
      <c r="E12" s="407"/>
    </row>
    <row r="13" spans="1:5" ht="12.75" customHeight="1" x14ac:dyDescent="0.25">
      <c r="A13" s="189" t="s">
        <v>20</v>
      </c>
      <c r="B13" s="248" t="s">
        <v>1010</v>
      </c>
      <c r="C13" s="408" t="s">
        <v>1011</v>
      </c>
      <c r="D13" s="408"/>
      <c r="E13" s="188"/>
    </row>
    <row r="14" spans="1:5" ht="12.75" customHeight="1" x14ac:dyDescent="0.25">
      <c r="A14" s="188"/>
      <c r="B14" s="249" t="s">
        <v>1012</v>
      </c>
      <c r="C14" s="407" t="s">
        <v>1011</v>
      </c>
      <c r="D14" s="407"/>
      <c r="E14" s="188"/>
    </row>
    <row r="15" spans="1:5" ht="12.75" customHeight="1" x14ac:dyDescent="0.25">
      <c r="A15" s="189" t="s">
        <v>44</v>
      </c>
      <c r="B15" s="248" t="s">
        <v>21</v>
      </c>
      <c r="C15" s="408" t="s">
        <v>1013</v>
      </c>
      <c r="D15" s="408"/>
      <c r="E15" s="408"/>
    </row>
    <row r="16" spans="1:5" ht="12.75" customHeight="1" x14ac:dyDescent="0.25">
      <c r="A16" s="188"/>
      <c r="B16" s="249" t="s">
        <v>22</v>
      </c>
      <c r="C16" s="407" t="s">
        <v>1014</v>
      </c>
      <c r="D16" s="407"/>
      <c r="E16" s="407"/>
    </row>
    <row r="17" spans="1:5" ht="12.75" customHeight="1" x14ac:dyDescent="0.25">
      <c r="A17" s="6"/>
      <c r="B17" s="6"/>
      <c r="C17" s="409" t="s">
        <v>1015</v>
      </c>
      <c r="D17" s="409"/>
      <c r="E17" s="409"/>
    </row>
    <row r="18" spans="1:5" ht="30.75" customHeight="1" x14ac:dyDescent="0.25">
      <c r="A18" s="7" t="s">
        <v>1016</v>
      </c>
      <c r="B18" s="8" t="s">
        <v>1017</v>
      </c>
      <c r="C18" s="8" t="s">
        <v>1018</v>
      </c>
      <c r="D18" s="8" t="s">
        <v>1019</v>
      </c>
      <c r="E18" s="9" t="s">
        <v>1020</v>
      </c>
    </row>
    <row r="19" spans="1:5" x14ac:dyDescent="0.25">
      <c r="A19" s="250" t="s">
        <v>946</v>
      </c>
      <c r="B19" s="251" t="s">
        <v>1021</v>
      </c>
      <c r="C19" s="252" t="s">
        <v>1022</v>
      </c>
      <c r="D19" s="253">
        <v>0</v>
      </c>
      <c r="E19" s="254">
        <v>0</v>
      </c>
    </row>
    <row r="20" spans="1:5" x14ac:dyDescent="0.25">
      <c r="A20" s="250" t="s">
        <v>1023</v>
      </c>
      <c r="B20" s="251" t="s">
        <v>1024</v>
      </c>
      <c r="C20" s="252" t="s">
        <v>1025</v>
      </c>
      <c r="D20" s="253">
        <v>0</v>
      </c>
      <c r="E20" s="254">
        <v>0</v>
      </c>
    </row>
    <row r="21" spans="1:5" x14ac:dyDescent="0.25">
      <c r="A21" s="255"/>
      <c r="B21" s="256" t="s">
        <v>1026</v>
      </c>
      <c r="C21" s="257" t="s">
        <v>1027</v>
      </c>
      <c r="D21" s="258">
        <v>2244878995971</v>
      </c>
      <c r="E21" s="259">
        <v>1853924646350</v>
      </c>
    </row>
    <row r="22" spans="1:5" x14ac:dyDescent="0.25">
      <c r="A22" s="255"/>
      <c r="B22" s="256" t="s">
        <v>1028</v>
      </c>
      <c r="C22" s="257" t="s">
        <v>1029</v>
      </c>
      <c r="D22" s="258">
        <v>1333855612</v>
      </c>
      <c r="E22" s="259">
        <v>1272425975</v>
      </c>
    </row>
    <row r="23" spans="1:5" x14ac:dyDescent="0.25">
      <c r="A23" s="255"/>
      <c r="B23" s="256" t="s">
        <v>1030</v>
      </c>
      <c r="C23" s="257" t="s">
        <v>1031</v>
      </c>
      <c r="D23" s="260">
        <v>13338.55</v>
      </c>
      <c r="E23" s="261">
        <v>12724.25</v>
      </c>
    </row>
    <row r="24" spans="1:5" x14ac:dyDescent="0.25">
      <c r="A24" s="250" t="s">
        <v>1032</v>
      </c>
      <c r="B24" s="251" t="s">
        <v>1033</v>
      </c>
      <c r="C24" s="252" t="s">
        <v>1034</v>
      </c>
      <c r="D24" s="253">
        <v>0</v>
      </c>
      <c r="E24" s="254">
        <v>0</v>
      </c>
    </row>
    <row r="25" spans="1:5" x14ac:dyDescent="0.25">
      <c r="A25" s="255"/>
      <c r="B25" s="256" t="s">
        <v>1026</v>
      </c>
      <c r="C25" s="257" t="s">
        <v>1035</v>
      </c>
      <c r="D25" s="258">
        <v>2404888002923</v>
      </c>
      <c r="E25" s="259">
        <v>2244878995971</v>
      </c>
    </row>
    <row r="26" spans="1:5" x14ac:dyDescent="0.25">
      <c r="A26" s="255"/>
      <c r="B26" s="256" t="s">
        <v>1028</v>
      </c>
      <c r="C26" s="257" t="s">
        <v>1036</v>
      </c>
      <c r="D26" s="258">
        <v>1364088487</v>
      </c>
      <c r="E26" s="259">
        <v>1333855612</v>
      </c>
    </row>
    <row r="27" spans="1:5" x14ac:dyDescent="0.25">
      <c r="A27" s="255"/>
      <c r="B27" s="256" t="s">
        <v>1030</v>
      </c>
      <c r="C27" s="257" t="s">
        <v>1037</v>
      </c>
      <c r="D27" s="260">
        <v>13640.88</v>
      </c>
      <c r="E27" s="261">
        <v>13338.55</v>
      </c>
    </row>
    <row r="28" spans="1:5" ht="42" x14ac:dyDescent="0.25">
      <c r="A28" s="250" t="s">
        <v>1038</v>
      </c>
      <c r="B28" s="251" t="s">
        <v>1039</v>
      </c>
      <c r="C28" s="252" t="s">
        <v>1040</v>
      </c>
      <c r="D28" s="253">
        <v>0</v>
      </c>
      <c r="E28" s="254">
        <v>0</v>
      </c>
    </row>
    <row r="29" spans="1:5" ht="31.5" x14ac:dyDescent="0.25">
      <c r="A29" s="255"/>
      <c r="B29" s="256" t="s">
        <v>1041</v>
      </c>
      <c r="C29" s="257" t="s">
        <v>1042</v>
      </c>
      <c r="D29" s="260">
        <v>-309.20999999999998</v>
      </c>
      <c r="E29" s="261">
        <v>-1129.1199999999999</v>
      </c>
    </row>
    <row r="30" spans="1:5" ht="42" x14ac:dyDescent="0.25">
      <c r="A30" s="255"/>
      <c r="B30" s="256" t="s">
        <v>1043</v>
      </c>
      <c r="C30" s="257" t="s">
        <v>1044</v>
      </c>
      <c r="D30" s="260">
        <v>611.53</v>
      </c>
      <c r="E30" s="261">
        <v>1743.42</v>
      </c>
    </row>
    <row r="31" spans="1:5" ht="42" x14ac:dyDescent="0.25">
      <c r="A31" s="262"/>
      <c r="B31" s="263" t="s">
        <v>274</v>
      </c>
      <c r="C31" s="264" t="s">
        <v>1045</v>
      </c>
      <c r="D31" s="265">
        <v>0</v>
      </c>
      <c r="E31" s="266">
        <v>0</v>
      </c>
    </row>
    <row r="32" spans="1:5" ht="31.5" x14ac:dyDescent="0.25">
      <c r="A32" s="262"/>
      <c r="B32" s="263" t="s">
        <v>1046</v>
      </c>
      <c r="C32" s="264" t="s">
        <v>1047</v>
      </c>
      <c r="D32" s="267">
        <v>611.53</v>
      </c>
      <c r="E32" s="268">
        <v>1743.42</v>
      </c>
    </row>
    <row r="33" spans="1:5" ht="31.5" x14ac:dyDescent="0.25">
      <c r="A33" s="250" t="s">
        <v>1048</v>
      </c>
      <c r="B33" s="251" t="s">
        <v>1049</v>
      </c>
      <c r="C33" s="252" t="s">
        <v>1050</v>
      </c>
      <c r="D33" s="253">
        <v>0</v>
      </c>
      <c r="E33" s="254">
        <v>0</v>
      </c>
    </row>
    <row r="34" spans="1:5" x14ac:dyDescent="0.25">
      <c r="A34" s="262"/>
      <c r="B34" s="263" t="s">
        <v>1051</v>
      </c>
      <c r="C34" s="264" t="s">
        <v>1052</v>
      </c>
      <c r="D34" s="265">
        <v>2524097638168</v>
      </c>
      <c r="E34" s="266">
        <v>2244878995971</v>
      </c>
    </row>
    <row r="35" spans="1:5" x14ac:dyDescent="0.25">
      <c r="A35" s="262"/>
      <c r="B35" s="263" t="s">
        <v>1053</v>
      </c>
      <c r="C35" s="264" t="s">
        <v>1054</v>
      </c>
      <c r="D35" s="265">
        <v>109880505679</v>
      </c>
      <c r="E35" s="266">
        <v>109880505679</v>
      </c>
    </row>
    <row r="36" spans="1:5" ht="42" x14ac:dyDescent="0.25">
      <c r="A36" s="250" t="s">
        <v>966</v>
      </c>
      <c r="B36" s="251" t="s">
        <v>1055</v>
      </c>
      <c r="C36" s="252" t="s">
        <v>1056</v>
      </c>
      <c r="D36" s="253">
        <v>0</v>
      </c>
      <c r="E36" s="254">
        <v>0</v>
      </c>
    </row>
    <row r="37" spans="1:5" x14ac:dyDescent="0.25">
      <c r="A37" s="255" t="s">
        <v>1057</v>
      </c>
      <c r="B37" s="256" t="s">
        <v>1024</v>
      </c>
      <c r="C37" s="257" t="s">
        <v>1058</v>
      </c>
      <c r="D37" s="260">
        <v>13370</v>
      </c>
      <c r="E37" s="261">
        <v>12750</v>
      </c>
    </row>
    <row r="38" spans="1:5" x14ac:dyDescent="0.25">
      <c r="A38" s="255" t="s">
        <v>1059</v>
      </c>
      <c r="B38" s="256" t="s">
        <v>1060</v>
      </c>
      <c r="C38" s="257" t="s">
        <v>1061</v>
      </c>
      <c r="D38" s="260">
        <v>13920</v>
      </c>
      <c r="E38" s="261">
        <v>13370</v>
      </c>
    </row>
    <row r="39" spans="1:5" ht="21" x14ac:dyDescent="0.25">
      <c r="A39" s="255" t="s">
        <v>1062</v>
      </c>
      <c r="B39" s="256" t="s">
        <v>1063</v>
      </c>
      <c r="C39" s="257" t="s">
        <v>1064</v>
      </c>
      <c r="D39" s="260">
        <v>550</v>
      </c>
      <c r="E39" s="261">
        <v>620</v>
      </c>
    </row>
    <row r="40" spans="1:5" ht="42" x14ac:dyDescent="0.25">
      <c r="A40" s="255" t="s">
        <v>1065</v>
      </c>
      <c r="B40" s="256" t="s">
        <v>1066</v>
      </c>
      <c r="C40" s="257" t="s">
        <v>1067</v>
      </c>
      <c r="D40" s="260">
        <v>0</v>
      </c>
      <c r="E40" s="261">
        <v>0</v>
      </c>
    </row>
    <row r="41" spans="1:5" x14ac:dyDescent="0.25">
      <c r="A41" s="262"/>
      <c r="B41" s="263" t="s">
        <v>1068</v>
      </c>
      <c r="C41" s="264" t="s">
        <v>1069</v>
      </c>
      <c r="D41" s="267">
        <v>279.12</v>
      </c>
      <c r="E41" s="268">
        <v>31.45</v>
      </c>
    </row>
    <row r="42" spans="1:5" ht="21" x14ac:dyDescent="0.25">
      <c r="A42" s="262"/>
      <c r="B42" s="263" t="s">
        <v>1070</v>
      </c>
      <c r="C42" s="264" t="s">
        <v>1071</v>
      </c>
      <c r="D42" s="269">
        <v>2.0500000000000001E-2</v>
      </c>
      <c r="E42" s="270">
        <v>2.3999999999999998E-3</v>
      </c>
    </row>
    <row r="43" spans="1:5" ht="31.5" x14ac:dyDescent="0.25">
      <c r="A43" s="255" t="s">
        <v>1072</v>
      </c>
      <c r="B43" s="256" t="s">
        <v>1073</v>
      </c>
      <c r="C43" s="257" t="s">
        <v>1074</v>
      </c>
      <c r="D43" s="260">
        <v>0</v>
      </c>
      <c r="E43" s="261">
        <v>0</v>
      </c>
    </row>
    <row r="44" spans="1:5" x14ac:dyDescent="0.25">
      <c r="A44" s="262"/>
      <c r="B44" s="263" t="s">
        <v>1075</v>
      </c>
      <c r="C44" s="264" t="s">
        <v>1076</v>
      </c>
      <c r="D44" s="267">
        <v>14400</v>
      </c>
      <c r="E44" s="268">
        <v>13430</v>
      </c>
    </row>
    <row r="45" spans="1:5" x14ac:dyDescent="0.25">
      <c r="A45" s="271"/>
      <c r="B45" s="272" t="s">
        <v>1077</v>
      </c>
      <c r="C45" s="273" t="s">
        <v>1078</v>
      </c>
      <c r="D45" s="274">
        <v>10500</v>
      </c>
      <c r="E45" s="275">
        <v>10500</v>
      </c>
    </row>
    <row r="46" spans="1:5" ht="6" customHeight="1" x14ac:dyDescent="0.25">
      <c r="A46" s="347"/>
      <c r="B46" s="347"/>
      <c r="C46" s="347"/>
      <c r="D46" s="347"/>
      <c r="E46" s="347"/>
    </row>
    <row r="47" spans="1:5" ht="12.75" customHeight="1" x14ac:dyDescent="0.25">
      <c r="A47" s="348" t="s">
        <v>1079</v>
      </c>
      <c r="B47" s="348"/>
      <c r="C47" s="348" t="s">
        <v>1080</v>
      </c>
      <c r="D47" s="348"/>
      <c r="E47" s="348"/>
    </row>
    <row r="48" spans="1:5" ht="12.75" customHeight="1" x14ac:dyDescent="0.25">
      <c r="A48" s="406" t="s">
        <v>290</v>
      </c>
      <c r="B48" s="406"/>
      <c r="C48" s="406" t="s">
        <v>291</v>
      </c>
      <c r="D48" s="406"/>
      <c r="E48" s="406"/>
    </row>
    <row r="49" spans="1:5" ht="15.75" customHeight="1" x14ac:dyDescent="0.25">
      <c r="A49" s="347"/>
      <c r="B49" s="347"/>
      <c r="C49" s="347"/>
      <c r="D49" s="347"/>
      <c r="E49" s="347"/>
    </row>
    <row r="50" spans="1:5" ht="54" customHeight="1" x14ac:dyDescent="0.25">
      <c r="A50" s="347"/>
      <c r="B50" s="347"/>
      <c r="C50" s="347"/>
      <c r="D50" s="347"/>
      <c r="E50" s="347"/>
    </row>
    <row r="51" spans="1:5" ht="12.75" customHeight="1" x14ac:dyDescent="0.25">
      <c r="A51" s="348" t="s">
        <v>292</v>
      </c>
      <c r="B51" s="348"/>
      <c r="C51" s="348" t="s">
        <v>293</v>
      </c>
      <c r="D51" s="348"/>
      <c r="E51" s="348"/>
    </row>
    <row r="52" spans="1:5" ht="12.75" customHeight="1" x14ac:dyDescent="0.25">
      <c r="A52" s="405" t="s">
        <v>294</v>
      </c>
      <c r="B52" s="405"/>
      <c r="C52" s="405" t="s">
        <v>295</v>
      </c>
      <c r="D52" s="405"/>
      <c r="E52" s="405"/>
    </row>
    <row r="53" spans="1:5" ht="12.75" customHeight="1" x14ac:dyDescent="0.25">
      <c r="A53" s="405" t="s">
        <v>296</v>
      </c>
      <c r="B53" s="405"/>
      <c r="C53" s="405" t="s">
        <v>297</v>
      </c>
      <c r="D53" s="405"/>
      <c r="E53" s="405"/>
    </row>
  </sheetData>
  <mergeCells count="34">
    <mergeCell ref="A5:E5"/>
    <mergeCell ref="A1:B1"/>
    <mergeCell ref="C1:E1"/>
    <mergeCell ref="A2:E2"/>
    <mergeCell ref="A3:E3"/>
    <mergeCell ref="A4:E4"/>
    <mergeCell ref="C17:E17"/>
    <mergeCell ref="B6:E6"/>
    <mergeCell ref="C7:E7"/>
    <mergeCell ref="C8:E8"/>
    <mergeCell ref="C9:E9"/>
    <mergeCell ref="C10:E10"/>
    <mergeCell ref="C11:E11"/>
    <mergeCell ref="C12:E12"/>
    <mergeCell ref="C13:D13"/>
    <mergeCell ref="C14:D14"/>
    <mergeCell ref="C15:E15"/>
    <mergeCell ref="C16:E16"/>
    <mergeCell ref="A46:B46"/>
    <mergeCell ref="C46:E46"/>
    <mergeCell ref="A47:B47"/>
    <mergeCell ref="C47:E47"/>
    <mergeCell ref="A48:B48"/>
    <mergeCell ref="C48:E48"/>
    <mergeCell ref="A52:B52"/>
    <mergeCell ref="C52:E52"/>
    <mergeCell ref="A53:B53"/>
    <mergeCell ref="C53:E53"/>
    <mergeCell ref="A49:B49"/>
    <mergeCell ref="C49:E49"/>
    <mergeCell ref="A50:B50"/>
    <mergeCell ref="C50:E50"/>
    <mergeCell ref="A51:B51"/>
    <mergeCell ref="C51:E51"/>
  </mergeCells>
  <printOptions horizontalCentered="1"/>
  <pageMargins left="0" right="0" top="0.59" bottom="0.59" header="0.5" footer="0.5"/>
  <pageSetup paperSize="9" orientation="portrait"/>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XOXqgKnUTpTs0iqoaEvHyiaFfy8=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PHiazaQEx22MCNt4yaSfWQR2RiE=</DigestValue>
    </Reference>
  </SignedInfo>
  <SignatureValue>E6kVwdQ3V2VhDQdjr45AEQOuFiAfNMq9nQmommbwrUypTJFNSQ/SWCIgOBsKzOFjrxiZT1BN5foI
FzROpdYCANj+B1rew0KM81dHCaogomHMD/9esIY0vQ/Myt7tuWlROBlC28u23NKJyD9xc8bNW2KM
5HUnZPPMLn5hhL7cW/Y=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4.bin?ContentType=application/vnd.openxmlformats-officedocument.spreadsheetml.printerSettings">
        <DigestMethod Algorithm="http://www.w3.org/2000/09/xmldsig#sha1"/>
        <DigestValue>2XssEK7xc9nvmQbHdtpb/QCnwy8=</DigestValue>
      </Reference>
      <Reference URI="/xl/worksheets/sheet6.xml?ContentType=application/vnd.openxmlformats-officedocument.spreadsheetml.worksheet+xml">
        <DigestMethod Algorithm="http://www.w3.org/2000/09/xmldsig#sha1"/>
        <DigestValue>3Dc3fZI8dYkyBVG3Nh7YhC7sSKw=</DigestValue>
      </Reference>
      <Reference URI="/xl/sharedStrings.xml?ContentType=application/vnd.openxmlformats-officedocument.spreadsheetml.sharedStrings+xml">
        <DigestMethod Algorithm="http://www.w3.org/2000/09/xmldsig#sha1"/>
        <DigestValue>1zDyxIB2fmsKwPDp5si+16s9Fn0=</DigestValue>
      </Reference>
      <Reference URI="/xl/drawings/drawing6.xml?ContentType=application/vnd.openxmlformats-officedocument.drawing+xml">
        <DigestMethod Algorithm="http://www.w3.org/2000/09/xmldsig#sha1"/>
        <DigestValue>kwJrWlso4Dm93EVobBZFDnnd4lc=</DigestValue>
      </Reference>
      <Reference URI="/xl/worksheets/sheet5.xml?ContentType=application/vnd.openxmlformats-officedocument.spreadsheetml.worksheet+xml">
        <DigestMethod Algorithm="http://www.w3.org/2000/09/xmldsig#sha1"/>
        <DigestValue>fIDLx9fCtGyLCnQfgV7y2LMpqXM=</DigestValue>
      </Reference>
      <Reference URI="/xl/drawings/drawing5.xml?ContentType=application/vnd.openxmlformats-officedocument.drawing+xml">
        <DigestMethod Algorithm="http://www.w3.org/2000/09/xmldsig#sha1"/>
        <DigestValue>wtBaUlqVk/2H+uVnxeujkF8RTpU=</DigestValue>
      </Reference>
      <Reference URI="/xl/worksheets/sheet10.xml?ContentType=application/vnd.openxmlformats-officedocument.spreadsheetml.worksheet+xml">
        <DigestMethod Algorithm="http://www.w3.org/2000/09/xmldsig#sha1"/>
        <DigestValue>Hnps6/WwdHGW9KX9TEZrTDC4Dos=</DigestValue>
      </Reference>
      <Reference URI="/xl/printerSettings/printerSettings1.bin?ContentType=application/vnd.openxmlformats-officedocument.spreadsheetml.printerSettings">
        <DigestMethod Algorithm="http://www.w3.org/2000/09/xmldsig#sha1"/>
        <DigestValue>2XssEK7xc9nvmQbHdtpb/QCnwy8=</DigestValue>
      </Reference>
      <Reference URI="/xl/media/image1.jpeg?ContentType=image/jpeg">
        <DigestMethod Algorithm="http://www.w3.org/2000/09/xmldsig#sha1"/>
        <DigestValue>7BdRZte+R/KxsBppojn2DSpDvz8=</DigestValue>
      </Reference>
      <Reference URI="/xl/drawings/drawing7.xml?ContentType=application/vnd.openxmlformats-officedocument.drawing+xml">
        <DigestMethod Algorithm="http://www.w3.org/2000/09/xmldsig#sha1"/>
        <DigestValue>z478doPYQr5QWiK45erxxTSkY9M=</DigestValue>
      </Reference>
      <Reference URI="/xl/worksheets/sheet8.xml?ContentType=application/vnd.openxmlformats-officedocument.spreadsheetml.worksheet+xml">
        <DigestMethod Algorithm="http://www.w3.org/2000/09/xmldsig#sha1"/>
        <DigestValue>94Q6Rf1DxUIGmQOdbB5/YdlFJAY=</DigestValue>
      </Reference>
      <Reference URI="/xl/worksheets/sheet9.xml?ContentType=application/vnd.openxmlformats-officedocument.spreadsheetml.worksheet+xml">
        <DigestMethod Algorithm="http://www.w3.org/2000/09/xmldsig#sha1"/>
        <DigestValue>enxrFfvWEKIGnOQg95k/hA8mryY=</DigestValue>
      </Reference>
      <Reference URI="/xl/worksheets/sheet7.xml?ContentType=application/vnd.openxmlformats-officedocument.spreadsheetml.worksheet+xml">
        <DigestMethod Algorithm="http://www.w3.org/2000/09/xmldsig#sha1"/>
        <DigestValue>H0xlcVBKgIcTNclwxyj4wXV86JM=</DigestValue>
      </Reference>
      <Reference URI="/xl/printerSettings/printerSettings5.bin?ContentType=application/vnd.openxmlformats-officedocument.spreadsheetml.printerSettings">
        <DigestMethod Algorithm="http://www.w3.org/2000/09/xmldsig#sha1"/>
        <DigestValue>2XssEK7xc9nvmQbHdtpb/QCnwy8=</DigestValue>
      </Reference>
      <Reference URI="/xl/printerSettings/printerSettings6.bin?ContentType=application/vnd.openxmlformats-officedocument.spreadsheetml.printerSettings">
        <DigestMethod Algorithm="http://www.w3.org/2000/09/xmldsig#sha1"/>
        <DigestValue>t7H7xnYMhyEr/ECfemDs4qKttnI=</DigestValue>
      </Reference>
      <Reference URI="/xl/calcChain.xml?ContentType=application/vnd.openxmlformats-officedocument.spreadsheetml.calcChain+xml">
        <DigestMethod Algorithm="http://www.w3.org/2000/09/xmldsig#sha1"/>
        <DigestValue>Kh21hsqATL8waYH7SAGXH3T3Uuw=</DigestValue>
      </Reference>
      <Reference URI="/xl/printerSettings/printerSettings7.bin?ContentType=application/vnd.openxmlformats-officedocument.spreadsheetml.printerSettings">
        <DigestMethod Algorithm="http://www.w3.org/2000/09/xmldsig#sha1"/>
        <DigestValue>2XssEK7xc9nvmQbHdtpb/QCnwy8=</DigestValue>
      </Reference>
      <Reference URI="/xl/printerSettings/printerSettings8.bin?ContentType=application/vnd.openxmlformats-officedocument.spreadsheetml.printerSettings">
        <DigestMethod Algorithm="http://www.w3.org/2000/09/xmldsig#sha1"/>
        <DigestValue>2XssEK7xc9nvmQbHdtpb/QCnwy8=</DigestValue>
      </Reference>
      <Reference URI="/xl/printerSettings/printerSettings2.bin?ContentType=application/vnd.openxmlformats-officedocument.spreadsheetml.printerSettings">
        <DigestMethod Algorithm="http://www.w3.org/2000/09/xmldsig#sha1"/>
        <DigestValue>2XssEK7xc9nvmQbHdtpb/QCnwy8=</DigestValue>
      </Reference>
      <Reference URI="/xl/printerSettings/printerSettings3.bin?ContentType=application/vnd.openxmlformats-officedocument.spreadsheetml.printerSettings">
        <DigestMethod Algorithm="http://www.w3.org/2000/09/xmldsig#sha1"/>
        <DigestValue>2XssEK7xc9nvmQbHdtpb/QCnwy8=</DigestValue>
      </Reference>
      <Reference URI="/xl/printerSettings/printerSettings9.bin?ContentType=application/vnd.openxmlformats-officedocument.spreadsheetml.printerSettings">
        <DigestMethod Algorithm="http://www.w3.org/2000/09/xmldsig#sha1"/>
        <DigestValue>2XssEK7xc9nvmQbHdtpb/QCnwy8=</DigestValue>
      </Reference>
      <Reference URI="/xl/drawings/drawing2.xml?ContentType=application/vnd.openxmlformats-officedocument.drawing+xml">
        <DigestMethod Algorithm="http://www.w3.org/2000/09/xmldsig#sha1"/>
        <DigestValue>z478doPYQr5QWiK45erxxTSkY9M=</DigestValue>
      </Reference>
      <Reference URI="/xl/drawings/drawing4.xml?ContentType=application/vnd.openxmlformats-officedocument.drawing+xml">
        <DigestMethod Algorithm="http://www.w3.org/2000/09/xmldsig#sha1"/>
        <DigestValue>z478doPYQr5QWiK45erxxTSkY9M=</DigestValue>
      </Reference>
      <Reference URI="/xl/drawings/drawing8.xml?ContentType=application/vnd.openxmlformats-officedocument.drawing+xml">
        <DigestMethod Algorithm="http://www.w3.org/2000/09/xmldsig#sha1"/>
        <DigestValue>/c/zMlddX3dfWvrnfUxofz+V28Y=</DigestValue>
      </Reference>
      <Reference URI="/xl/drawings/drawing1.xml?ContentType=application/vnd.openxmlformats-officedocument.drawing+xml">
        <DigestMethod Algorithm="http://www.w3.org/2000/09/xmldsig#sha1"/>
        <DigestValue>z478doPYQr5QWiK45erxxTSkY9M=</DigestValue>
      </Reference>
      <Reference URI="/xl/worksheets/sheet3.xml?ContentType=application/vnd.openxmlformats-officedocument.spreadsheetml.worksheet+xml">
        <DigestMethod Algorithm="http://www.w3.org/2000/09/xmldsig#sha1"/>
        <DigestValue>7pug+xbOcInp9zcHimjMcv09qxE=</DigestValue>
      </Reference>
      <Reference URI="/xl/media/image2.jpeg?ContentType=image/jpeg">
        <DigestMethod Algorithm="http://www.w3.org/2000/09/xmldsig#sha1"/>
        <DigestValue>tVKnKkPWnEb3wf0nzqSUtJXJxWs=</DigestValue>
      </Reference>
      <Reference URI="/xl/drawings/drawing9.xml?ContentType=application/vnd.openxmlformats-officedocument.drawing+xml">
        <DigestMethod Algorithm="http://www.w3.org/2000/09/xmldsig#sha1"/>
        <DigestValue>6tALcUYLaPPJhiTdmH+HY94hDu8=</DigestValue>
      </Reference>
      <Reference URI="/xl/worksheets/sheet1.xml?ContentType=application/vnd.openxmlformats-officedocument.spreadsheetml.worksheet+xml">
        <DigestMethod Algorithm="http://www.w3.org/2000/09/xmldsig#sha1"/>
        <DigestValue>aNTiSCKJvvXp0oD8FSBkcMSButI=</DigestValue>
      </Reference>
      <Reference URI="/xl/worksheets/sheet2.xml?ContentType=application/vnd.openxmlformats-officedocument.spreadsheetml.worksheet+xml">
        <DigestMethod Algorithm="http://www.w3.org/2000/09/xmldsig#sha1"/>
        <DigestValue>QtWGushjAsWIo8jJ5Y/uOi2rpYM=</DigestValue>
      </Reference>
      <Reference URI="/xl/workbook.xml?ContentType=application/vnd.openxmlformats-officedocument.spreadsheetml.sheet.main+xml">
        <DigestMethod Algorithm="http://www.w3.org/2000/09/xmldsig#sha1"/>
        <DigestValue>DUx42rbYgSN/fAfwI0nFU8yObb0=</DigestValue>
      </Reference>
      <Reference URI="/xl/styles.xml?ContentType=application/vnd.openxmlformats-officedocument.spreadsheetml.styles+xml">
        <DigestMethod Algorithm="http://www.w3.org/2000/09/xmldsig#sha1"/>
        <DigestValue>CPahnp57s3F2rbr6HunTtzEWuTQ=</DigestValue>
      </Reference>
      <Reference URI="/xl/worksheets/sheet4.xml?ContentType=application/vnd.openxmlformats-officedocument.spreadsheetml.worksheet+xml">
        <DigestMethod Algorithm="http://www.w3.org/2000/09/xmldsig#sha1"/>
        <DigestValue>zqXAQaBnSN8zmxjxRTGca2Ffin4=</DigestValue>
      </Reference>
      <Reference URI="/xl/theme/theme1.xml?ContentType=application/vnd.openxmlformats-officedocument.theme+xml">
        <DigestMethod Algorithm="http://www.w3.org/2000/09/xmldsig#sha1"/>
        <DigestValue>9qmLS+LilE9mSl2hTMj5oHE8VR8=</DigestValue>
      </Reference>
      <Reference URI="/xl/drawings/drawing3.xml?ContentType=application/vnd.openxmlformats-officedocument.drawing+xml">
        <DigestMethod Algorithm="http://www.w3.org/2000/09/xmldsig#sha1"/>
        <DigestValue>DlPA49AXY1b+O+1DfkbfIlyP/0I=</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HyltGlINEqHdoGpSXCSvzsnYpQs=</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2020-11-03T09:54:31Z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2020-11-03T09:54:31Z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DangHD_06182</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2020-11-03T02:58:57Z</dcterms:modified>
</cp:coreProperties>
</file>