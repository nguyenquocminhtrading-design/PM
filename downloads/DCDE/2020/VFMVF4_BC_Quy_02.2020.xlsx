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W:\GTO_SSO_FUNDSERVICES_GSSCKL\10. CLIENT PORTFOLIO-VN\1.02 VFMVF4\2020 VF4\6. Jun\Bao cao quy\KY SO\"/>
    </mc:Choice>
  </mc:AlternateContent>
  <xr:revisionPtr revIDLastSave="0" documentId="13_ncr:1_{F500416F-85C7-41AC-A627-2DE5112D4E67}" xr6:coauthVersionLast="44" xr6:coauthVersionMax="44" xr10:uidLastSave="{00000000-0000-0000-0000-000000000000}"/>
  <bookViews>
    <workbookView xWindow="-110" yWindow="-110" windowWidth="19420" windowHeight="10420" firstSheet="6" activeTab="9"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 name="GiaTriTaiSanRong_06129" sheetId="33"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9" hidden="1">GiaTriTaiSanRong_06129!$A$18:$I$18</definedName>
    <definedName name="_xlnm._FilterDatabase" localSheetId="8" hidden="1">Khac_06030!$A$18:$F$18</definedName>
    <definedName name="addlogo">INDEX(#REF!,MATCH(#REF!,#REF!,0))</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1">BCthunhap!$A$1:$G$95</definedName>
    <definedName name="_xlnm.Print_Area" localSheetId="2">BCtinhhinhtaichinh!$A$1:$F$138</definedName>
    <definedName name="_xlnm.Print_Area" localSheetId="9">GiaTriTaiSanRong_06129!$A$1:$F$43</definedName>
    <definedName name="_xlnm.Print_Area" localSheetId="8">Khac_06030!$A$1:$E$63</definedName>
    <definedName name="_xlnm.Print_Area" localSheetId="0">TONGQUAN!$A$1:$K$51</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1" i="45" l="1"/>
  <c r="I46" i="45" l="1"/>
  <c r="I45" i="45"/>
  <c r="A46" i="45"/>
  <c r="A45" i="45"/>
  <c r="G14" i="45"/>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E17" i="38" l="1"/>
  <c r="D17" i="38"/>
  <c r="B14" i="38"/>
  <c r="B12" i="38"/>
  <c r="B10" i="38"/>
  <c r="B13" i="38"/>
  <c r="B11" i="38"/>
  <c r="B9" i="38"/>
  <c r="B8" i="38"/>
  <c r="B7" i="38"/>
  <c r="A4" i="38"/>
  <c r="D14" i="34" l="1"/>
  <c r="D12" i="34"/>
  <c r="D10" i="34"/>
  <c r="D13" i="34"/>
  <c r="D11" i="34"/>
  <c r="D9" i="34"/>
  <c r="D8" i="34"/>
  <c r="D7" i="34"/>
  <c r="A5" i="34"/>
  <c r="D17" i="34" l="1"/>
  <c r="E31" i="33" l="1"/>
  <c r="E30" i="33"/>
  <c r="A31" i="33"/>
  <c r="A30" i="33"/>
  <c r="E43" i="33"/>
  <c r="E42" i="33"/>
  <c r="A43" i="33"/>
  <c r="A42" i="33"/>
  <c r="A41" i="33"/>
  <c r="D14" i="33"/>
  <c r="D12" i="33"/>
  <c r="D10" i="33"/>
  <c r="D13" i="33"/>
  <c r="D11" i="33"/>
  <c r="D9" i="33"/>
  <c r="D8" i="33"/>
  <c r="D7" i="33"/>
  <c r="A5" i="33"/>
  <c r="F18" i="33"/>
  <c r="E18" i="33"/>
  <c r="D63" i="32" l="1"/>
  <c r="D62" i="32"/>
  <c r="A63" i="32"/>
  <c r="A62" i="32"/>
  <c r="A61" i="32"/>
  <c r="D51" i="32"/>
  <c r="D50" i="32"/>
  <c r="A51" i="32"/>
  <c r="A50" i="32"/>
  <c r="C14" i="32"/>
  <c r="C12" i="32"/>
  <c r="C10" i="32"/>
  <c r="C13" i="32"/>
  <c r="C11" i="32"/>
  <c r="C9" i="32"/>
  <c r="C8" i="32"/>
  <c r="C7" i="32"/>
  <c r="A5" i="32"/>
  <c r="E18" i="32"/>
  <c r="D18" i="32"/>
  <c r="D92" i="29" l="1"/>
  <c r="D91" i="29"/>
  <c r="A92" i="29"/>
  <c r="A91" i="29"/>
  <c r="A90" i="29"/>
  <c r="D82" i="29"/>
  <c r="D81" i="29"/>
  <c r="A82" i="29"/>
  <c r="A81" i="29"/>
  <c r="C14" i="29"/>
  <c r="C12" i="29"/>
  <c r="C10" i="29"/>
  <c r="C13" i="29"/>
  <c r="C11" i="29"/>
  <c r="C9" i="29"/>
  <c r="A5" i="29"/>
  <c r="C8" i="29"/>
  <c r="C7" i="29"/>
  <c r="F19" i="1" l="1"/>
  <c r="I44" i="45" s="1"/>
  <c r="D61" i="32" l="1"/>
  <c r="E41" i="33"/>
  <c r="D90" i="29"/>
</calcChain>
</file>

<file path=xl/sharedStrings.xml><?xml version="1.0" encoding="utf-8"?>
<sst xmlns="http://schemas.openxmlformats.org/spreadsheetml/2006/main" count="1518" uniqueCount="1210">
  <si>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</si>
  <si>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</si>
  <si>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</si>
  <si>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</si>
  <si>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</si>
  <si>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</si>
  <si>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</si>
  <si>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</si>
  <si>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</si>
  <si>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</si>
  <si>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</si>
  <si>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</si>
  <si>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</si>
  <si>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</si>
  <si>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</si>
  <si>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</si>
  <si>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</si>
  <si>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</si>
  <si>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</si>
  <si>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</si>
  <si>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</si>
  <si>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</si>
  <si>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</si>
  <si>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</si>
  <si>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</si>
  <si>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</si>
  <si>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</si>
  <si>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</si>
  <si>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</si>
  <si>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</si>
  <si>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</si>
  <si>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</si>
  <si>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</si>
  <si>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</si>
  <si>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</si>
  <si>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</si>
  <si>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</si>
  <si>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</si>
  <si>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</si>
  <si>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</si>
  <si>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</si>
  <si>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</si>
  <si>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</si>
  <si>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</si>
  <si>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</si>
  <si>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</si>
  <si>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</si>
  <si>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</si>
  <si>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</si>
  <si>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</si>
  <si>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</si>
  <si>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</si>
  <si>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</si>
  <si>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</si>
  <si>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</si>
  <si>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</si>
  <si>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</si>
  <si>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</si>
  <si>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</si>
  <si>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</si>
  <si>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</si>
  <si>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</si>
  <si>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</si>
  <si>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</si>
  <si>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</si>
  <si>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</si>
  <si>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</si>
  <si>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</si>
  <si>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</si>
  <si>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</si>
  <si>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</si>
  <si>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</si>
  <si>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</si>
  <si>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</si>
  <si>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</si>
  <si>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</si>
  <si>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</si>
  <si>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</si>
  <si>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</si>
  <si>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</si>
  <si>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</si>
  <si>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</si>
  <si>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</si>
  <si>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</si>
  <si>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</si>
  <si>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</si>
  <si>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</si>
  <si>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</si>
  <si>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</si>
  <si>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</si>
  <si>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</si>
  <si>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</si>
  <si>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</si>
  <si>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</si>
  <si>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</si>
  <si>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</si>
  <si>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</si>
  <si>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</si>
  <si>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</si>
  <si>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</si>
  <si>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</si>
  <si>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</si>
  <si>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</si>
  <si>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</si>
  <si>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</si>
  <si>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</si>
  <si>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</si>
  <si>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</si>
  <si>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</si>
  <si>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</si>
  <si>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</si>
  <si>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</si>
  <si>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</si>
  <si>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</si>
  <si>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</si>
  <si>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</si>
  <si>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</si>
  <si>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</si>
  <si>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</si>
  <si>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</si>
  <si>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</si>
  <si>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</si>
  <si>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</si>
  <si>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</si>
  <si>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</si>
  <si>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</si>
  <si>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</si>
  <si>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</si>
  <si>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</si>
  <si>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</si>
  <si>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</si>
  <si>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</si>
  <si>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</si>
  <si>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</si>
  <si>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</si>
  <si>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</si>
  <si>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</si>
  <si>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</si>
  <si>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</si>
  <si>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</si>
  <si>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</si>
  <si>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</si>
  <si>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</si>
  <si>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</si>
  <si>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</si>
  <si>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</si>
  <si>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</si>
  <si>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</si>
  <si>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</si>
  <si>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</si>
  <si>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</si>
  <si>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</si>
  <si>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</si>
  <si>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</si>
  <si>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</si>
  <si>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</si>
  <si>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</si>
  <si>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</si>
  <si>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</si>
  <si>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</si>
  <si>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</si>
  <si>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</si>
  <si>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</si>
  <si>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</si>
  <si>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</si>
  <si>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</si>
  <si>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</si>
  <si>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</si>
  <si>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</si>
  <si>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</si>
  <si>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</si>
  <si>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</si>
  <si>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</si>
  <si>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</si>
  <si>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</si>
  <si>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</si>
  <si>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</si>
  <si>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</si>
  <si>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</si>
  <si>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</si>
  <si>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</si>
  <si>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</si>
  <si>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</si>
  <si>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</si>
  <si>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</si>
  <si>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</si>
  <si>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</si>
  <si>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</si>
  <si>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</si>
  <si>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</si>
  <si>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</si>
  <si>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</si>
  <si>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</si>
  <si>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</si>
  <si>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</si>
  <si>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</si>
  <si>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</si>
  <si>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</si>
  <si>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</si>
  <si>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</si>
  <si>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</si>
  <si>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</si>
  <si>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</si>
  <si>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</si>
  <si>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</si>
  <si>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</si>
  <si>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</si>
  <si>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</si>
  <si>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</si>
  <si>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</si>
  <si>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</si>
  <si>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</si>
  <si>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</si>
  <si>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</si>
  <si>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</si>
  <si>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</si>
  <si>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</si>
  <si>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</si>
  <si>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</si>
  <si>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</si>
  <si>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</si>
  <si>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</si>
  <si>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</si>
  <si>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</si>
  <si>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</si>
  <si>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</si>
  <si>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</si>
  <si>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</si>
  <si>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</si>
  <si>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</si>
  <si>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</si>
  <si>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</si>
  <si>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</si>
  <si>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</si>
  <si>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</si>
  <si>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</si>
  <si>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</si>
  <si>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</si>
  <si>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</si>
  <si>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</si>
  <si>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</si>
  <si>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</si>
  <si>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</si>
  <si>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</si>
  <si>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</si>
  <si>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</si>
  <si>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</si>
  <si>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</si>
  <si>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</si>
  <si>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</si>
  <si>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</si>
  <si>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</si>
  <si>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</si>
  <si>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</si>
  <si>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</si>
  <si>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</si>
  <si>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</si>
  <si>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</si>
  <si>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</si>
  <si>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</si>
  <si>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</si>
  <si>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</si>
  <si>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</si>
  <si>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</si>
  <si>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</si>
  <si>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</si>
  <si>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</si>
  <si>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</si>
  <si>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</si>
  <si>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</si>
  <si>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</si>
  <si>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</si>
  <si>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</si>
  <si>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</si>
  <si>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</si>
  <si>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</si>
  <si>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</si>
  <si>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</si>
  <si>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</si>
  <si>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</si>
  <si>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</si>
  <si>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</si>
  <si>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</si>
  <si>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</si>
  <si>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</si>
  <si>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</si>
  <si>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</si>
  <si>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</si>
  <si>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</si>
  <si>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</si>
  <si>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</si>
  <si>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</si>
  <si>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</si>
  <si>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</si>
  <si>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</si>
  <si>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</si>
  <si>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</si>
  <si>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</si>
  <si>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</si>
  <si>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</si>
  <si>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</si>
  <si>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</si>
  <si>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</si>
  <si>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</si>
  <si>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</si>
  <si>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</si>
  <si>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</si>
  <si>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</si>
  <si>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</si>
  <si>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</si>
  <si>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</si>
  <si>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</si>
  <si>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</si>
  <si>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</si>
  <si>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</si>
  <si>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</si>
  <si>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</si>
  <si>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</si>
  <si>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</si>
  <si>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</si>
  <si>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</si>
  <si>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</si>
  <si>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</si>
  <si>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</si>
  <si>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</si>
  <si>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</si>
  <si>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</si>
  <si>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</si>
  <si>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</si>
  <si>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</si>
  <si>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</si>
  <si>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</si>
  <si>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</si>
  <si>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</si>
  <si>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</si>
  <si>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</si>
  <si>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</si>
  <si>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</si>
  <si>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</si>
  <si>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</si>
  <si>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</si>
  <si>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</si>
  <si>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</si>
  <si>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</si>
  <si>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</si>
  <si>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</si>
  <si>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</si>
  <si>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</si>
  <si>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</si>
  <si>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</si>
  <si>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</si>
  <si>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</si>
  <si>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</si>
  <si>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</si>
  <si>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</si>
  <si>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</si>
  <si>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</si>
  <si>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</si>
  <si>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</si>
  <si>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</si>
  <si>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</si>
  <si>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</si>
  <si>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</si>
  <si>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</si>
  <si>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</si>
  <si>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</si>
  <si>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</si>
  <si>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</si>
  <si>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</si>
  <si>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</si>
  <si>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</si>
  <si>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</si>
  <si>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</si>
  <si>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</si>
  <si>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</si>
  <si>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</si>
  <si>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</si>
  <si>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</si>
  <si>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</si>
  <si>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</si>
  <si>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</si>
  <si>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</si>
  <si>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</si>
  <si>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</si>
  <si>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</si>
  <si>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</si>
  <si>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</si>
  <si>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</si>
  <si>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</si>
  <si>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</si>
  <si>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</si>
  <si>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</si>
  <si>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</si>
  <si>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</si>
  <si>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</si>
  <si>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</si>
  <si>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</si>
  <si>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</si>
  <si>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</si>
  <si>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</si>
  <si>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</si>
  <si>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</si>
  <si>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</si>
  <si>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</si>
  <si>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</si>
  <si>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</si>
  <si>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</si>
  <si>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</si>
  <si>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</si>
  <si>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</si>
  <si>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</si>
  <si>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</si>
  <si>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</si>
  <si>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</si>
  <si>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</si>
  <si>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</si>
  <si>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</si>
  <si>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</si>
  <si>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</si>
  <si>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</si>
  <si>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</si>
  <si>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</si>
  <si>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</si>
  <si>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</si>
  <si>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</si>
  <si>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</si>
  <si>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</si>
  <si>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</si>
  <si>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</si>
  <si>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</si>
  <si>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</si>
  <si>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</si>
  <si>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</si>
  <si>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</si>
  <si>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</si>
  <si>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</si>
  <si>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</si>
  <si>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</si>
  <si>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</si>
  <si>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</si>
  <si>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</si>
  <si>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</si>
  <si>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</si>
  <si>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</si>
  <si>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</si>
  <si>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</si>
  <si>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</si>
  <si>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</si>
  <si>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</si>
  <si>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</si>
  <si>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</si>
  <si>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</si>
  <si>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</si>
  <si>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</si>
  <si>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</si>
  <si>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</si>
  <si>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</si>
  <si>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</si>
  <si>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</si>
  <si>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</si>
  <si>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</si>
  <si>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</si>
  <si>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</si>
  <si>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</si>
  <si>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</si>
  <si>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</si>
  <si>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</si>
  <si>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</si>
  <si>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</si>
  <si>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</si>
  <si>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</si>
  <si>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</si>
  <si>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</si>
  <si>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</si>
  <si>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</si>
  <si>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</si>
  <si>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</si>
  <si>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</si>
  <si>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</si>
  <si>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</si>
  <si>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</si>
  <si>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</si>
  <si>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</si>
  <si>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</si>
  <si>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</si>
  <si>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</si>
  <si>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</si>
  <si>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</si>
  <si>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</si>
  <si>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</si>
  <si>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</si>
  <si>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</si>
  <si>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</si>
  <si>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</si>
  <si>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</si>
  <si>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</si>
  <si>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</si>
  <si>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</si>
  <si>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</si>
  <si>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</si>
  <si>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</si>
  <si>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</si>
  <si>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</si>
  <si>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</si>
  <si>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</si>
  <si>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</si>
  <si>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</si>
  <si>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</si>
  <si>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</si>
  <si>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</si>
  <si>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</si>
  <si>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</si>
  <si>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</si>
  <si>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</si>
  <si>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</si>
  <si>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</si>
  <si>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</si>
  <si>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</si>
  <si>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</si>
  <si>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</si>
  <si>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</si>
  <si>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</si>
  <si>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</si>
  <si>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</si>
  <si>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</si>
  <si>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</si>
  <si>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</si>
  <si>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</si>
  <si>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</si>
  <si>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</si>
  <si>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</si>
  <si>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</si>
  <si>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</si>
  <si>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</si>
  <si>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</si>
  <si>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</si>
  <si>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</si>
  <si>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</si>
  <si>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</si>
  <si>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</si>
  <si>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</si>
  <si>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</si>
  <si>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</si>
  <si>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</si>
  <si>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</si>
  <si>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</si>
  <si>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</si>
  <si>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</si>
  <si>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</si>
  <si>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</si>
  <si>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</si>
  <si>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</si>
  <si>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</si>
  <si>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</si>
  <si>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</si>
  <si>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</si>
  <si>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</si>
  <si>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</si>
  <si>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</si>
  <si>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</si>
  <si>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</si>
  <si>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</si>
  <si>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</si>
  <si>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</si>
  <si>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</si>
  <si>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</si>
  <si>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</si>
  <si>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</si>
  <si>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</si>
  <si>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</si>
  <si>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</si>
  <si>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</si>
  <si>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</si>
  <si>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</si>
  <si>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</si>
  <si>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</si>
  <si>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</si>
  <si>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</si>
  <si>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</si>
  <si>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</si>
  <si>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</si>
  <si>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</si>
  <si>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</si>
  <si>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</si>
  <si>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</si>
  <si>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</si>
  <si>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</si>
  <si>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</si>
  <si>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</si>
  <si>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</si>
  <si>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</si>
  <si>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</si>
  <si>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</si>
  <si>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</si>
  <si>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</si>
  <si>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</si>
  <si>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</si>
  <si>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</si>
  <si>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</si>
  <si>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</si>
  <si>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</si>
  <si>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</si>
  <si>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</si>
  <si>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</si>
  <si>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</si>
  <si>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</si>
  <si>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</si>
  <si>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</si>
  <si>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</si>
  <si>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</si>
  <si>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</si>
  <si>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</si>
  <si>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</si>
  <si>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</si>
  <si>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</si>
  <si>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</si>
  <si>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</si>
  <si>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</si>
  <si>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</si>
  <si>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</si>
  <si>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</si>
  <si>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</si>
  <si>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</si>
  <si>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</si>
  <si>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</si>
  <si>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</si>
  <si>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</si>
  <si>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</si>
  <si>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</si>
  <si>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</si>
  <si>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</si>
  <si>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</si>
  <si>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</si>
  <si>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</si>
  <si>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</si>
  <si>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</si>
  <si>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</si>
  <si>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</si>
  <si>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</si>
  <si>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</si>
  <si>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</si>
  <si>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</si>
  <si>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</si>
  <si>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</si>
  <si>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</si>
  <si>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</si>
  <si>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</si>
  <si>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</si>
  <si>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</si>
  <si>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</si>
  <si>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</si>
  <si>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</si>
  <si>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</si>
  <si>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</si>
  <si>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</si>
  <si>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</si>
  <si>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</si>
  <si>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</si>
  <si>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</si>
  <si>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</si>
  <si>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</si>
  <si>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</si>
  <si>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</si>
  <si>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</si>
  <si>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</si>
  <si>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</si>
  <si>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</si>
  <si>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</si>
  <si>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</si>
  <si>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</si>
  <si>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</si>
  <si>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</si>
  <si>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</si>
  <si>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</si>
  <si>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</si>
  <si>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</si>
  <si>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</si>
  <si>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</si>
  <si>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</si>
  <si>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</si>
  <si>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</si>
  <si>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</si>
  <si>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</si>
  <si>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</si>
  <si>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</si>
  <si>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</si>
  <si>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</si>
  <si>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</si>
  <si>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</si>
  <si>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</si>
  <si>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</si>
  <si>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</si>
  <si>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</si>
  <si>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</si>
  <si>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</si>
  <si>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</si>
  <si>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</si>
  <si>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</si>
  <si>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</si>
  <si>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</si>
  <si>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</si>
  <si>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</si>
  <si>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</si>
  <si>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</si>
  <si>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</si>
  <si>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</si>
  <si>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</si>
  <si>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</si>
  <si>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</si>
  <si>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</si>
  <si>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</si>
  <si>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</si>
  <si>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</si>
  <si>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</si>
  <si>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</si>
  <si>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</si>
  <si>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</si>
  <si>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</si>
  <si>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</si>
  <si>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</si>
  <si>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</si>
  <si>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</si>
  <si>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</si>
  <si>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</si>
  <si>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</si>
  <si>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</si>
  <si>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</si>
  <si>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</si>
  <si>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</si>
  <si>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</si>
  <si>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</si>
  <si>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</si>
  <si>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</si>
  <si>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</si>
  <si>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</si>
  <si>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</si>
  <si>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</si>
  <si>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</si>
  <si>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</si>
  <si>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</si>
  <si>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</si>
  <si>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</si>
  <si>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</si>
  <si>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</si>
  <si>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</si>
  <si>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</si>
  <si>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</si>
  <si>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</si>
  <si>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</si>
  <si>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</si>
  <si>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</si>
  <si>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</si>
  <si>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</si>
  <si>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</si>
  <si>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</si>
  <si>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</si>
  <si>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</si>
  <si>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</si>
  <si>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</si>
  <si>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</si>
  <si>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</si>
  <si>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</si>
  <si>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</si>
  <si>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</si>
  <si>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</si>
  <si>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</si>
  <si>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</si>
  <si>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</si>
  <si>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</si>
  <si>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</si>
  <si>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</si>
  <si>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</si>
  <si>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</si>
  <si>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</si>
  <si>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</si>
  <si>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</si>
  <si>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</si>
  <si>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</si>
  <si>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</si>
  <si>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</si>
  <si>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</si>
  <si>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</si>
  <si>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</si>
  <si>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</si>
  <si>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</si>
  <si>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</si>
  <si>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</si>
  <si>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</si>
  <si>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</si>
  <si>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</si>
  <si>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</si>
  <si>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</si>
  <si>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</si>
  <si>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</si>
  <si>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</si>
  <si>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</si>
  <si>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</si>
  <si>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</si>
  <si>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</si>
  <si>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</si>
  <si>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</si>
  <si>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</si>
  <si>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</si>
  <si>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</si>
  <si>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</si>
  <si>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</si>
  <si>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</si>
  <si>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</si>
  <si>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</si>
  <si>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</si>
  <si>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</si>
  <si>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</si>
  <si>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</si>
  <si>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</si>
  <si>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</si>
  <si>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</si>
  <si>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</si>
  <si>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</si>
  <si>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</si>
  <si>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</si>
  <si>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</si>
  <si>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</si>
  <si>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</si>
  <si>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</si>
  <si>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</si>
  <si>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</si>
  <si>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</si>
  <si>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</si>
  <si>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</si>
  <si>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</si>
  <si>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</si>
  <si>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</si>
  <si>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</si>
  <si>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</si>
  <si>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</si>
  <si>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</si>
  <si>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</si>
  <si>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</si>
  <si>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</si>
  <si>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</si>
  <si>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</si>
  <si>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</si>
  <si>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</si>
  <si>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</si>
  <si>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</si>
  <si>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</si>
  <si>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</si>
  <si>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</si>
  <si>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</si>
  <si>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</si>
  <si>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</si>
  <si>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</si>
  <si>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</si>
  <si>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</si>
  <si>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</si>
  <si>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</si>
  <si>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</si>
  <si>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</si>
  <si>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</si>
  <si>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</si>
  <si>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</si>
  <si>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</si>
  <si>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</si>
  <si>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</si>
  <si>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</si>
  <si>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</si>
  <si>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</si>
  <si>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</si>
  <si>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</si>
  <si>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</si>
  <si>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</si>
  <si>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</si>
  <si>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</si>
  <si>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</si>
  <si>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</si>
  <si>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</si>
  <si>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</si>
  <si>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</si>
  <si>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</si>
  <si>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</si>
  <si>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</si>
  <si>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</si>
  <si>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</si>
  <si>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</si>
  <si>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</si>
  <si>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</si>
  <si>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</si>
  <si>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</si>
  <si>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</si>
  <si>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</si>
  <si>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</si>
  <si>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</si>
  <si>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</si>
  <si>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</si>
  <si>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</si>
  <si>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</si>
  <si>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</si>
  <si>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</si>
  <si>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</si>
  <si>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</si>
  <si>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</si>
  <si>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</si>
  <si>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</si>
  <si>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</si>
  <si>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</si>
  <si>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</si>
  <si>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</si>
  <si>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</si>
  <si>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</si>
  <si>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</si>
  <si>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</si>
  <si>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</si>
  <si>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</si>
  <si>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</si>
  <si>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</si>
  <si>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</si>
  <si>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</si>
  <si>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</si>
  <si>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</si>
  <si>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</si>
  <si>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</si>
  <si>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</si>
  <si>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</si>
  <si>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</si>
  <si>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</si>
  <si>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</si>
  <si>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</si>
  <si>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</si>
  <si>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</si>
  <si>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</si>
  <si>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</si>
  <si>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</si>
  <si>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</si>
  <si>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</si>
  <si>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</si>
  <si>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</si>
  <si>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</si>
  <si>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</si>
  <si>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</si>
  <si>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</si>
  <si>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</si>
  <si>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</si>
  <si>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</si>
  <si>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</si>
  <si>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</si>
  <si>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</si>
  <si>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</si>
  <si>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</si>
  <si>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</si>
  <si>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</si>
  <si>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</si>
  <si>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</si>
  <si>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</si>
  <si>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</si>
  <si>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</si>
  <si>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</si>
  <si>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</si>
  <si>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</si>
  <si>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</si>
  <si>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</si>
  <si>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</si>
  <si>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</si>
  <si>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BMP</t>
  </si>
  <si>
    <t>2246.4</t>
  </si>
  <si>
    <t>5</t>
  </si>
  <si>
    <t>BVH</t>
  </si>
  <si>
    <t>2246.5</t>
  </si>
  <si>
    <t>6</t>
  </si>
  <si>
    <t>CTD</t>
  </si>
  <si>
    <t>2246.6</t>
  </si>
  <si>
    <t>7</t>
  </si>
  <si>
    <t>CTG</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</si>
  <si>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</si>
  <si>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</si>
  <si>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</si>
  <si>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</si>
  <si>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</si>
  <si>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</si>
  <si>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</si>
  <si>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</si>
  <si>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</si>
  <si>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</si>
  <si>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</si>
  <si>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</si>
  <si>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</si>
  <si>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</si>
  <si>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</si>
  <si>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</si>
  <si>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</si>
  <si>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</si>
  <si>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</si>
  <si>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</si>
  <si>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</si>
  <si>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</si>
  <si>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</si>
  <si>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</si>
  <si>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</si>
  <si>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</si>
  <si>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</si>
  <si>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</si>
  <si>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</si>
  <si>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</si>
  <si>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</si>
  <si>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</si>
  <si>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MSH</t>
  </si>
  <si>
    <t>2246.18</t>
  </si>
  <si>
    <t>19</t>
  </si>
  <si>
    <t>MSN</t>
  </si>
  <si>
    <t>2246.19</t>
  </si>
  <si>
    <t>20</t>
  </si>
  <si>
    <t>MWG</t>
  </si>
  <si>
    <t>2246.20</t>
  </si>
  <si>
    <t>21</t>
  </si>
  <si>
    <t>NLG</t>
  </si>
  <si>
    <t>2246.21</t>
  </si>
  <si>
    <t>22</t>
  </si>
  <si>
    <t>NTC</t>
  </si>
  <si>
    <t>2246.22</t>
  </si>
  <si>
    <t>23</t>
  </si>
  <si>
    <t>NVL</t>
  </si>
  <si>
    <t>2246.23</t>
  </si>
  <si>
    <t>24</t>
  </si>
  <si>
    <t>PHR</t>
  </si>
  <si>
    <t>2246.24</t>
  </si>
  <si>
    <t>25</t>
  </si>
  <si>
    <t>PLX</t>
  </si>
  <si>
    <t>2246.25</t>
  </si>
  <si>
    <t>26</t>
  </si>
  <si>
    <t>PNJ</t>
  </si>
  <si>
    <t>2246.26</t>
  </si>
  <si>
    <t>27</t>
  </si>
  <si>
    <t>POW</t>
  </si>
  <si>
    <t>2246.27</t>
  </si>
  <si>
    <t>28</t>
  </si>
  <si>
    <t>PTB</t>
  </si>
  <si>
    <t>2246.28</t>
  </si>
  <si>
    <t>29</t>
  </si>
  <si>
    <t>REE</t>
  </si>
  <si>
    <t>2246.29</t>
  </si>
  <si>
    <t>30</t>
  </si>
  <si>
    <t>ROS</t>
  </si>
  <si>
    <t>2246.30</t>
  </si>
  <si>
    <t>31</t>
  </si>
  <si>
    <t>SAB</t>
  </si>
  <si>
    <t>2246.31</t>
  </si>
  <si>
    <t>32</t>
  </si>
  <si>
    <t>SBT</t>
  </si>
  <si>
    <t>2246.32</t>
  </si>
  <si>
    <t>33</t>
  </si>
  <si>
    <t>SSI</t>
  </si>
  <si>
    <t>2246.33</t>
  </si>
  <si>
    <t>34</t>
  </si>
  <si>
    <t>STB</t>
  </si>
  <si>
    <t>2246.34</t>
  </si>
  <si>
    <t>35</t>
  </si>
  <si>
    <t>SZC</t>
  </si>
  <si>
    <t>2246.35</t>
  </si>
  <si>
    <t>36</t>
  </si>
  <si>
    <t>TCB</t>
  </si>
  <si>
    <t>2246.36</t>
  </si>
  <si>
    <t>37</t>
  </si>
  <si>
    <t>VCB</t>
  </si>
  <si>
    <t>2246.37</t>
  </si>
  <si>
    <t>38</t>
  </si>
  <si>
    <t>VEA</t>
  </si>
  <si>
    <t>2246.38</t>
  </si>
  <si>
    <t>39</t>
  </si>
  <si>
    <t>VHC</t>
  </si>
  <si>
    <t>2246.39</t>
  </si>
  <si>
    <t>40</t>
  </si>
  <si>
    <t>VHM</t>
  </si>
  <si>
    <t>2246.40</t>
  </si>
  <si>
    <t>41</t>
  </si>
  <si>
    <t>VIC</t>
  </si>
  <si>
    <t>2246.41</t>
  </si>
  <si>
    <t>42</t>
  </si>
  <si>
    <t>VJC</t>
  </si>
  <si>
    <t>2246.42</t>
  </si>
  <si>
    <t>43</t>
  </si>
  <si>
    <t>VNM</t>
  </si>
  <si>
    <t>2246.43</t>
  </si>
  <si>
    <t>44</t>
  </si>
  <si>
    <t>VPB</t>
  </si>
  <si>
    <t>2246.44</t>
  </si>
  <si>
    <t>45</t>
  </si>
  <si>
    <t>VRE</t>
  </si>
  <si>
    <t>2246.45</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</si>
  <si>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</si>
  <si>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</si>
  <si>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</si>
  <si>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</si>
  <si>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</si>
  <si>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</si>
  <si>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</si>
  <si>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</si>
  <si>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</si>
  <si>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</si>
  <si>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</si>
  <si>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</si>
  <si>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</si>
  <si>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</si>
  <si>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</si>
  <si>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</si>
  <si>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</si>
  <si>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</si>
  <si>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</si>
  <si>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</si>
  <si>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</si>
  <si>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</si>
  <si>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</si>
  <si>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</si>
  <si>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</si>
  <si>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</si>
  <si>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</si>
  <si>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</si>
  <si>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</si>
  <si>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</si>
  <si>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</si>
  <si>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</si>
  <si>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</si>
  <si>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</si>
  <si>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</si>
  <si>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</si>
  <si>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</si>
  <si>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</si>
  <si>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</si>
  <si>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</si>
  <si>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</si>
  <si>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</si>
  <si>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</si>
  <si>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</si>
  <si>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</si>
  <si>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</si>
  <si>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</si>
  <si>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</si>
  <si>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</si>
  <si>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</si>
  <si>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</si>
  <si>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</si>
  <si>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</si>
  <si>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</si>
  <si>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</si>
  <si>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</si>
  <si>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</si>
  <si>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</si>
  <si>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</si>
  <si>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</si>
  <si>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</si>
  <si>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</si>
  <si>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</si>
  <si>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</si>
  <si>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</si>
  <si>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</si>
  <si>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</si>
  <si>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</si>
  <si>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</si>
  <si>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</si>
  <si>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</si>
  <si>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</si>
  <si>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</si>
  <si>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</si>
  <si>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</si>
  <si>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</si>
  <si>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</si>
  <si>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</si>
  <si>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</si>
  <si>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</si>
  <si>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</si>
  <si>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</si>
  <si>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</si>
  <si>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</si>
  <si>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</si>
  <si>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06 năm 2020
/ As at 30 Jun 2020</t>
  </si>
  <si>
    <t>Quý II năm 2020
/ Quarter II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</si>
  <si>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</si>
  <si>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</si>
  <si>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</si>
  <si>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</si>
  <si>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</si>
  <si>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06 tháng 07 năm 2020</t>
  </si>
  <si>
    <t>06 Jul 2020</t>
  </si>
  <si>
    <t>Bùi Thị Huyền Trang</t>
  </si>
  <si>
    <t>Trần Thanh Tân</t>
  </si>
  <si>
    <t>Cán bộ Quản lý Nghiệp vụ Dịch vụ Chứng khoán</t>
  </si>
  <si>
    <t>Ngày 30 tháng 06 năm 2020
 As at 30 Jun 2020</t>
  </si>
  <si>
    <t>Ngày 31 tháng 03 năm 2020
 As at 31 Mar 2020</t>
  </si>
  <si>
    <t>Quý II năm 2020
Quarter II 2020</t>
  </si>
  <si>
    <t>Quý I năm 2020
Quarter I 2020</t>
  </si>
  <si>
    <t>Năm 2020
Year 2020</t>
  </si>
  <si>
    <t>Quý II năm  2019
Quarter II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</si>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</sst>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2">
    <xf numFmtId="0" fontId="0" fillId="0" borderId="0"/>
    <xf numFmtId="0" fontId="3" fillId="0" borderId="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4" fillId="18" borderId="0" applyNumberFormat="0" applyFill="0" applyBorder="0" applyAlignment="0" applyProtection="0"/>
    <xf numFmtId="0" fontId="2" fillId="18" borderId="0"/>
    <xf numFmtId="0" fontId="2" fillId="18" borderId="0"/>
    <xf numFmtId="0" fontId="2" fillId="18" borderId="0"/>
    <xf numFmtId="0" fontId="2" fillId="18" borderId="0"/>
    <xf numFmtId="0" fontId="5" fillId="18" borderId="0"/>
    <xf numFmtId="0" fontId="2" fillId="18" borderId="0"/>
  </cellStyleXfs>
  <cellXfs count="309">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6" applyFont="1" applyFill="1" applyBorder="1" applyAlignment="1" applyProtection="1">
      <alignment horizontal="center" vertical="center" wrapText="1"/>
    </xf>
    <xf numFmtId="165" fontId="24" fillId="2" borderId="9" xfId="7" applyNumberFormat="1" applyFont="1" applyFill="1" applyBorder="1" applyAlignment="1" applyProtection="1">
      <alignment horizontal="center" vertical="center" wrapText="1"/>
      <protection locked="0"/>
    </xf>
    <xf numFmtId="0" fontId="24" fillId="2" borderId="9" xfId="6" applyNumberFormat="1" applyFont="1" applyFill="1" applyBorder="1" applyAlignment="1" applyProtection="1">
      <alignment horizontal="center" vertical="center" wrapText="1"/>
    </xf>
    <xf numFmtId="0" fontId="23" fillId="3" borderId="0" xfId="0" applyFont="1" applyFill="1" applyAlignment="1">
      <alignment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2" applyFont="1" applyFill="1" applyBorder="1" applyAlignment="1">
      <alignment horizontal="center" vertical="center"/>
    </xf>
    <xf numFmtId="0" fontId="25" fillId="0" borderId="9" xfId="6" applyFont="1" applyFill="1" applyBorder="1" applyAlignment="1" applyProtection="1">
      <alignment horizontal="left" vertical="center" wrapText="1"/>
    </xf>
    <xf numFmtId="0" fontId="25" fillId="0" borderId="9" xfId="4" applyFont="1" applyFill="1" applyBorder="1" applyAlignment="1" applyProtection="1">
      <alignment horizontal="left" vertical="center" wrapText="1"/>
    </xf>
    <xf numFmtId="0" fontId="23" fillId="3" borderId="9" xfId="2"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35" fillId="3" borderId="0" xfId="2" applyFont="1" applyFill="1" applyAlignment="1">
      <alignment horizontal="center" vertical="center"/>
    </xf>
    <xf numFmtId="0" fontId="35" fillId="3" borderId="0" xfId="2" applyFont="1" applyFill="1" applyAlignment="1">
      <alignment vertical="center"/>
    </xf>
    <xf numFmtId="0" fontId="22" fillId="0" borderId="0" xfId="0" applyFont="1" applyFill="1" applyAlignment="1">
      <alignment vertical="center"/>
    </xf>
    <xf numFmtId="165" fontId="24"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4" fillId="2" borderId="9" xfId="6" applyNumberFormat="1" applyFont="1" applyFill="1" applyBorder="1" applyAlignment="1" applyProtection="1">
      <alignment horizontal="left" vertical="center" wrapText="1"/>
    </xf>
    <xf numFmtId="49" fontId="24" fillId="2" borderId="9" xfId="6"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5" fillId="0" borderId="0" xfId="0" applyFont="1" applyFill="1" applyAlignment="1">
      <alignment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25" fillId="0" borderId="9" xfId="2" applyFont="1" applyFill="1" applyBorder="1" applyAlignment="1">
      <alignment horizontal="center" vertical="center"/>
    </xf>
    <xf numFmtId="49" fontId="25" fillId="0" borderId="9" xfId="6" applyNumberFormat="1" applyFont="1" applyFill="1" applyBorder="1" applyAlignment="1" applyProtection="1">
      <alignment horizontal="left" vertical="center" wrapText="1"/>
    </xf>
    <xf numFmtId="49" fontId="25" fillId="0" borderId="9" xfId="6" applyNumberFormat="1" applyFont="1" applyFill="1" applyBorder="1" applyAlignment="1" applyProtection="1">
      <alignment horizontal="center" vertical="center" wrapText="1"/>
    </xf>
    <xf numFmtId="0" fontId="25" fillId="3" borderId="9" xfId="2" applyFont="1" applyFill="1" applyBorder="1" applyAlignment="1">
      <alignment horizontal="center" vertical="center"/>
    </xf>
    <xf numFmtId="49" fontId="25" fillId="3" borderId="9" xfId="6" applyNumberFormat="1" applyFont="1" applyFill="1" applyBorder="1" applyAlignment="1" applyProtection="1">
      <alignment horizontal="left" vertical="center" wrapText="1"/>
    </xf>
    <xf numFmtId="49" fontId="25" fillId="3" borderId="9" xfId="6"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36" fillId="5" borderId="0" xfId="2" applyFont="1" applyFill="1" applyAlignment="1">
      <alignment vertical="center"/>
    </xf>
    <xf numFmtId="165" fontId="23"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4" fillId="2" borderId="9" xfId="2" applyFont="1" applyFill="1" applyBorder="1" applyAlignment="1">
      <alignment horizontal="center" vertical="center"/>
    </xf>
    <xf numFmtId="0" fontId="37" fillId="5" borderId="0" xfId="2" applyFont="1" applyFill="1" applyAlignment="1">
      <alignment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26" fillId="3" borderId="0" xfId="0" applyFont="1" applyFill="1" applyBorder="1" applyAlignment="1">
      <alignment horizontal="left" vertical="center" wrapText="1"/>
    </xf>
    <xf numFmtId="0" fontId="6" fillId="0" borderId="0" xfId="0" applyFont="1" applyFill="1"/>
    <xf numFmtId="0" fontId="35" fillId="2" borderId="9" xfId="0" applyFont="1" applyFill="1" applyBorder="1" applyAlignment="1">
      <alignment horizontal="center" vertical="center" wrapText="1"/>
    </xf>
    <xf numFmtId="10" fontId="23" fillId="3" borderId="1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3" fillId="3" borderId="0" xfId="1" applyFont="1" applyFill="1" applyBorder="1" applyAlignment="1">
      <alignment vertical="center"/>
    </xf>
    <xf numFmtId="0" fontId="23" fillId="3" borderId="0" xfId="1" applyNumberFormat="1" applyFont="1" applyFill="1" applyBorder="1" applyAlignment="1">
      <alignment vertical="center"/>
    </xf>
    <xf numFmtId="0" fontId="19"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2" applyNumberFormat="1" applyFont="1" applyFill="1" applyBorder="1" applyAlignment="1" applyProtection="1">
      <alignment horizontal="center" vertical="center" wrapText="1"/>
    </xf>
    <xf numFmtId="0" fontId="19" fillId="0" borderId="0" xfId="0" applyFont="1" applyFill="1"/>
    <xf numFmtId="0" fontId="22" fillId="3" borderId="9" xfId="0" applyFont="1" applyFill="1" applyBorder="1" applyAlignment="1">
      <alignment horizontal="center" vertical="center"/>
    </xf>
    <xf numFmtId="49" fontId="22" fillId="3" borderId="9" xfId="2"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24" fillId="3" borderId="9" xfId="0" applyFont="1" applyFill="1" applyBorder="1" applyAlignment="1">
      <alignment horizontal="left" vertical="center" wrapText="1"/>
    </xf>
    <xf numFmtId="49" fontId="24" fillId="3" borderId="9" xfId="0" applyNumberFormat="1" applyFont="1" applyFill="1" applyBorder="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0" xfId="0" applyFont="1" applyFill="1" applyBorder="1" applyAlignment="1">
      <alignment horizontal="center" vertical="center"/>
    </xf>
    <xf numFmtId="0" fontId="22" fillId="3" borderId="0" xfId="0" applyFont="1" applyFill="1" applyBorder="1" applyAlignment="1">
      <alignment vertical="center" wrapText="1"/>
    </xf>
    <xf numFmtId="41" fontId="22" fillId="3" borderId="0" xfId="0" applyNumberFormat="1" applyFont="1" applyFill="1" applyBorder="1" applyAlignment="1">
      <alignment horizontal="right" vertical="center" wrapText="1"/>
    </xf>
    <xf numFmtId="0" fontId="35" fillId="3" borderId="0" xfId="0" applyFont="1" applyFill="1" applyBorder="1" applyAlignment="1">
      <alignment vertical="center"/>
    </xf>
    <xf numFmtId="0" fontId="22" fillId="3" borderId="0" xfId="0" applyFont="1" applyFill="1" applyAlignment="1">
      <alignment vertical="center" wrapText="1"/>
    </xf>
    <xf numFmtId="0" fontId="24" fillId="2" borderId="9" xfId="0" applyNumberFormat="1" applyFont="1" applyFill="1" applyBorder="1" applyAlignment="1" applyProtection="1">
      <alignment horizontal="center" vertical="center" wrapText="1"/>
    </xf>
    <xf numFmtId="49" fontId="24" fillId="2" borderId="9" xfId="0" applyNumberFormat="1" applyFont="1" applyFill="1" applyBorder="1" applyAlignment="1" applyProtection="1">
      <alignment horizontal="center" vertical="center" wrapText="1"/>
    </xf>
    <xf numFmtId="0" fontId="24" fillId="2" borderId="9" xfId="4" applyFont="1" applyFill="1" applyBorder="1" applyAlignment="1" applyProtection="1">
      <alignment horizontal="left" vertical="center" wrapText="1"/>
    </xf>
    <xf numFmtId="49" fontId="24" fillId="2" borderId="9" xfId="4" applyNumberFormat="1" applyFont="1" applyFill="1" applyBorder="1" applyAlignment="1" applyProtection="1">
      <alignment horizontal="center" vertical="center" wrapText="1"/>
    </xf>
    <xf numFmtId="0" fontId="23" fillId="2" borderId="9" xfId="4" applyNumberFormat="1" applyFont="1" applyFill="1" applyBorder="1" applyAlignment="1" applyProtection="1">
      <alignment horizontal="center" vertical="center" wrapText="1"/>
    </xf>
    <xf numFmtId="0" fontId="23" fillId="3"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0" fontId="23" fillId="0" borderId="9" xfId="4" applyNumberFormat="1" applyFont="1" applyFill="1" applyBorder="1" applyAlignment="1" applyProtection="1">
      <alignment horizontal="center" vertical="center" wrapText="1"/>
    </xf>
    <xf numFmtId="0" fontId="23" fillId="3" borderId="9" xfId="4" applyNumberFormat="1" applyFont="1" applyFill="1" applyBorder="1" applyAlignment="1" applyProtection="1">
      <alignment horizontal="center" vertical="center" wrapText="1"/>
    </xf>
    <xf numFmtId="49" fontId="23" fillId="3" borderId="9" xfId="4" applyNumberFormat="1" applyFont="1" applyFill="1" applyBorder="1" applyAlignment="1" applyProtection="1">
      <alignment horizontal="center" vertical="center" wrapText="1"/>
    </xf>
    <xf numFmtId="0" fontId="23" fillId="0"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49" fontId="25" fillId="0" borderId="9" xfId="4" quotePrefix="1" applyNumberFormat="1" applyFont="1" applyFill="1" applyBorder="1" applyAlignment="1" applyProtection="1">
      <alignment horizontal="center" vertical="center" wrapText="1"/>
    </xf>
    <xf numFmtId="0" fontId="35" fillId="3" borderId="0" xfId="0" applyFont="1" applyFill="1" applyAlignment="1">
      <alignment horizontal="center" vertical="center"/>
    </xf>
    <xf numFmtId="0" fontId="22" fillId="3" borderId="0" xfId="0" applyFont="1" applyFill="1" applyAlignment="1">
      <alignment horizontal="center" vertical="center"/>
    </xf>
    <xf numFmtId="0" fontId="20" fillId="0" borderId="0" xfId="0" applyFont="1" applyFill="1" applyAlignment="1">
      <alignment wrapText="1"/>
    </xf>
    <xf numFmtId="0" fontId="6" fillId="0" borderId="0" xfId="0" applyFont="1" applyFill="1" applyAlignment="1"/>
    <xf numFmtId="0" fontId="35" fillId="3" borderId="9" xfId="0" applyFont="1" applyFill="1" applyBorder="1" applyAlignment="1">
      <alignment vertical="center" wrapText="1"/>
    </xf>
    <xf numFmtId="49" fontId="35" fillId="3" borderId="9" xfId="0" applyNumberFormat="1" applyFont="1" applyFill="1" applyBorder="1" applyAlignment="1">
      <alignment horizontal="center" vertical="center"/>
    </xf>
    <xf numFmtId="0" fontId="35" fillId="3" borderId="9" xfId="0" applyFont="1" applyFill="1" applyBorder="1" applyAlignment="1">
      <alignment vertical="center"/>
    </xf>
    <xf numFmtId="0" fontId="22" fillId="3" borderId="9" xfId="0" applyFont="1" applyFill="1" applyBorder="1" applyAlignment="1">
      <alignment vertical="center" wrapText="1"/>
    </xf>
    <xf numFmtId="49" fontId="22" fillId="3" borderId="9" xfId="0" applyNumberFormat="1" applyFont="1" applyFill="1" applyBorder="1" applyAlignment="1">
      <alignment horizontal="center" vertical="center"/>
    </xf>
    <xf numFmtId="0" fontId="22" fillId="3" borderId="9" xfId="0" applyFont="1" applyFill="1" applyBorder="1" applyAlignment="1">
      <alignment vertical="center"/>
    </xf>
    <xf numFmtId="0" fontId="22" fillId="3" borderId="9" xfId="0" applyFont="1" applyFill="1" applyBorder="1" applyAlignment="1">
      <alignment horizontal="left" vertical="center" wrapText="1"/>
    </xf>
    <xf numFmtId="0" fontId="22" fillId="3" borderId="9" xfId="0" quotePrefix="1" applyFont="1" applyFill="1" applyBorder="1" applyAlignment="1">
      <alignment vertical="center" wrapText="1"/>
    </xf>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25" fillId="3" borderId="9" xfId="0" applyFont="1" applyFill="1" applyBorder="1" applyAlignment="1">
      <alignment vertical="center" wrapText="1"/>
    </xf>
    <xf numFmtId="0" fontId="26" fillId="3" borderId="0" xfId="0" applyFont="1" applyFill="1" applyBorder="1" applyAlignment="1">
      <alignment horizontal="left" vertical="center"/>
    </xf>
    <xf numFmtId="0" fontId="24" fillId="2" borderId="9" xfId="6" applyFont="1" applyFill="1" applyBorder="1" applyAlignment="1" applyProtection="1">
      <alignment horizontal="left" vertical="center" wrapText="1"/>
    </xf>
    <xf numFmtId="165"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6" fontId="23" fillId="3" borderId="14" xfId="0" applyNumberFormat="1" applyFont="1" applyFill="1" applyBorder="1" applyAlignment="1" applyProtection="1">
      <alignment horizontal="right" vertical="center" wrapText="1"/>
      <protection locked="0"/>
    </xf>
    <xf numFmtId="166" fontId="24" fillId="2" borderId="9" xfId="7"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0" fontId="22" fillId="3" borderId="0" xfId="0" applyFont="1" applyFill="1" applyAlignment="1">
      <alignment horizontal="center" vertical="center"/>
    </xf>
    <xf numFmtId="165" fontId="24" fillId="2" borderId="9" xfId="10" applyNumberFormat="1" applyFont="1" applyFill="1" applyBorder="1" applyAlignment="1" applyProtection="1">
      <alignment horizontal="center" vertical="center" wrapText="1"/>
    </xf>
    <xf numFmtId="0" fontId="38" fillId="3" borderId="0" xfId="0" applyFont="1" applyFill="1" applyBorder="1" applyAlignment="1">
      <alignment vertical="center"/>
    </xf>
    <xf numFmtId="41" fontId="23" fillId="3" borderId="9" xfId="5" applyNumberFormat="1" applyFont="1" applyFill="1" applyBorder="1" applyAlignment="1" applyProtection="1">
      <alignment horizontal="right" vertical="center" wrapText="1"/>
      <protection locked="0"/>
    </xf>
    <xf numFmtId="164" fontId="24" fillId="3" borderId="9" xfId="5"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0" fontId="2" fillId="5" borderId="0" xfId="12" applyFill="1" applyAlignment="1">
      <alignment vertical="center"/>
    </xf>
    <xf numFmtId="0" fontId="2" fillId="5" borderId="0" xfId="12" applyFill="1"/>
    <xf numFmtId="0" fontId="25" fillId="3" borderId="0" xfId="11" applyFont="1" applyFill="1" applyAlignment="1">
      <alignment horizontal="center" vertical="center"/>
    </xf>
    <xf numFmtId="0" fontId="23" fillId="3" borderId="0" xfId="11" applyFont="1" applyFill="1"/>
    <xf numFmtId="0" fontId="2" fillId="3" borderId="0" xfId="12" applyFill="1"/>
    <xf numFmtId="0" fontId="2" fillId="3" borderId="0" xfId="12" applyFont="1" applyFill="1"/>
    <xf numFmtId="0" fontId="38" fillId="3" borderId="0" xfId="11" applyFont="1" applyFill="1" applyAlignment="1">
      <alignment horizontal="left" vertical="top"/>
    </xf>
    <xf numFmtId="0" fontId="38" fillId="3" borderId="0" xfId="11" applyFont="1" applyFill="1" applyAlignment="1">
      <alignment horizontal="left" vertical="top" wrapText="1"/>
    </xf>
    <xf numFmtId="0" fontId="41" fillId="3" borderId="0" xfId="11" applyFont="1" applyFill="1" applyAlignment="1">
      <alignment horizontal="left" vertical="top"/>
    </xf>
    <xf numFmtId="0" fontId="23" fillId="3" borderId="0" xfId="11" applyFont="1" applyFill="1" applyAlignment="1">
      <alignment horizontal="left" vertical="top"/>
    </xf>
    <xf numFmtId="0" fontId="22" fillId="3" borderId="0" xfId="11" applyFont="1" applyFill="1" applyAlignment="1">
      <alignment horizontal="left" vertical="top"/>
    </xf>
    <xf numFmtId="0" fontId="2" fillId="3" borderId="0" xfId="12" applyFill="1" applyAlignment="1">
      <alignment horizontal="center"/>
    </xf>
    <xf numFmtId="0" fontId="22" fillId="5" borderId="0" xfId="12" applyFont="1" applyFill="1"/>
    <xf numFmtId="0" fontId="35" fillId="6" borderId="9" xfId="12" applyFont="1" applyFill="1" applyBorder="1" applyAlignment="1">
      <alignment horizontal="center" vertical="center" wrapText="1"/>
    </xf>
    <xf numFmtId="49" fontId="22" fillId="3" borderId="9" xfId="12" applyNumberFormat="1" applyFont="1" applyFill="1" applyBorder="1" applyAlignment="1" applyProtection="1">
      <alignment horizontal="center" vertical="center" wrapText="1"/>
    </xf>
    <xf numFmtId="49" fontId="22" fillId="3" borderId="9" xfId="12" applyNumberFormat="1" applyFont="1" applyFill="1" applyBorder="1" applyAlignment="1" applyProtection="1">
      <alignment horizontal="left" vertical="center" wrapText="1"/>
    </xf>
    <xf numFmtId="0" fontId="22" fillId="3" borderId="9" xfId="12" applyFont="1" applyFill="1" applyBorder="1"/>
    <xf numFmtId="0" fontId="22" fillId="3" borderId="9" xfId="12" applyFont="1" applyFill="1" applyBorder="1" applyAlignment="1">
      <alignment vertical="center" wrapText="1"/>
    </xf>
    <xf numFmtId="167" fontId="22" fillId="3" borderId="9" xfId="12" applyNumberFormat="1" applyFont="1" applyFill="1" applyBorder="1" applyAlignment="1">
      <alignment vertical="center" wrapText="1"/>
    </xf>
    <xf numFmtId="10" fontId="22" fillId="3" borderId="9" xfId="12" applyNumberFormat="1" applyFont="1" applyFill="1" applyBorder="1" applyAlignment="1" applyProtection="1">
      <alignment horizontal="left" vertical="center" wrapText="1"/>
    </xf>
    <xf numFmtId="37" fontId="35" fillId="3" borderId="9" xfId="12" applyNumberFormat="1" applyFont="1" applyFill="1" applyBorder="1" applyAlignment="1" applyProtection="1">
      <alignment horizontal="left" vertical="center" wrapText="1"/>
    </xf>
    <xf numFmtId="10" fontId="35" fillId="3" borderId="9" xfId="12" applyNumberFormat="1" applyFont="1" applyFill="1" applyBorder="1" applyAlignment="1" applyProtection="1">
      <alignment horizontal="left" vertical="center" wrapText="1"/>
    </xf>
    <xf numFmtId="10" fontId="22" fillId="3" borderId="9" xfId="12" applyNumberFormat="1" applyFont="1" applyFill="1" applyBorder="1"/>
    <xf numFmtId="0" fontId="22" fillId="3" borderId="9" xfId="12" applyNumberFormat="1" applyFont="1" applyFill="1" applyBorder="1" applyAlignment="1" applyProtection="1">
      <alignment horizontal="center" vertical="center" wrapText="1"/>
    </xf>
    <xf numFmtId="0" fontId="22" fillId="3" borderId="9" xfId="12" applyNumberFormat="1" applyFont="1" applyFill="1" applyBorder="1" applyAlignment="1" applyProtection="1">
      <alignment horizontal="right" vertical="center" wrapText="1"/>
    </xf>
    <xf numFmtId="0" fontId="22" fillId="3" borderId="0" xfId="12" applyFont="1" applyFill="1" applyAlignment="1">
      <alignment horizontal="center"/>
    </xf>
    <xf numFmtId="0" fontId="22" fillId="3" borderId="0" xfId="12" applyFont="1" applyFill="1"/>
    <xf numFmtId="0" fontId="35" fillId="3" borderId="0" xfId="11" applyFont="1" applyFill="1"/>
    <xf numFmtId="0" fontId="22" fillId="3" borderId="0" xfId="11" applyFont="1" applyFill="1"/>
    <xf numFmtId="165" fontId="22" fillId="3" borderId="0" xfId="13" applyNumberFormat="1" applyFont="1" applyFill="1" applyProtection="1">
      <protection locked="0"/>
    </xf>
    <xf numFmtId="165" fontId="35" fillId="3" borderId="0" xfId="13" applyNumberFormat="1" applyFont="1" applyFill="1" applyProtection="1">
      <protection locked="0"/>
    </xf>
    <xf numFmtId="0" fontId="34" fillId="3" borderId="0" xfId="11" applyFont="1" applyFill="1"/>
    <xf numFmtId="165" fontId="34" fillId="3" borderId="0" xfId="13" applyNumberFormat="1" applyFont="1" applyFill="1" applyProtection="1">
      <protection locked="0"/>
    </xf>
    <xf numFmtId="0" fontId="22" fillId="3" borderId="8" xfId="11" applyFont="1" applyFill="1" applyBorder="1"/>
    <xf numFmtId="165" fontId="22" fillId="3" borderId="8" xfId="13" applyNumberFormat="1" applyFont="1" applyFill="1" applyBorder="1" applyProtection="1">
      <protection locked="0"/>
    </xf>
    <xf numFmtId="0" fontId="2" fillId="3" borderId="8" xfId="12" applyFill="1" applyBorder="1"/>
    <xf numFmtId="0" fontId="2" fillId="5" borderId="0" xfId="12"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35" fillId="3" borderId="0" xfId="0" applyFont="1" applyFill="1" applyBorder="1" applyAlignment="1">
      <alignment horizontal="center" vertical="center"/>
    </xf>
    <xf numFmtId="0" fontId="23" fillId="3" borderId="8" xfId="0" applyFont="1" applyFill="1" applyBorder="1" applyAlignment="1">
      <alignment horizontal="left" vertical="center"/>
    </xf>
    <xf numFmtId="49" fontId="23" fillId="3" borderId="9" xfId="12" applyNumberFormat="1" applyFont="1" applyFill="1" applyBorder="1" applyAlignment="1" applyProtection="1">
      <alignment horizontal="left" vertical="center" wrapText="1"/>
    </xf>
    <xf numFmtId="4" fontId="43" fillId="7" borderId="15" xfId="0" applyNumberFormat="1" applyFont="1" applyFill="1" applyBorder="1" applyAlignment="1" applyProtection="1">
      <alignment horizontal="left" vertical="center" wrapText="1"/>
      <protection locked="0"/>
    </xf>
    <xf numFmtId="4" fontId="44" fillId="8" borderId="16" xfId="0" applyNumberFormat="1" applyFont="1" applyFill="1" applyBorder="1" applyAlignment="1" applyProtection="1">
      <alignment horizontal="center" vertical="center" wrapText="1"/>
      <protection locked="0"/>
    </xf>
    <xf numFmtId="0" fontId="45" fillId="9" borderId="17" xfId="0" applyNumberFormat="1" applyFont="1" applyFill="1" applyBorder="1" applyAlignment="1" applyProtection="1">
      <alignment horizontal="center" vertical="center" wrapText="1"/>
      <protection locked="0"/>
    </xf>
    <xf numFmtId="10" fontId="46" fillId="10" borderId="18" xfId="0" applyNumberFormat="1" applyFont="1" applyFill="1" applyBorder="1" applyAlignment="1" applyProtection="1">
      <alignment horizontal="right" vertical="center" wrapText="1"/>
      <protection locked="0"/>
    </xf>
    <xf numFmtId="165" fontId="47" fillId="11" borderId="19" xfId="0" applyNumberFormat="1" applyFont="1" applyFill="1" applyBorder="1" applyAlignment="1" applyProtection="1">
      <alignment horizontal="right" vertical="center" wrapText="1"/>
      <protection locked="0"/>
    </xf>
    <xf numFmtId="0" fontId="48" fillId="12" borderId="20" xfId="0" applyNumberFormat="1" applyFont="1" applyFill="1" applyBorder="1" applyAlignment="1" applyProtection="1">
      <alignment horizontal="left" vertical="center" wrapText="1"/>
      <protection locked="0"/>
    </xf>
    <xf numFmtId="0" fontId="49" fillId="13" borderId="21" xfId="0" applyNumberFormat="1" applyFont="1" applyFill="1" applyBorder="1" applyAlignment="1" applyProtection="1">
      <alignment horizontal="center" vertical="center" wrapText="1"/>
      <protection locked="0"/>
    </xf>
    <xf numFmtId="10" fontId="50" fillId="14" borderId="22" xfId="0" applyNumberFormat="1" applyFont="1" applyFill="1" applyBorder="1" applyAlignment="1" applyProtection="1">
      <alignment horizontal="right" vertical="center" wrapText="1"/>
      <protection locked="0"/>
    </xf>
    <xf numFmtId="165" fontId="51" fillId="15" borderId="23" xfId="0" applyNumberFormat="1" applyFont="1" applyFill="1" applyBorder="1" applyAlignment="1" applyProtection="1">
      <alignment horizontal="right" vertical="center" wrapText="1"/>
      <protection locked="0"/>
    </xf>
    <xf numFmtId="43" fontId="52" fillId="16" borderId="24" xfId="0" applyNumberFormat="1" applyFont="1" applyFill="1" applyBorder="1" applyAlignment="1" applyProtection="1">
      <alignment horizontal="right" vertical="center" wrapText="1"/>
      <protection locked="0"/>
    </xf>
    <xf numFmtId="37" fontId="53" fillId="17" borderId="25" xfId="0" applyNumberFormat="1" applyFont="1" applyFill="1" applyBorder="1" applyAlignment="1" applyProtection="1">
      <alignment horizontal="right" vertical="center" wrapText="1"/>
      <protection locked="0"/>
    </xf>
    <xf numFmtId="0" fontId="7" fillId="2" borderId="9" xfId="14" applyFont="1" applyFill="1" applyBorder="1" applyAlignment="1">
      <alignment horizontal="left" vertical="top"/>
    </xf>
    <xf numFmtId="49" fontId="7" fillId="2" borderId="9" xfId="14" applyNumberFormat="1" applyFont="1" applyFill="1" applyBorder="1" applyAlignment="1">
      <alignment horizontal="left" vertical="top"/>
    </xf>
    <xf numFmtId="0" fontId="8" fillId="2" borderId="9" xfId="14" applyFont="1" applyFill="1" applyBorder="1" applyAlignment="1">
      <alignment horizontal="left" vertical="top"/>
    </xf>
    <xf numFmtId="49" fontId="8" fillId="2" borderId="9" xfId="14" applyNumberFormat="1" applyFont="1" applyFill="1" applyBorder="1" applyAlignment="1">
      <alignment horizontal="left" vertical="top"/>
    </xf>
    <xf numFmtId="0" fontId="8" fillId="2" borderId="9" xfId="14" applyFont="1" applyFill="1" applyBorder="1" applyAlignment="1">
      <alignment horizontal="left" vertical="top" wrapText="1"/>
    </xf>
    <xf numFmtId="49" fontId="17" fillId="2" borderId="9" xfId="15" applyNumberFormat="1" applyFont="1" applyFill="1" applyBorder="1" applyAlignment="1">
      <alignment horizontal="left" vertical="top"/>
    </xf>
    <xf numFmtId="0" fontId="8" fillId="2" borderId="9" xfId="14" applyFont="1" applyFill="1" applyBorder="1" applyAlignment="1">
      <alignment horizontal="left"/>
    </xf>
    <xf numFmtId="0" fontId="8" fillId="2" borderId="9" xfId="14" applyFont="1" applyFill="1" applyBorder="1"/>
    <xf numFmtId="49" fontId="8" fillId="2" borderId="9" xfId="14" applyNumberFormat="1" applyFont="1" applyFill="1" applyBorder="1"/>
    <xf numFmtId="0" fontId="8" fillId="2" borderId="9" xfId="14" applyFont="1" applyFill="1" applyBorder="1" applyAlignment="1">
      <alignment wrapText="1"/>
    </xf>
    <xf numFmtId="0" fontId="24" fillId="3" borderId="0" xfId="16" applyFont="1" applyFill="1" applyAlignment="1">
      <alignment horizontal="center" vertical="center"/>
    </xf>
    <xf numFmtId="0" fontId="24" fillId="3" borderId="0" xfId="16" applyFont="1" applyFill="1" applyAlignment="1">
      <alignment vertical="center"/>
    </xf>
    <xf numFmtId="0" fontId="23" fillId="3" borderId="0" xfId="17" applyFont="1" applyFill="1" applyAlignment="1">
      <alignment vertical="center"/>
    </xf>
    <xf numFmtId="0" fontId="35" fillId="3" borderId="0" xfId="16" applyFont="1" applyFill="1" applyAlignment="1">
      <alignment horizontal="center" vertical="center"/>
    </xf>
    <xf numFmtId="0" fontId="35" fillId="3" borderId="0" xfId="16" applyFont="1" applyFill="1" applyAlignment="1">
      <alignment vertical="center"/>
    </xf>
    <xf numFmtId="0" fontId="2" fillId="3" borderId="0" xfId="18" applyFill="1"/>
    <xf numFmtId="0" fontId="22" fillId="18" borderId="0" xfId="0" applyFont="1" applyFill="1" applyAlignment="1">
      <alignment vertical="center"/>
    </xf>
    <xf numFmtId="0" fontId="2" fillId="3" borderId="0" xfId="19" applyFill="1"/>
    <xf numFmtId="0" fontId="1" fillId="18" borderId="0" xfId="0" applyFont="1" applyFill="1"/>
    <xf numFmtId="0" fontId="35" fillId="3" borderId="0" xfId="16" applyFont="1" applyFill="1" applyAlignment="1">
      <alignment horizontal="center"/>
    </xf>
    <xf numFmtId="0" fontId="35" fillId="3" borderId="0" xfId="16" applyFont="1" applyFill="1"/>
    <xf numFmtId="0" fontId="2" fillId="3" borderId="0" xfId="16" applyFill="1"/>
    <xf numFmtId="37" fontId="23" fillId="3" borderId="0" xfId="20" applyNumberFormat="1" applyFont="1" applyFill="1" applyAlignment="1">
      <alignment horizontal="left"/>
    </xf>
    <xf numFmtId="0" fontId="2" fillId="5" borderId="0" xfId="16" applyFill="1"/>
    <xf numFmtId="0" fontId="2" fillId="3" borderId="0" xfId="21" applyFill="1"/>
    <xf numFmtId="10" fontId="46" fillId="3" borderId="18" xfId="0" applyNumberFormat="1" applyFont="1" applyFill="1" applyBorder="1" applyAlignment="1" applyProtection="1">
      <alignment horizontal="right" vertical="center" wrapText="1"/>
      <protection locked="0"/>
    </xf>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2" fillId="3" borderId="0" xfId="0" applyFont="1" applyFill="1" applyAlignment="1">
      <alignment horizontal="left" vertical="center" wrapText="1"/>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26" fillId="3" borderId="0" xfId="0" applyFont="1" applyFill="1" applyBorder="1" applyAlignment="1">
      <alignment horizontal="left" vertical="center" wrapText="1"/>
    </xf>
    <xf numFmtId="0" fontId="35" fillId="3" borderId="0" xfId="0" applyFont="1" applyFill="1" applyAlignment="1">
      <alignment horizontal="center" vertical="center"/>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4" fillId="2" borderId="10" xfId="7" applyNumberFormat="1" applyFont="1" applyFill="1" applyBorder="1" applyAlignment="1" applyProtection="1">
      <alignment horizontal="center" vertical="center" wrapText="1"/>
      <protection locked="0"/>
    </xf>
    <xf numFmtId="165" fontId="24" fillId="2" borderId="11" xfId="7" applyNumberFormat="1" applyFont="1" applyFill="1" applyBorder="1" applyAlignment="1" applyProtection="1">
      <alignment horizontal="center" vertical="center" wrapText="1"/>
      <protection locked="0"/>
    </xf>
    <xf numFmtId="0" fontId="22" fillId="3" borderId="0" xfId="0" applyFont="1" applyFill="1" applyBorder="1" applyAlignment="1">
      <alignment horizontal="center" vertical="center"/>
    </xf>
    <xf numFmtId="0" fontId="35" fillId="3" borderId="0" xfId="0" applyFont="1" applyFill="1" applyBorder="1" applyAlignment="1">
      <alignment horizontal="center" vertical="center"/>
    </xf>
    <xf numFmtId="0" fontId="22" fillId="3" borderId="0" xfId="0" applyFont="1" applyFill="1" applyAlignment="1">
      <alignment horizontal="center" vertical="center"/>
    </xf>
    <xf numFmtId="0" fontId="35" fillId="3" borderId="0" xfId="0" applyFont="1" applyFill="1" applyBorder="1" applyAlignment="1">
      <alignment horizontal="center" vertical="center" wrapText="1"/>
    </xf>
    <xf numFmtId="0" fontId="23" fillId="3" borderId="0" xfId="0" applyFont="1" applyFill="1" applyAlignment="1">
      <alignment horizontal="left" vertical="center" wrapText="1"/>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2" fillId="3" borderId="0" xfId="0" applyFont="1" applyFill="1" applyAlignment="1">
      <alignment horizontal="left" vertical="center"/>
    </xf>
    <xf numFmtId="0" fontId="26" fillId="3" borderId="0" xfId="0" applyFont="1" applyFill="1" applyBorder="1" applyAlignment="1">
      <alignment horizontal="left" vertical="center"/>
    </xf>
    <xf numFmtId="0" fontId="39" fillId="0" borderId="0" xfId="11" applyFont="1" applyFill="1" applyAlignment="1">
      <alignment horizontal="right" vertical="center" wrapText="1"/>
    </xf>
    <xf numFmtId="0" fontId="40" fillId="3" borderId="0" xfId="11" applyFont="1" applyFill="1" applyAlignment="1">
      <alignment horizontal="right" vertical="center" wrapText="1"/>
    </xf>
    <xf numFmtId="0" fontId="27" fillId="0" borderId="0" xfId="11" applyFont="1" applyFill="1" applyAlignment="1">
      <alignment horizontal="center" vertical="center" wrapText="1"/>
    </xf>
    <xf numFmtId="0" fontId="25" fillId="3" borderId="0" xfId="11" applyFont="1" applyFill="1" applyAlignment="1">
      <alignment horizontal="center" vertical="center"/>
    </xf>
    <xf numFmtId="0" fontId="26" fillId="3" borderId="0" xfId="11" applyFont="1" applyFill="1" applyAlignment="1">
      <alignment horizontal="left" vertical="center" wrapText="1"/>
    </xf>
    <xf numFmtId="0" fontId="24" fillId="3" borderId="0" xfId="11" applyFont="1" applyFill="1" applyAlignment="1">
      <alignment horizontal="left" vertical="center"/>
    </xf>
    <xf numFmtId="0" fontId="41" fillId="3" borderId="0" xfId="11" applyFont="1" applyFill="1" applyAlignment="1">
      <alignment horizontal="left" vertical="center" wrapText="1"/>
    </xf>
    <xf numFmtId="0" fontId="23" fillId="3" borderId="0" xfId="11" applyFont="1" applyFill="1" applyAlignment="1">
      <alignment horizontal="left" vertical="center" wrapText="1"/>
    </xf>
    <xf numFmtId="0" fontId="42" fillId="3" borderId="0" xfId="11" applyFont="1" applyFill="1" applyAlignment="1">
      <alignment horizontal="left" vertical="center" wrapText="1"/>
    </xf>
    <xf numFmtId="0" fontId="26" fillId="3" borderId="0" xfId="11" applyFont="1" applyFill="1" applyAlignment="1">
      <alignment horizontal="left" vertical="top" wrapText="1"/>
    </xf>
    <xf numFmtId="0" fontId="22" fillId="3" borderId="0" xfId="11" applyFont="1" applyFill="1" applyAlignment="1">
      <alignment horizontal="left" vertical="top" wrapText="1"/>
    </xf>
    <xf numFmtId="0" fontId="41" fillId="3" borderId="0" xfId="11" applyFont="1" applyFill="1" applyAlignment="1">
      <alignment horizontal="left" vertical="top" wrapText="1"/>
    </xf>
    <xf numFmtId="0" fontId="35" fillId="6" borderId="12" xfId="12" applyFont="1" applyFill="1" applyBorder="1" applyAlignment="1">
      <alignment horizontal="center" vertical="center" wrapText="1"/>
    </xf>
    <xf numFmtId="0" fontId="35" fillId="6" borderId="13" xfId="12" applyFont="1" applyFill="1" applyBorder="1" applyAlignment="1">
      <alignment horizontal="center" vertical="center" wrapText="1"/>
    </xf>
    <xf numFmtId="0" fontId="35" fillId="6" borderId="10" xfId="12" applyFont="1" applyFill="1" applyBorder="1" applyAlignment="1">
      <alignment horizontal="center" vertical="center" wrapText="1"/>
    </xf>
    <xf numFmtId="0" fontId="35" fillId="6" borderId="11" xfId="12" applyFont="1" applyFill="1" applyBorder="1" applyAlignment="1">
      <alignment horizontal="center" vertical="center" wrapText="1"/>
    </xf>
    <xf numFmtId="0" fontId="38" fillId="3" borderId="0" xfId="11" applyFont="1" applyFill="1" applyAlignment="1">
      <alignment horizontal="left" vertical="top" wrapText="1"/>
    </xf>
    <xf numFmtId="37" fontId="23" fillId="3" borderId="0" xfId="11" applyNumberFormat="1" applyFont="1" applyFill="1" applyAlignment="1">
      <alignment horizontal="left"/>
    </xf>
    <xf numFmtId="0" fontId="35" fillId="6" borderId="12" xfId="12" applyNumberFormat="1" applyFont="1" applyFill="1" applyBorder="1" applyAlignment="1" applyProtection="1">
      <alignment horizontal="center" vertical="center" wrapText="1"/>
    </xf>
    <xf numFmtId="0" fontId="35" fillId="6" borderId="13" xfId="12" applyNumberFormat="1" applyFont="1" applyFill="1" applyBorder="1" applyAlignment="1" applyProtection="1">
      <alignment horizontal="center" vertical="center" wrapText="1"/>
    </xf>
    <xf numFmtId="0" fontId="22" fillId="3" borderId="9" xfId="0" applyFont="1" applyFill="1" applyBorder="1" applyAlignment="1">
      <alignment horizontal="center" vertical="center"/>
    </xf>
    <xf numFmtId="0" fontId="35" fillId="2" borderId="10" xfId="0" applyFont="1" applyFill="1" applyBorder="1" applyAlignment="1">
      <alignment horizontal="center" vertical="center" wrapText="1"/>
    </xf>
    <xf numFmtId="0" fontId="35" fillId="2" borderId="11" xfId="0" applyFont="1" applyFill="1" applyBorder="1" applyAlignment="1">
      <alignment horizontal="center" vertical="center" wrapText="1"/>
    </xf>
    <xf numFmtId="0" fontId="22" fillId="3" borderId="12" xfId="0" applyFont="1" applyFill="1" applyBorder="1" applyAlignment="1">
      <alignment horizontal="center" vertical="center"/>
    </xf>
    <xf numFmtId="0" fontId="22" fillId="3" borderId="13" xfId="0" applyFont="1" applyFill="1" applyBorder="1" applyAlignment="1">
      <alignment horizontal="center" vertical="center"/>
    </xf>
  </cellXfs>
  <cellStyles count="22">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5" xr:uid="{5E31FEA6-BF26-4A74-A89D-E7F5AFAAD841}"/>
    <cellStyle name="Normal" xfId="0" builtinId="0"/>
    <cellStyle name="Normal 11" xfId="21" xr:uid="{8F4F0B99-EDA9-422C-BD5F-4FB764602E89}"/>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6" xr:uid="{CCC50CAA-2410-476F-A229-BD48AC67AAC1}"/>
    <cellStyle name="Normal 4" xfId="11" xr:uid="{6387CE64-05F5-4E96-A2BE-F6E39976BB37}"/>
    <cellStyle name="Normal 4 2" xfId="20" xr:uid="{F97DB17A-103A-4A51-BD61-4BE29410A220}"/>
    <cellStyle name="Normal 5" xfId="14" xr:uid="{DD15C778-71B0-49DF-845B-FC876017F445}"/>
    <cellStyle name="Normal 6" xfId="17" xr:uid="{B45ACC4F-AD71-4561-87C3-4640336D229C}"/>
    <cellStyle name="Normal 8" xfId="18" xr:uid="{88D12B6A-34E2-4F13-AF16-8422A076D976}"/>
    <cellStyle name="Normal 9" xfId="19" xr:uid="{4E5B983E-1E92-4F76-A3D9-DB2AEC35BDFC}"/>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5"/>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89437</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4047"/>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0"/>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9"/>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8"/>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47" zoomScaleSheetLayoutView="100" workbookViewId="0">
      <selection activeCell="C53" sqref="C53"/>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55" t="s">
        <v>1172</v>
      </c>
      <c r="D1" s="256"/>
    </row>
    <row r="2" spans="1:11">
      <c r="C2" s="4" t="s">
        <v>1173</v>
      </c>
      <c r="D2" s="5"/>
    </row>
    <row r="3" spans="1:11">
      <c r="D3" s="6"/>
    </row>
    <row r="4" spans="1:11">
      <c r="A4" s="1" t="s">
        <v>1</v>
      </c>
      <c r="D4" s="6"/>
    </row>
    <row r="5" spans="1:11" ht="15" customHeight="1">
      <c r="C5" s="7" t="s">
        <v>2</v>
      </c>
      <c r="D5" s="258" t="s">
        <v>1174</v>
      </c>
      <c r="E5" s="258"/>
      <c r="F5" s="258"/>
      <c r="G5" s="258"/>
      <c r="H5" s="258"/>
      <c r="I5" s="258"/>
    </row>
    <row r="6" spans="1:11" ht="31">
      <c r="C6" s="9" t="s">
        <v>41</v>
      </c>
      <c r="D6" s="257" t="s">
        <v>1175</v>
      </c>
      <c r="E6" s="257"/>
      <c r="F6" s="257"/>
      <c r="G6" s="257"/>
      <c r="H6" s="257"/>
      <c r="I6" s="257"/>
    </row>
    <row r="7" spans="1:11">
      <c r="C7" s="10" t="s">
        <v>3</v>
      </c>
      <c r="D7" s="258" t="s">
        <v>1176</v>
      </c>
      <c r="E7" s="258"/>
      <c r="F7" s="258"/>
      <c r="G7" s="258"/>
      <c r="H7" s="258"/>
      <c r="I7" s="258"/>
    </row>
    <row r="8" spans="1:11" ht="15" customHeight="1">
      <c r="C8" s="11" t="s">
        <v>4</v>
      </c>
      <c r="D8" s="257" t="s">
        <v>1177</v>
      </c>
      <c r="E8" s="257"/>
      <c r="F8" s="257"/>
      <c r="G8" s="257"/>
      <c r="H8" s="257"/>
      <c r="I8" s="257"/>
    </row>
    <row r="9" spans="1:11" ht="15" customHeight="1">
      <c r="C9" s="10" t="s">
        <v>5</v>
      </c>
      <c r="D9" s="258" t="s">
        <v>339</v>
      </c>
      <c r="E9" s="258"/>
      <c r="F9" s="258"/>
      <c r="G9" s="258"/>
      <c r="H9" s="258"/>
      <c r="I9" s="258"/>
    </row>
    <row r="10" spans="1:11" ht="15" customHeight="1">
      <c r="C10" s="8" t="s">
        <v>6</v>
      </c>
      <c r="D10" s="257" t="s">
        <v>1178</v>
      </c>
      <c r="E10" s="257"/>
      <c r="F10" s="257"/>
      <c r="G10" s="257"/>
      <c r="H10" s="257"/>
      <c r="I10" s="257"/>
    </row>
    <row r="11" spans="1:11">
      <c r="C11" s="12" t="s">
        <v>7</v>
      </c>
      <c r="D11" s="258" t="s">
        <v>1179</v>
      </c>
      <c r="E11" s="258"/>
      <c r="F11" s="258"/>
      <c r="G11" s="258"/>
      <c r="H11" s="258"/>
      <c r="I11" s="258"/>
    </row>
    <row r="12" spans="1:11">
      <c r="C12" s="13" t="s">
        <v>8</v>
      </c>
      <c r="D12" s="257" t="s">
        <v>1180</v>
      </c>
      <c r="E12" s="257"/>
      <c r="F12" s="257"/>
      <c r="G12" s="257"/>
      <c r="H12" s="257"/>
      <c r="I12" s="257"/>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Việt Nam</v>
      </c>
      <c r="G19" s="19"/>
      <c r="H19" s="19"/>
      <c r="I19" s="19"/>
      <c r="J19" s="19"/>
      <c r="K19" s="20"/>
    </row>
    <row r="20" spans="3:11">
      <c r="C20" s="23" t="s">
        <v>1181</v>
      </c>
      <c r="D20" s="18"/>
      <c r="F20" s="22" t="s">
        <v>1182</v>
      </c>
      <c r="G20" s="19"/>
      <c r="H20" s="19"/>
      <c r="I20" s="19"/>
      <c r="J20" s="19"/>
      <c r="K20" s="20"/>
    </row>
    <row r="21" spans="3:11">
      <c r="C21" s="24" t="s">
        <v>1183</v>
      </c>
      <c r="D21" s="5"/>
      <c r="F21" s="25" t="s">
        <v>725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29" t="s">
        <v>15</v>
      </c>
      <c r="C34" s="229" t="s">
        <v>16</v>
      </c>
      <c r="D34" s="230" t="s">
        <v>17</v>
      </c>
    </row>
    <row r="35" spans="2:12" s="28" customFormat="1">
      <c r="B35" s="229" t="s">
        <v>694</v>
      </c>
      <c r="C35" s="229" t="s">
        <v>1194</v>
      </c>
      <c r="D35" s="230"/>
    </row>
    <row r="36" spans="2:12" s="28" customFormat="1">
      <c r="B36" s="231" t="s">
        <v>1195</v>
      </c>
      <c r="C36" s="231" t="s">
        <v>1196</v>
      </c>
      <c r="D36" s="232" t="s">
        <v>25</v>
      </c>
    </row>
    <row r="37" spans="2:12" s="28" customFormat="1">
      <c r="B37" s="231" t="s">
        <v>1197</v>
      </c>
      <c r="C37" s="231" t="s">
        <v>22</v>
      </c>
      <c r="D37" s="232" t="s">
        <v>26</v>
      </c>
      <c r="J37" s="29"/>
      <c r="K37" s="30"/>
      <c r="L37" s="31"/>
    </row>
    <row r="38" spans="2:12">
      <c r="B38" s="231" t="s">
        <v>1198</v>
      </c>
      <c r="C38" s="233" t="s">
        <v>34</v>
      </c>
      <c r="D38" s="234" t="s">
        <v>27</v>
      </c>
      <c r="J38" s="32"/>
      <c r="K38" s="33"/>
      <c r="L38" s="34"/>
    </row>
    <row r="39" spans="2:12" ht="31">
      <c r="B39" s="231" t="s">
        <v>1199</v>
      </c>
      <c r="C39" s="233" t="s">
        <v>1200</v>
      </c>
      <c r="D39" s="234" t="s">
        <v>1201</v>
      </c>
    </row>
    <row r="40" spans="2:12">
      <c r="B40" s="231" t="s">
        <v>1202</v>
      </c>
      <c r="C40" s="233" t="s">
        <v>23</v>
      </c>
      <c r="D40" s="234" t="s">
        <v>28</v>
      </c>
    </row>
    <row r="41" spans="2:12">
      <c r="B41" s="231" t="s">
        <v>1203</v>
      </c>
      <c r="C41" s="231" t="s">
        <v>1204</v>
      </c>
      <c r="D41" s="234" t="s">
        <v>1205</v>
      </c>
    </row>
    <row r="42" spans="2:12" ht="46.5">
      <c r="B42" s="231">
        <v>5</v>
      </c>
      <c r="C42" s="233" t="s">
        <v>24</v>
      </c>
      <c r="D42" s="234" t="s">
        <v>29</v>
      </c>
    </row>
    <row r="43" spans="2:12">
      <c r="B43" s="231">
        <v>6</v>
      </c>
      <c r="C43" s="231" t="s">
        <v>18</v>
      </c>
      <c r="D43" s="234" t="s">
        <v>30</v>
      </c>
    </row>
    <row r="44" spans="2:12">
      <c r="B44" s="231">
        <v>7</v>
      </c>
      <c r="C44" s="231" t="s">
        <v>19</v>
      </c>
      <c r="D44" s="234" t="s">
        <v>31</v>
      </c>
    </row>
    <row r="45" spans="2:12" ht="46.5">
      <c r="B45" s="231">
        <v>8</v>
      </c>
      <c r="C45" s="233" t="s">
        <v>32</v>
      </c>
      <c r="D45" s="234" t="s">
        <v>33</v>
      </c>
    </row>
    <row r="46" spans="2:12">
      <c r="B46" s="231">
        <v>9</v>
      </c>
      <c r="C46" s="231" t="s">
        <v>34</v>
      </c>
      <c r="D46" s="234" t="s">
        <v>35</v>
      </c>
    </row>
    <row r="47" spans="2:12">
      <c r="B47" s="235">
        <v>10</v>
      </c>
      <c r="C47" s="236" t="s">
        <v>20</v>
      </c>
      <c r="D47" s="237" t="s">
        <v>36</v>
      </c>
    </row>
    <row r="48" spans="2:12">
      <c r="B48" s="231">
        <v>11</v>
      </c>
      <c r="C48" s="236" t="s">
        <v>37</v>
      </c>
      <c r="D48" s="237" t="s">
        <v>38</v>
      </c>
    </row>
    <row r="49" spans="2:4">
      <c r="B49" s="235">
        <v>12</v>
      </c>
      <c r="C49" s="236" t="s">
        <v>21</v>
      </c>
      <c r="D49" s="237" t="s">
        <v>39</v>
      </c>
    </row>
    <row r="50" spans="2:4" ht="46.5">
      <c r="B50" s="231" t="s">
        <v>700</v>
      </c>
      <c r="C50" s="238" t="s">
        <v>1206</v>
      </c>
      <c r="D50" s="237" t="s">
        <v>1207</v>
      </c>
    </row>
  </sheetData>
  <mergeCells count="9">
    <mergeCell ref="C1:D1"/>
    <mergeCell ref="D12:I12"/>
    <mergeCell ref="D11:I11"/>
    <mergeCell ref="D10:I10"/>
    <mergeCell ref="D9:I9"/>
    <mergeCell ref="D8:I8"/>
    <mergeCell ref="D7:I7"/>
    <mergeCell ref="D6:I6"/>
    <mergeCell ref="D5:I5"/>
  </mergeCells>
  <hyperlinks>
    <hyperlink ref="D38" location="BCThuNhap_06203!A1" display="BCThuNhap_06203" xr:uid="{D5F37005-9189-4FF3-A7CE-0251E74324F8}"/>
    <hyperlink ref="D39" location="BCTinhHinhTaiChinh_06105!A1" display="BCTinhHinhTaiChinh_06105" xr:uid="{6B0BAD59-D99A-416F-9DA9-465B24EBC132}"/>
    <hyperlink ref="D40" location="BCLCGT_06262!A1" display="BCLCGT_06262" xr:uid="{D3002432-636D-4FD6-B1E7-0FA424D6E157}"/>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87" zoomScale="99" zoomScaleNormal="100" zoomScaleSheetLayoutView="86" workbookViewId="0">
      <selection activeCell="B95" sqref="B95:E95"/>
    </sheetView>
  </sheetViews>
  <sheetFormatPr defaultColWidth="8.7265625" defaultRowHeight="12.5"/>
  <cols>
    <col min="1" max="1" width="53.1796875" style="49" customWidth="1"/>
    <col min="2" max="3" width="8.7265625" style="49"/>
    <col min="4" max="4" width="20.26953125" style="49" customWidth="1"/>
    <col min="5" max="5" width="20.7265625" style="49" customWidth="1"/>
    <col min="6" max="6" width="21.1796875" style="49" customWidth="1"/>
    <col min="7" max="7" width="21.26953125" style="49" customWidth="1"/>
    <col min="8" max="16384" width="8.7265625" style="94"/>
  </cols>
  <sheetData>
    <row r="1" spans="1:7" ht="22.5" customHeight="1">
      <c r="A1" s="260" t="s">
        <v>211</v>
      </c>
      <c r="B1" s="260"/>
      <c r="C1" s="260"/>
      <c r="D1" s="260"/>
      <c r="E1" s="260"/>
      <c r="F1" s="260"/>
      <c r="G1" s="260"/>
    </row>
    <row r="2" spans="1:7" ht="22.5" customHeight="1">
      <c r="A2" s="261" t="s">
        <v>212</v>
      </c>
      <c r="B2" s="261"/>
      <c r="C2" s="261"/>
      <c r="D2" s="261"/>
      <c r="E2" s="261"/>
      <c r="F2" s="261"/>
      <c r="G2" s="261"/>
    </row>
    <row r="3" spans="1:7" ht="43.9" customHeight="1">
      <c r="A3" s="262" t="s">
        <v>213</v>
      </c>
      <c r="B3" s="262"/>
      <c r="C3" s="262"/>
      <c r="D3" s="262"/>
      <c r="E3" s="262"/>
      <c r="F3" s="262"/>
      <c r="G3" s="262"/>
    </row>
    <row r="4" spans="1:7" ht="9.4" customHeight="1"/>
    <row r="5" spans="1:7">
      <c r="A5" s="263" t="str">
        <f>TONGQUAN!C2</f>
        <v>Quý II năm 2020
/ Quarter II 2020</v>
      </c>
      <c r="B5" s="263"/>
      <c r="C5" s="263"/>
      <c r="D5" s="263"/>
      <c r="E5" s="263"/>
      <c r="F5" s="263"/>
      <c r="G5" s="263"/>
    </row>
    <row r="7" spans="1:7" ht="16.899999999999999" customHeight="1">
      <c r="A7" s="50" t="s">
        <v>2</v>
      </c>
      <c r="D7" s="264" t="str">
        <f>TONGQUAN!D5</f>
        <v>Công ty Cổ phần Quản lý Quỹ Đầu tư Việt Nam</v>
      </c>
      <c r="E7" s="264"/>
      <c r="F7" s="264"/>
      <c r="G7" s="264"/>
    </row>
    <row r="8" spans="1:7" ht="16.899999999999999" customHeight="1">
      <c r="A8" s="125" t="s">
        <v>41</v>
      </c>
      <c r="D8" s="259" t="str">
        <f>TONGQUAN!D6</f>
        <v>Vietnam Investment Fund Management Joint Stock Company</v>
      </c>
      <c r="E8" s="259"/>
      <c r="F8" s="259"/>
      <c r="G8" s="259"/>
    </row>
    <row r="9" spans="1:7" ht="16.899999999999999" customHeight="1">
      <c r="A9" s="50" t="s">
        <v>3</v>
      </c>
      <c r="D9" s="264" t="str">
        <f>TONGQUAN!D7</f>
        <v>Ngân hàng TNHH Một thành viên Standard Chartered (Việt Nam)</v>
      </c>
      <c r="E9" s="264"/>
      <c r="F9" s="264"/>
      <c r="G9" s="264"/>
    </row>
    <row r="10" spans="1:7" ht="16.899999999999999" customHeight="1">
      <c r="A10" s="125" t="s">
        <v>4</v>
      </c>
      <c r="D10" s="259" t="str">
        <f>TONGQUAN!D8</f>
        <v>Standard Chartered Bank (Vietnam) Limited</v>
      </c>
      <c r="E10" s="259"/>
      <c r="F10" s="259"/>
      <c r="G10" s="259"/>
    </row>
    <row r="11" spans="1:7" ht="16.899999999999999" customHeight="1">
      <c r="A11" s="50" t="s">
        <v>5</v>
      </c>
      <c r="D11" s="264" t="str">
        <f>TONGQUAN!D9</f>
        <v>Quỹ Đầu tư Doanh nghiệp hàng đầu Việt Nam</v>
      </c>
      <c r="E11" s="264"/>
      <c r="F11" s="264"/>
      <c r="G11" s="264"/>
    </row>
    <row r="12" spans="1:7" ht="16.899999999999999" customHeight="1">
      <c r="A12" s="125" t="s">
        <v>6</v>
      </c>
      <c r="D12" s="259" t="str">
        <f>TONGQUAN!D10</f>
        <v>Vietnam Blue Chip Fund(VFMVF4)</v>
      </c>
      <c r="E12" s="259"/>
      <c r="F12" s="259"/>
      <c r="G12" s="259"/>
    </row>
    <row r="13" spans="1:7" ht="16.899999999999999" customHeight="1">
      <c r="A13" s="50" t="s">
        <v>7</v>
      </c>
      <c r="D13" s="264" t="str">
        <f>TONGQUAN!D11</f>
        <v>Ngày 06 tháng 07 năm 2020</v>
      </c>
      <c r="E13" s="264"/>
      <c r="F13" s="264"/>
      <c r="G13" s="264"/>
    </row>
    <row r="14" spans="1:7" ht="16.899999999999999" customHeight="1">
      <c r="A14" s="125" t="s">
        <v>8</v>
      </c>
      <c r="D14" s="259" t="str">
        <f>TONGQUAN!D12</f>
        <v>06 Jul 2020</v>
      </c>
      <c r="E14" s="259"/>
      <c r="F14" s="259"/>
      <c r="G14" s="259"/>
    </row>
    <row r="16" spans="1:7" ht="39" customHeight="1">
      <c r="A16" s="266" t="s">
        <v>214</v>
      </c>
      <c r="B16" s="268" t="s">
        <v>215</v>
      </c>
      <c r="C16" s="268" t="s">
        <v>216</v>
      </c>
      <c r="D16" s="271" t="s">
        <v>1188</v>
      </c>
      <c r="E16" s="272"/>
      <c r="F16" s="271" t="s">
        <v>726</v>
      </c>
      <c r="G16" s="272"/>
    </row>
    <row r="17" spans="1:10" ht="39" customHeight="1">
      <c r="A17" s="267"/>
      <c r="B17" s="269"/>
      <c r="C17" s="270"/>
      <c r="D17" s="126" t="str">
        <f>BCKetQuaHoatDong_06028!D18</f>
        <v>Quý II năm 2020
Quarter II 2020</v>
      </c>
      <c r="E17" s="127" t="s">
        <v>217</v>
      </c>
      <c r="F17" s="46" t="s">
        <v>1189</v>
      </c>
      <c r="G17" s="127" t="s">
        <v>217</v>
      </c>
    </row>
    <row r="18" spans="1:10" s="108" customFormat="1" ht="39" customHeight="1">
      <c r="A18" s="128" t="s">
        <v>427</v>
      </c>
      <c r="B18" s="129" t="s">
        <v>218</v>
      </c>
      <c r="C18" s="130"/>
      <c r="D18" s="70">
        <v>91926242003</v>
      </c>
      <c r="E18" s="70">
        <v>-97247010645</v>
      </c>
      <c r="F18" s="70">
        <v>-6468367683</v>
      </c>
      <c r="G18" s="70">
        <v>39833212143</v>
      </c>
    </row>
    <row r="19" spans="1:10" ht="39" customHeight="1">
      <c r="A19" s="131" t="s">
        <v>428</v>
      </c>
      <c r="B19" s="132" t="s">
        <v>219</v>
      </c>
      <c r="C19" s="133"/>
      <c r="D19" s="75">
        <v>1673700000</v>
      </c>
      <c r="E19" s="75">
        <v>2081200000</v>
      </c>
      <c r="F19" s="75">
        <v>6348205000</v>
      </c>
      <c r="G19" s="75">
        <v>7547205000</v>
      </c>
      <c r="J19" s="108"/>
    </row>
    <row r="20" spans="1:10" ht="39" customHeight="1">
      <c r="A20" s="131" t="s">
        <v>429</v>
      </c>
      <c r="B20" s="132" t="s">
        <v>220</v>
      </c>
      <c r="C20" s="134"/>
      <c r="D20" s="75">
        <v>203123503</v>
      </c>
      <c r="E20" s="75">
        <v>444683755</v>
      </c>
      <c r="F20" s="75">
        <v>213396817</v>
      </c>
      <c r="G20" s="75">
        <v>1490454360</v>
      </c>
      <c r="J20" s="108"/>
    </row>
    <row r="21" spans="1:10" ht="39" customHeight="1">
      <c r="A21" s="131" t="s">
        <v>346</v>
      </c>
      <c r="B21" s="132" t="s">
        <v>221</v>
      </c>
      <c r="C21" s="134"/>
      <c r="D21" s="75">
        <v>203123503</v>
      </c>
      <c r="E21" s="75">
        <v>444683755</v>
      </c>
      <c r="F21" s="75">
        <v>213396817</v>
      </c>
      <c r="G21" s="75">
        <v>237095456</v>
      </c>
      <c r="J21" s="108"/>
    </row>
    <row r="22" spans="1:10" ht="39" customHeight="1">
      <c r="A22" s="131" t="s">
        <v>354</v>
      </c>
      <c r="B22" s="132" t="s">
        <v>222</v>
      </c>
      <c r="C22" s="134"/>
      <c r="D22" s="75">
        <v>0</v>
      </c>
      <c r="E22" s="75">
        <v>0</v>
      </c>
      <c r="F22" s="75">
        <v>0</v>
      </c>
      <c r="G22" s="75">
        <v>929523288</v>
      </c>
      <c r="J22" s="108"/>
    </row>
    <row r="23" spans="1:10" ht="39" customHeight="1">
      <c r="A23" s="131" t="s">
        <v>430</v>
      </c>
      <c r="B23" s="132" t="s">
        <v>337</v>
      </c>
      <c r="C23" s="134"/>
      <c r="D23" s="75">
        <v>0</v>
      </c>
      <c r="E23" s="75">
        <v>0</v>
      </c>
      <c r="F23" s="75">
        <v>0</v>
      </c>
      <c r="G23" s="75">
        <v>323835616</v>
      </c>
      <c r="J23" s="108"/>
    </row>
    <row r="24" spans="1:10" ht="39" customHeight="1">
      <c r="A24" s="131" t="s">
        <v>343</v>
      </c>
      <c r="B24" s="132" t="s">
        <v>342</v>
      </c>
      <c r="C24" s="134"/>
      <c r="D24" s="75">
        <v>0</v>
      </c>
      <c r="E24" s="75">
        <v>0</v>
      </c>
      <c r="F24" s="75">
        <v>0</v>
      </c>
      <c r="G24" s="75">
        <v>0</v>
      </c>
      <c r="J24" s="108"/>
    </row>
    <row r="25" spans="1:10" ht="39" customHeight="1">
      <c r="A25" s="131" t="s">
        <v>347</v>
      </c>
      <c r="B25" s="135" t="s">
        <v>223</v>
      </c>
      <c r="C25" s="134"/>
      <c r="D25" s="75">
        <v>-9574059758</v>
      </c>
      <c r="E25" s="75">
        <v>-44439213945</v>
      </c>
      <c r="F25" s="75">
        <v>-19147228770</v>
      </c>
      <c r="G25" s="75">
        <v>-36105615007</v>
      </c>
      <c r="J25" s="108"/>
    </row>
    <row r="26" spans="1:10" ht="46.15" customHeight="1">
      <c r="A26" s="131" t="s">
        <v>348</v>
      </c>
      <c r="B26" s="135" t="s">
        <v>224</v>
      </c>
      <c r="C26" s="134"/>
      <c r="D26" s="75">
        <v>99623478258</v>
      </c>
      <c r="E26" s="75">
        <v>-55333680455</v>
      </c>
      <c r="F26" s="75">
        <v>6117259270</v>
      </c>
      <c r="G26" s="75">
        <v>66901167790</v>
      </c>
      <c r="J26" s="108"/>
    </row>
    <row r="27" spans="1:10" ht="39" customHeight="1">
      <c r="A27" s="131" t="s">
        <v>431</v>
      </c>
      <c r="B27" s="135" t="s">
        <v>225</v>
      </c>
      <c r="C27" s="134"/>
      <c r="D27" s="75">
        <v>0</v>
      </c>
      <c r="E27" s="75">
        <v>0</v>
      </c>
      <c r="F27" s="75">
        <v>0</v>
      </c>
      <c r="G27" s="75">
        <v>0</v>
      </c>
      <c r="J27" s="108"/>
    </row>
    <row r="28" spans="1:10" ht="49.15" customHeight="1">
      <c r="A28" s="131" t="s">
        <v>349</v>
      </c>
      <c r="B28" s="135" t="s">
        <v>226</v>
      </c>
      <c r="C28" s="134"/>
      <c r="D28" s="75">
        <v>0</v>
      </c>
      <c r="E28" s="75">
        <v>0</v>
      </c>
      <c r="F28" s="75">
        <v>0</v>
      </c>
      <c r="G28" s="75">
        <v>0</v>
      </c>
      <c r="J28" s="108"/>
    </row>
    <row r="29" spans="1:10" ht="39" customHeight="1">
      <c r="A29" s="131" t="s">
        <v>432</v>
      </c>
      <c r="B29" s="135" t="s">
        <v>227</v>
      </c>
      <c r="C29" s="134"/>
      <c r="D29" s="75">
        <v>0</v>
      </c>
      <c r="E29" s="75">
        <v>0</v>
      </c>
      <c r="F29" s="75">
        <v>0</v>
      </c>
      <c r="G29" s="75">
        <v>0</v>
      </c>
      <c r="J29" s="108"/>
    </row>
    <row r="30" spans="1:10" ht="76.900000000000006" customHeight="1">
      <c r="A30" s="131" t="s">
        <v>433</v>
      </c>
      <c r="B30" s="135" t="s">
        <v>228</v>
      </c>
      <c r="C30" s="134"/>
      <c r="D30" s="75">
        <v>0</v>
      </c>
      <c r="E30" s="75">
        <v>0</v>
      </c>
      <c r="F30" s="75">
        <v>0</v>
      </c>
      <c r="G30" s="75">
        <v>0</v>
      </c>
      <c r="J30" s="108"/>
    </row>
    <row r="31" spans="1:10" s="108" customFormat="1" ht="39" customHeight="1">
      <c r="A31" s="128" t="s">
        <v>371</v>
      </c>
      <c r="B31" s="129" t="s">
        <v>229</v>
      </c>
      <c r="C31" s="130"/>
      <c r="D31" s="70">
        <v>213953490</v>
      </c>
      <c r="E31" s="70">
        <v>676644517</v>
      </c>
      <c r="F31" s="70">
        <v>388315299</v>
      </c>
      <c r="G31" s="70">
        <v>935211502</v>
      </c>
    </row>
    <row r="32" spans="1:10" ht="39" customHeight="1">
      <c r="A32" s="131" t="s">
        <v>230</v>
      </c>
      <c r="B32" s="135" t="s">
        <v>231</v>
      </c>
      <c r="C32" s="134"/>
      <c r="D32" s="75">
        <v>213953490</v>
      </c>
      <c r="E32" s="75">
        <v>676644517</v>
      </c>
      <c r="F32" s="75">
        <v>388315299</v>
      </c>
      <c r="G32" s="75">
        <v>935211502</v>
      </c>
      <c r="J32" s="108"/>
    </row>
    <row r="33" spans="1:10" ht="39" customHeight="1">
      <c r="A33" s="136" t="s">
        <v>232</v>
      </c>
      <c r="B33" s="132" t="s">
        <v>233</v>
      </c>
      <c r="C33" s="133"/>
      <c r="D33" s="75">
        <v>212114680</v>
      </c>
      <c r="E33" s="75">
        <v>673444400</v>
      </c>
      <c r="F33" s="75">
        <v>386308099</v>
      </c>
      <c r="G33" s="75">
        <v>930487457</v>
      </c>
      <c r="J33" s="108"/>
    </row>
    <row r="34" spans="1:10" ht="39" customHeight="1">
      <c r="A34" s="136" t="s">
        <v>71</v>
      </c>
      <c r="B34" s="132" t="s">
        <v>234</v>
      </c>
      <c r="C34" s="133"/>
      <c r="D34" s="75">
        <v>1838810</v>
      </c>
      <c r="E34" s="75">
        <v>3200117</v>
      </c>
      <c r="F34" s="75">
        <v>2007200</v>
      </c>
      <c r="G34" s="75">
        <v>4724045</v>
      </c>
      <c r="J34" s="108"/>
    </row>
    <row r="35" spans="1:10" ht="42" customHeight="1">
      <c r="A35" s="136" t="s">
        <v>235</v>
      </c>
      <c r="B35" s="132" t="s">
        <v>236</v>
      </c>
      <c r="C35" s="134"/>
      <c r="D35" s="75">
        <v>0</v>
      </c>
      <c r="E35" s="75">
        <v>0</v>
      </c>
      <c r="F35" s="75">
        <v>0</v>
      </c>
      <c r="G35" s="75">
        <v>0</v>
      </c>
      <c r="J35" s="108"/>
    </row>
    <row r="36" spans="1:10" ht="39" customHeight="1">
      <c r="A36" s="136" t="s">
        <v>237</v>
      </c>
      <c r="B36" s="132" t="s">
        <v>238</v>
      </c>
      <c r="C36" s="134"/>
      <c r="D36" s="75">
        <v>0</v>
      </c>
      <c r="E36" s="75">
        <v>0</v>
      </c>
      <c r="F36" s="75">
        <v>0</v>
      </c>
      <c r="G36" s="75">
        <v>0</v>
      </c>
      <c r="J36" s="108"/>
    </row>
    <row r="37" spans="1:10" ht="70.900000000000006" customHeight="1">
      <c r="A37" s="136" t="s">
        <v>239</v>
      </c>
      <c r="B37" s="132" t="s">
        <v>240</v>
      </c>
      <c r="C37" s="134"/>
      <c r="D37" s="75">
        <v>0</v>
      </c>
      <c r="E37" s="75">
        <v>0</v>
      </c>
      <c r="F37" s="75">
        <v>0</v>
      </c>
      <c r="G37" s="75">
        <v>0</v>
      </c>
      <c r="J37" s="108"/>
    </row>
    <row r="38" spans="1:10" ht="39" customHeight="1">
      <c r="A38" s="136" t="s">
        <v>372</v>
      </c>
      <c r="B38" s="132" t="s">
        <v>241</v>
      </c>
      <c r="C38" s="134"/>
      <c r="D38" s="75">
        <v>0</v>
      </c>
      <c r="E38" s="75">
        <v>0</v>
      </c>
      <c r="F38" s="75">
        <v>0</v>
      </c>
      <c r="G38" s="75">
        <v>0</v>
      </c>
      <c r="J38" s="108"/>
    </row>
    <row r="39" spans="1:10" s="108" customFormat="1" ht="39" customHeight="1">
      <c r="A39" s="128" t="s">
        <v>373</v>
      </c>
      <c r="B39" s="129" t="s">
        <v>242</v>
      </c>
      <c r="C39" s="130"/>
      <c r="D39" s="70">
        <v>2338338159</v>
      </c>
      <c r="E39" s="70">
        <v>5403953897</v>
      </c>
      <c r="F39" s="70">
        <v>4348579952</v>
      </c>
      <c r="G39" s="70">
        <v>9305206782</v>
      </c>
    </row>
    <row r="40" spans="1:10" ht="39" customHeight="1">
      <c r="A40" s="136" t="s">
        <v>434</v>
      </c>
      <c r="B40" s="132" t="s">
        <v>243</v>
      </c>
      <c r="C40" s="134"/>
      <c r="D40" s="75">
        <v>1989134194</v>
      </c>
      <c r="E40" s="75">
        <v>4684905399</v>
      </c>
      <c r="F40" s="75">
        <v>3925572281</v>
      </c>
      <c r="G40" s="75">
        <v>8407867665</v>
      </c>
      <c r="J40" s="108"/>
    </row>
    <row r="41" spans="1:10" ht="39" customHeight="1">
      <c r="A41" s="136" t="s">
        <v>244</v>
      </c>
      <c r="B41" s="132" t="s">
        <v>245</v>
      </c>
      <c r="C41" s="133"/>
      <c r="D41" s="75">
        <v>116198803</v>
      </c>
      <c r="E41" s="75">
        <v>231578225</v>
      </c>
      <c r="F41" s="75">
        <v>115727411</v>
      </c>
      <c r="G41" s="75">
        <v>247212960</v>
      </c>
      <c r="J41" s="108"/>
    </row>
    <row r="42" spans="1:10" ht="39" customHeight="1">
      <c r="A42" s="55" t="s">
        <v>51</v>
      </c>
      <c r="B42" s="137" t="s">
        <v>246</v>
      </c>
      <c r="C42" s="133"/>
      <c r="D42" s="75">
        <v>66000000</v>
      </c>
      <c r="E42" s="75">
        <v>132000000</v>
      </c>
      <c r="F42" s="75">
        <v>81359013</v>
      </c>
      <c r="G42" s="75">
        <v>174256326</v>
      </c>
      <c r="J42" s="108"/>
    </row>
    <row r="43" spans="1:10" ht="39" customHeight="1">
      <c r="A43" s="55" t="s">
        <v>52</v>
      </c>
      <c r="B43" s="137" t="s">
        <v>247</v>
      </c>
      <c r="C43" s="133"/>
      <c r="D43" s="75">
        <v>11000000</v>
      </c>
      <c r="E43" s="75">
        <v>31200000</v>
      </c>
      <c r="F43" s="75">
        <v>17900000</v>
      </c>
      <c r="G43" s="75">
        <v>33200000</v>
      </c>
      <c r="J43" s="108"/>
    </row>
    <row r="44" spans="1:10" ht="60" customHeight="1">
      <c r="A44" s="55" t="s">
        <v>400</v>
      </c>
      <c r="B44" s="137" t="s">
        <v>248</v>
      </c>
      <c r="C44" s="133"/>
      <c r="D44" s="75">
        <v>39198803</v>
      </c>
      <c r="E44" s="75">
        <v>68378225</v>
      </c>
      <c r="F44" s="75">
        <v>16468398</v>
      </c>
      <c r="G44" s="75">
        <v>39756634</v>
      </c>
      <c r="J44" s="108"/>
    </row>
    <row r="45" spans="1:10" ht="39" customHeight="1">
      <c r="A45" s="136" t="s">
        <v>249</v>
      </c>
      <c r="B45" s="132" t="s">
        <v>250</v>
      </c>
      <c r="C45" s="133"/>
      <c r="D45" s="75">
        <v>75900000</v>
      </c>
      <c r="E45" s="75">
        <v>151800000</v>
      </c>
      <c r="F45" s="75">
        <v>89494913</v>
      </c>
      <c r="G45" s="75">
        <v>191681956</v>
      </c>
      <c r="J45" s="108"/>
    </row>
    <row r="46" spans="1:10" ht="39" customHeight="1">
      <c r="A46" s="136" t="s">
        <v>251</v>
      </c>
      <c r="B46" s="132" t="s">
        <v>252</v>
      </c>
      <c r="C46" s="133"/>
      <c r="D46" s="75">
        <v>34011106</v>
      </c>
      <c r="E46" s="75">
        <v>80104603</v>
      </c>
      <c r="F46" s="75">
        <v>67121184</v>
      </c>
      <c r="G46" s="75">
        <v>143761468</v>
      </c>
      <c r="J46" s="108"/>
    </row>
    <row r="47" spans="1:10" ht="39" customHeight="1">
      <c r="A47" s="136" t="s">
        <v>253</v>
      </c>
      <c r="B47" s="132" t="s">
        <v>254</v>
      </c>
      <c r="C47" s="133"/>
      <c r="D47" s="75">
        <v>33000000</v>
      </c>
      <c r="E47" s="75">
        <v>66000000</v>
      </c>
      <c r="F47" s="75">
        <v>33000000</v>
      </c>
      <c r="G47" s="75">
        <v>66000000</v>
      </c>
      <c r="J47" s="108"/>
    </row>
    <row r="48" spans="1:10" ht="39" customHeight="1">
      <c r="A48" s="136" t="s">
        <v>255</v>
      </c>
      <c r="B48" s="132" t="s">
        <v>256</v>
      </c>
      <c r="C48" s="133"/>
      <c r="D48" s="75">
        <v>0</v>
      </c>
      <c r="E48" s="75">
        <v>0</v>
      </c>
      <c r="F48" s="75">
        <v>0</v>
      </c>
      <c r="G48" s="75">
        <v>0</v>
      </c>
      <c r="J48" s="108"/>
    </row>
    <row r="49" spans="1:10" ht="43.9" customHeight="1">
      <c r="A49" s="56" t="s">
        <v>435</v>
      </c>
      <c r="B49" s="137" t="s">
        <v>257</v>
      </c>
      <c r="C49" s="133"/>
      <c r="D49" s="75">
        <v>0</v>
      </c>
      <c r="E49" s="75">
        <v>0</v>
      </c>
      <c r="F49" s="75">
        <v>0</v>
      </c>
      <c r="G49" s="75">
        <v>0</v>
      </c>
      <c r="J49" s="108"/>
    </row>
    <row r="50" spans="1:10" ht="39" customHeight="1">
      <c r="A50" s="56" t="s">
        <v>436</v>
      </c>
      <c r="B50" s="137" t="s">
        <v>258</v>
      </c>
      <c r="C50" s="133"/>
      <c r="D50" s="75">
        <v>0</v>
      </c>
      <c r="E50" s="75">
        <v>0</v>
      </c>
      <c r="F50" s="75">
        <v>0</v>
      </c>
      <c r="G50" s="75">
        <v>0</v>
      </c>
      <c r="J50" s="108"/>
    </row>
    <row r="51" spans="1:10" ht="39" customHeight="1">
      <c r="A51" s="136" t="s">
        <v>259</v>
      </c>
      <c r="B51" s="132" t="s">
        <v>260</v>
      </c>
      <c r="C51" s="133"/>
      <c r="D51" s="75">
        <v>0</v>
      </c>
      <c r="E51" s="75">
        <v>0</v>
      </c>
      <c r="F51" s="75">
        <v>9160864</v>
      </c>
      <c r="G51" s="75">
        <v>18221059</v>
      </c>
      <c r="J51" s="108"/>
    </row>
    <row r="52" spans="1:10" ht="39" customHeight="1">
      <c r="A52" s="136" t="s">
        <v>374</v>
      </c>
      <c r="B52" s="132" t="s">
        <v>261</v>
      </c>
      <c r="C52" s="133"/>
      <c r="D52" s="75">
        <v>45641516</v>
      </c>
      <c r="E52" s="75">
        <v>88033593</v>
      </c>
      <c r="F52" s="75">
        <v>43278206</v>
      </c>
      <c r="G52" s="75">
        <v>85319290</v>
      </c>
      <c r="J52" s="108"/>
    </row>
    <row r="53" spans="1:10" ht="39" customHeight="1">
      <c r="A53" s="136" t="s">
        <v>262</v>
      </c>
      <c r="B53" s="132" t="s">
        <v>263</v>
      </c>
      <c r="C53" s="133"/>
      <c r="D53" s="75">
        <v>0</v>
      </c>
      <c r="E53" s="75">
        <v>0</v>
      </c>
      <c r="F53" s="75">
        <v>0</v>
      </c>
      <c r="G53" s="75">
        <v>0</v>
      </c>
      <c r="J53" s="108"/>
    </row>
    <row r="54" spans="1:10" ht="39" customHeight="1">
      <c r="A54" s="136" t="s">
        <v>375</v>
      </c>
      <c r="B54" s="138" t="s">
        <v>264</v>
      </c>
      <c r="C54" s="133"/>
      <c r="D54" s="75">
        <v>44452540</v>
      </c>
      <c r="E54" s="75">
        <v>101532077</v>
      </c>
      <c r="F54" s="75">
        <v>65225093</v>
      </c>
      <c r="G54" s="75">
        <v>145142384</v>
      </c>
      <c r="J54" s="108"/>
    </row>
    <row r="55" spans="1:10" ht="39" customHeight="1">
      <c r="A55" s="56" t="s">
        <v>67</v>
      </c>
      <c r="B55" s="139" t="s">
        <v>265</v>
      </c>
      <c r="C55" s="133"/>
      <c r="D55" s="75">
        <v>38983617</v>
      </c>
      <c r="E55" s="75">
        <v>77967233</v>
      </c>
      <c r="F55" s="75">
        <v>48739735</v>
      </c>
      <c r="G55" s="75">
        <v>97438374</v>
      </c>
      <c r="J55" s="108"/>
    </row>
    <row r="56" spans="1:10" ht="39" customHeight="1">
      <c r="A56" s="56" t="s">
        <v>266</v>
      </c>
      <c r="B56" s="139" t="s">
        <v>267</v>
      </c>
      <c r="C56" s="133"/>
      <c r="D56" s="75">
        <v>0</v>
      </c>
      <c r="E56" s="75">
        <v>0</v>
      </c>
      <c r="F56" s="75">
        <v>3521092</v>
      </c>
      <c r="G56" s="75">
        <v>13883422</v>
      </c>
      <c r="J56" s="108"/>
    </row>
    <row r="57" spans="1:10" ht="39" customHeight="1">
      <c r="A57" s="56" t="s">
        <v>268</v>
      </c>
      <c r="B57" s="139" t="s">
        <v>269</v>
      </c>
      <c r="C57" s="134"/>
      <c r="D57" s="75">
        <v>0</v>
      </c>
      <c r="E57" s="75">
        <v>0</v>
      </c>
      <c r="F57" s="75">
        <v>8243860</v>
      </c>
      <c r="G57" s="75">
        <v>16397126</v>
      </c>
      <c r="J57" s="108"/>
    </row>
    <row r="58" spans="1:10" ht="39" customHeight="1">
      <c r="A58" s="56" t="s">
        <v>376</v>
      </c>
      <c r="B58" s="139" t="s">
        <v>270</v>
      </c>
      <c r="C58" s="133"/>
      <c r="D58" s="75">
        <v>0</v>
      </c>
      <c r="E58" s="75">
        <v>8100000</v>
      </c>
      <c r="F58" s="75">
        <v>0</v>
      </c>
      <c r="G58" s="75">
        <v>6410000</v>
      </c>
      <c r="J58" s="108"/>
    </row>
    <row r="59" spans="1:10" ht="39" customHeight="1">
      <c r="A59" s="56" t="s">
        <v>68</v>
      </c>
      <c r="B59" s="139" t="s">
        <v>271</v>
      </c>
      <c r="C59" s="134"/>
      <c r="D59" s="75">
        <v>0</v>
      </c>
      <c r="E59" s="75">
        <v>0</v>
      </c>
      <c r="F59" s="75">
        <v>0</v>
      </c>
      <c r="G59" s="75">
        <v>0</v>
      </c>
      <c r="J59" s="108"/>
    </row>
    <row r="60" spans="1:10" ht="39" customHeight="1">
      <c r="A60" s="56" t="s">
        <v>377</v>
      </c>
      <c r="B60" s="139" t="s">
        <v>272</v>
      </c>
      <c r="C60" s="134"/>
      <c r="D60" s="75">
        <v>0</v>
      </c>
      <c r="E60" s="75">
        <v>0</v>
      </c>
      <c r="F60" s="75">
        <v>0</v>
      </c>
      <c r="G60" s="75">
        <v>0</v>
      </c>
      <c r="J60" s="108"/>
    </row>
    <row r="61" spans="1:10" ht="39" customHeight="1">
      <c r="A61" s="56" t="s">
        <v>378</v>
      </c>
      <c r="B61" s="139" t="s">
        <v>273</v>
      </c>
      <c r="C61" s="134"/>
      <c r="D61" s="75">
        <v>0</v>
      </c>
      <c r="E61" s="75">
        <v>0</v>
      </c>
      <c r="F61" s="75">
        <v>0</v>
      </c>
      <c r="G61" s="75">
        <v>0</v>
      </c>
      <c r="J61" s="108"/>
    </row>
    <row r="62" spans="1:10" ht="39" customHeight="1">
      <c r="A62" s="56" t="s">
        <v>76</v>
      </c>
      <c r="B62" s="139" t="s">
        <v>274</v>
      </c>
      <c r="C62" s="134"/>
      <c r="D62" s="75">
        <v>5468923</v>
      </c>
      <c r="E62" s="75">
        <v>14364844</v>
      </c>
      <c r="F62" s="75">
        <v>4720406</v>
      </c>
      <c r="G62" s="75">
        <v>9913462</v>
      </c>
      <c r="J62" s="108"/>
    </row>
    <row r="63" spans="1:10" ht="39" customHeight="1">
      <c r="A63" s="56" t="s">
        <v>69</v>
      </c>
      <c r="B63" s="139" t="s">
        <v>275</v>
      </c>
      <c r="C63" s="134"/>
      <c r="D63" s="75">
        <v>0</v>
      </c>
      <c r="E63" s="75">
        <v>0</v>
      </c>
      <c r="F63" s="75">
        <v>0</v>
      </c>
      <c r="G63" s="75">
        <v>0</v>
      </c>
      <c r="J63" s="108"/>
    </row>
    <row r="64" spans="1:10" ht="39" customHeight="1">
      <c r="A64" s="56" t="s">
        <v>362</v>
      </c>
      <c r="B64" s="139" t="s">
        <v>276</v>
      </c>
      <c r="C64" s="133"/>
      <c r="D64" s="75">
        <v>0</v>
      </c>
      <c r="E64" s="75">
        <v>0</v>
      </c>
      <c r="F64" s="75">
        <v>0</v>
      </c>
      <c r="G64" s="75">
        <v>0</v>
      </c>
      <c r="J64" s="108"/>
    </row>
    <row r="65" spans="1:10" ht="39" customHeight="1">
      <c r="A65" s="56" t="s">
        <v>410</v>
      </c>
      <c r="B65" s="139" t="s">
        <v>277</v>
      </c>
      <c r="C65" s="133"/>
      <c r="D65" s="75">
        <v>0</v>
      </c>
      <c r="E65" s="75">
        <v>1100000</v>
      </c>
      <c r="F65" s="75">
        <v>0</v>
      </c>
      <c r="G65" s="75">
        <v>1100000</v>
      </c>
      <c r="J65" s="108"/>
    </row>
    <row r="66" spans="1:10" ht="39" customHeight="1">
      <c r="A66" s="56" t="s">
        <v>379</v>
      </c>
      <c r="B66" s="139" t="s">
        <v>278</v>
      </c>
      <c r="C66" s="133"/>
      <c r="D66" s="75">
        <v>0</v>
      </c>
      <c r="E66" s="75">
        <v>0</v>
      </c>
      <c r="F66" s="75">
        <v>0</v>
      </c>
      <c r="G66" s="75">
        <v>0</v>
      </c>
      <c r="J66" s="108"/>
    </row>
    <row r="67" spans="1:10" ht="39" customHeight="1">
      <c r="A67" s="56" t="s">
        <v>380</v>
      </c>
      <c r="B67" s="139" t="s">
        <v>279</v>
      </c>
      <c r="C67" s="133"/>
      <c r="D67" s="75">
        <v>0</v>
      </c>
      <c r="E67" s="75">
        <v>0</v>
      </c>
      <c r="F67" s="75">
        <v>0</v>
      </c>
      <c r="G67" s="75">
        <v>0</v>
      </c>
      <c r="J67" s="108"/>
    </row>
    <row r="68" spans="1:10" ht="39" customHeight="1">
      <c r="A68" s="56" t="s">
        <v>280</v>
      </c>
      <c r="B68" s="139" t="s">
        <v>281</v>
      </c>
      <c r="C68" s="133"/>
      <c r="D68" s="75">
        <v>0</v>
      </c>
      <c r="E68" s="75">
        <v>0</v>
      </c>
      <c r="F68" s="75">
        <v>0</v>
      </c>
      <c r="G68" s="75">
        <v>0</v>
      </c>
      <c r="J68" s="108"/>
    </row>
    <row r="69" spans="1:10" s="108" customFormat="1" ht="45" customHeight="1">
      <c r="A69" s="128" t="s">
        <v>282</v>
      </c>
      <c r="B69" s="129" t="s">
        <v>283</v>
      </c>
      <c r="C69" s="130"/>
      <c r="D69" s="70">
        <v>89373950354</v>
      </c>
      <c r="E69" s="70">
        <v>-103327609059</v>
      </c>
      <c r="F69" s="70">
        <v>-11205262934</v>
      </c>
      <c r="G69" s="70">
        <v>29592793859</v>
      </c>
    </row>
    <row r="70" spans="1:10" s="108" customFormat="1" ht="39" customHeight="1">
      <c r="A70" s="128" t="s">
        <v>284</v>
      </c>
      <c r="B70" s="129" t="s">
        <v>285</v>
      </c>
      <c r="C70" s="130"/>
      <c r="D70" s="70">
        <v>0</v>
      </c>
      <c r="E70" s="70">
        <v>0</v>
      </c>
      <c r="F70" s="70">
        <v>0</v>
      </c>
      <c r="G70" s="70">
        <v>0</v>
      </c>
    </row>
    <row r="71" spans="1:10" ht="39" customHeight="1">
      <c r="A71" s="131" t="s">
        <v>437</v>
      </c>
      <c r="B71" s="135" t="s">
        <v>286</v>
      </c>
      <c r="C71" s="134"/>
      <c r="D71" s="75">
        <v>0</v>
      </c>
      <c r="E71" s="75">
        <v>0</v>
      </c>
      <c r="F71" s="75">
        <v>0</v>
      </c>
      <c r="G71" s="75">
        <v>0</v>
      </c>
      <c r="J71" s="108"/>
    </row>
    <row r="72" spans="1:10" ht="39" customHeight="1">
      <c r="A72" s="131" t="s">
        <v>381</v>
      </c>
      <c r="B72" s="135" t="s">
        <v>287</v>
      </c>
      <c r="C72" s="134"/>
      <c r="D72" s="75">
        <v>0</v>
      </c>
      <c r="E72" s="75">
        <v>0</v>
      </c>
      <c r="F72" s="75">
        <v>0</v>
      </c>
      <c r="G72" s="75">
        <v>0</v>
      </c>
      <c r="J72" s="108"/>
    </row>
    <row r="73" spans="1:10" s="108" customFormat="1" ht="48" customHeight="1">
      <c r="A73" s="128" t="s">
        <v>288</v>
      </c>
      <c r="B73" s="129" t="s">
        <v>289</v>
      </c>
      <c r="C73" s="130"/>
      <c r="D73" s="70">
        <v>89373950354</v>
      </c>
      <c r="E73" s="70">
        <v>-103327609059</v>
      </c>
      <c r="F73" s="70">
        <v>-11205262934</v>
      </c>
      <c r="G73" s="70">
        <v>29592793859</v>
      </c>
    </row>
    <row r="74" spans="1:10" ht="39" customHeight="1">
      <c r="A74" s="136" t="s">
        <v>290</v>
      </c>
      <c r="B74" s="132" t="s">
        <v>291</v>
      </c>
      <c r="C74" s="134"/>
      <c r="D74" s="75">
        <v>-10249527904</v>
      </c>
      <c r="E74" s="75">
        <v>-47993928604</v>
      </c>
      <c r="F74" s="75">
        <v>-17322522204</v>
      </c>
      <c r="G74" s="75">
        <v>-37308373931</v>
      </c>
      <c r="J74" s="108"/>
    </row>
    <row r="75" spans="1:10" ht="39" customHeight="1">
      <c r="A75" s="136" t="s">
        <v>292</v>
      </c>
      <c r="B75" s="132" t="s">
        <v>293</v>
      </c>
      <c r="C75" s="134"/>
      <c r="D75" s="75">
        <v>99623478258</v>
      </c>
      <c r="E75" s="75">
        <v>-55333680455</v>
      </c>
      <c r="F75" s="75">
        <v>6117259270</v>
      </c>
      <c r="G75" s="75">
        <v>66901167790</v>
      </c>
      <c r="J75" s="108"/>
    </row>
    <row r="76" spans="1:10" s="108" customFormat="1" ht="39" customHeight="1">
      <c r="A76" s="128" t="s">
        <v>294</v>
      </c>
      <c r="B76" s="129" t="s">
        <v>295</v>
      </c>
      <c r="C76" s="130"/>
      <c r="D76" s="70">
        <v>0</v>
      </c>
      <c r="E76" s="70">
        <v>0</v>
      </c>
      <c r="F76" s="70">
        <v>0</v>
      </c>
      <c r="G76" s="70">
        <v>0</v>
      </c>
    </row>
    <row r="77" spans="1:10" s="108" customFormat="1" ht="43.5" customHeight="1">
      <c r="A77" s="128" t="s">
        <v>296</v>
      </c>
      <c r="B77" s="129" t="s">
        <v>297</v>
      </c>
      <c r="C77" s="130"/>
      <c r="D77" s="70">
        <v>89373950354</v>
      </c>
      <c r="E77" s="70">
        <v>-103327609059</v>
      </c>
      <c r="F77" s="70">
        <v>-11205262934</v>
      </c>
      <c r="G77" s="70">
        <v>29592793859</v>
      </c>
    </row>
    <row r="80" spans="1:10" s="108" customFormat="1" ht="16.899999999999999" customHeight="1">
      <c r="A80" s="116" t="s">
        <v>298</v>
      </c>
      <c r="B80" s="265" t="s">
        <v>299</v>
      </c>
      <c r="C80" s="265"/>
      <c r="D80" s="265"/>
      <c r="E80" s="265"/>
      <c r="F80" s="265"/>
      <c r="G80" s="265"/>
    </row>
    <row r="93" spans="1:7">
      <c r="A93" s="97" t="s">
        <v>702</v>
      </c>
      <c r="B93" s="273" t="s">
        <v>703</v>
      </c>
      <c r="C93" s="273"/>
      <c r="D93" s="273"/>
      <c r="E93" s="273"/>
      <c r="F93" s="273" t="s">
        <v>704</v>
      </c>
      <c r="G93" s="273"/>
    </row>
    <row r="94" spans="1:7" ht="16.899999999999999" customHeight="1">
      <c r="A94" s="215" t="s">
        <v>1190</v>
      </c>
      <c r="B94" s="274" t="s">
        <v>1191</v>
      </c>
      <c r="C94" s="274"/>
      <c r="D94" s="274"/>
      <c r="E94" s="274"/>
      <c r="F94" s="274" t="s">
        <v>1182</v>
      </c>
      <c r="G94" s="274"/>
    </row>
    <row r="95" spans="1:7" ht="16.899999999999999" customHeight="1">
      <c r="A95" s="141" t="s">
        <v>1192</v>
      </c>
      <c r="B95" s="275" t="s">
        <v>1193</v>
      </c>
      <c r="C95" s="275"/>
      <c r="D95" s="275"/>
      <c r="E95" s="275"/>
      <c r="F95" s="275" t="s">
        <v>725</v>
      </c>
      <c r="G95" s="27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7" zoomScale="98" zoomScaleNormal="100" zoomScaleSheetLayoutView="98" workbookViewId="0">
      <selection activeCell="F144" sqref="F144"/>
    </sheetView>
  </sheetViews>
  <sheetFormatPr defaultColWidth="8.7265625" defaultRowHeight="12.5"/>
  <cols>
    <col min="1" max="1" width="7.1796875" style="49" customWidth="1"/>
    <col min="2" max="2" width="45.453125" style="49" customWidth="1"/>
    <col min="3" max="3" width="10.54296875" style="49" customWidth="1"/>
    <col min="4" max="4" width="8.7265625" style="49"/>
    <col min="5" max="6" width="22.26953125" style="49" customWidth="1"/>
    <col min="7" max="7" width="8.7265625" style="35"/>
    <col min="8" max="16384" width="8.7265625" style="94"/>
  </cols>
  <sheetData>
    <row r="1" spans="1:6" ht="23.65" customHeight="1">
      <c r="A1" s="260" t="s">
        <v>300</v>
      </c>
      <c r="B1" s="260"/>
      <c r="C1" s="260"/>
      <c r="D1" s="260"/>
      <c r="E1" s="260"/>
      <c r="F1" s="260"/>
    </row>
    <row r="2" spans="1:6" ht="32.65" customHeight="1">
      <c r="A2" s="261" t="s">
        <v>212</v>
      </c>
      <c r="B2" s="261"/>
      <c r="C2" s="261"/>
      <c r="D2" s="261"/>
      <c r="E2" s="261"/>
      <c r="F2" s="261"/>
    </row>
    <row r="3" spans="1:6" ht="31.15" customHeight="1">
      <c r="A3" s="262" t="s">
        <v>301</v>
      </c>
      <c r="B3" s="262"/>
      <c r="C3" s="262"/>
      <c r="D3" s="262"/>
      <c r="E3" s="262"/>
      <c r="F3" s="262"/>
    </row>
    <row r="4" spans="1:6" ht="6" customHeight="1"/>
    <row r="5" spans="1:6" ht="16.899999999999999" customHeight="1">
      <c r="A5" s="263" t="str">
        <f>TONGQUAN!C1</f>
        <v>Tại ngày 30 tháng 06 năm 2020
/ As at 30 Jun 2020</v>
      </c>
      <c r="B5" s="263"/>
      <c r="C5" s="263"/>
      <c r="D5" s="263"/>
      <c r="E5" s="263"/>
      <c r="F5" s="263"/>
    </row>
    <row r="6" spans="1:6" ht="16.899999999999999" customHeight="1"/>
    <row r="7" spans="1:6" ht="16.899999999999999" customHeight="1">
      <c r="A7" s="155" t="s">
        <v>2</v>
      </c>
      <c r="C7" s="264" t="str">
        <f>TONGQUAN!D5</f>
        <v>Công ty Cổ phần Quản lý Quỹ Đầu tư Việt Nam</v>
      </c>
      <c r="D7" s="264"/>
      <c r="E7" s="264"/>
      <c r="F7" s="264"/>
    </row>
    <row r="8" spans="1:6" ht="16.899999999999999" customHeight="1">
      <c r="A8" s="49" t="s">
        <v>41</v>
      </c>
      <c r="C8" s="259" t="str">
        <f>TONGQUAN!D6</f>
        <v>Vietnam Investment Fund Management Joint Stock Company</v>
      </c>
      <c r="D8" s="259"/>
      <c r="E8" s="259"/>
      <c r="F8" s="259"/>
    </row>
    <row r="9" spans="1:6" ht="16.899999999999999" customHeight="1">
      <c r="A9" s="155" t="s">
        <v>3</v>
      </c>
      <c r="C9" s="264" t="str">
        <f>TONGQUAN!D7</f>
        <v>Ngân hàng TNHH Một thành viên Standard Chartered (Việt Nam)</v>
      </c>
      <c r="D9" s="264"/>
      <c r="E9" s="264"/>
      <c r="F9" s="264"/>
    </row>
    <row r="10" spans="1:6" ht="16.899999999999999" customHeight="1">
      <c r="A10" s="49" t="s">
        <v>4</v>
      </c>
      <c r="C10" s="259" t="str">
        <f>TONGQUAN!D8</f>
        <v>Standard Chartered Bank (Vietnam) Limited</v>
      </c>
      <c r="D10" s="259"/>
      <c r="E10" s="259"/>
      <c r="F10" s="259"/>
    </row>
    <row r="11" spans="1:6" ht="16.899999999999999" customHeight="1">
      <c r="A11" s="155" t="s">
        <v>5</v>
      </c>
      <c r="C11" s="264" t="str">
        <f>TONGQUAN!D9</f>
        <v>Quỹ Đầu tư Doanh nghiệp hàng đầu Việt Nam</v>
      </c>
      <c r="D11" s="264"/>
      <c r="E11" s="264"/>
      <c r="F11" s="264"/>
    </row>
    <row r="12" spans="1:6" ht="16.899999999999999" customHeight="1">
      <c r="A12" s="49" t="s">
        <v>6</v>
      </c>
      <c r="C12" s="259" t="str">
        <f>TONGQUAN!D10</f>
        <v>Vietnam Blue Chip Fund(VFMVF4)</v>
      </c>
      <c r="D12" s="259"/>
      <c r="E12" s="259"/>
      <c r="F12" s="259"/>
    </row>
    <row r="13" spans="1:6" ht="16.899999999999999" customHeight="1">
      <c r="A13" s="155" t="s">
        <v>7</v>
      </c>
      <c r="C13" s="264" t="str">
        <f>TONGQUAN!D11</f>
        <v>Ngày 06 tháng 07 năm 2020</v>
      </c>
      <c r="D13" s="264"/>
      <c r="E13" s="264"/>
      <c r="F13" s="264"/>
    </row>
    <row r="14" spans="1:6" ht="16.899999999999999" customHeight="1">
      <c r="A14" s="49" t="s">
        <v>8</v>
      </c>
      <c r="C14" s="259" t="str">
        <f>TONGQUAN!D12</f>
        <v>06 Jul 2020</v>
      </c>
      <c r="D14" s="259"/>
      <c r="E14" s="259"/>
      <c r="F14" s="259"/>
    </row>
    <row r="15" spans="1:6" ht="16.899999999999999" customHeight="1"/>
    <row r="16" spans="1:6" ht="46.9" customHeight="1">
      <c r="A16" s="95" t="s">
        <v>302</v>
      </c>
      <c r="B16" s="95" t="s">
        <v>214</v>
      </c>
      <c r="C16" s="95" t="s">
        <v>215</v>
      </c>
      <c r="D16" s="95" t="s">
        <v>216</v>
      </c>
      <c r="E16" s="95" t="str">
        <f>BCTaiSan_06027!D18</f>
        <v>Ngày 30 tháng 06 năm 2020
 As at 30 Jun 2020</v>
      </c>
      <c r="F16" s="95" t="str">
        <f>BCTaiSan_06027!E18</f>
        <v>Ngày 31 tháng 03 năm 2020
 As at 31 Mar 2020</v>
      </c>
    </row>
    <row r="17" spans="1:7" ht="39" customHeight="1">
      <c r="A17" s="51" t="s">
        <v>42</v>
      </c>
      <c r="B17" s="156" t="s">
        <v>471</v>
      </c>
      <c r="C17" s="45" t="s">
        <v>42</v>
      </c>
      <c r="D17" s="70"/>
      <c r="E17" s="70"/>
      <c r="F17" s="70"/>
    </row>
    <row r="18" spans="1:7" ht="39" customHeight="1">
      <c r="A18" s="158" t="s">
        <v>472</v>
      </c>
      <c r="B18" s="159" t="s">
        <v>473</v>
      </c>
      <c r="C18" s="160" t="s">
        <v>474</v>
      </c>
      <c r="D18" s="158"/>
      <c r="E18" s="157">
        <v>13504541103</v>
      </c>
      <c r="F18" s="157">
        <v>51265696867</v>
      </c>
    </row>
    <row r="19" spans="1:7" ht="39" customHeight="1">
      <c r="A19" s="158" t="s">
        <v>475</v>
      </c>
      <c r="B19" s="159" t="s">
        <v>476</v>
      </c>
      <c r="C19" s="160" t="s">
        <v>477</v>
      </c>
      <c r="D19" s="158"/>
      <c r="E19" s="157">
        <v>8504541103</v>
      </c>
      <c r="F19" s="157">
        <v>36265696867</v>
      </c>
    </row>
    <row r="20" spans="1:7" s="164" customFormat="1" ht="49.15" customHeight="1">
      <c r="A20" s="158" t="s">
        <v>478</v>
      </c>
      <c r="B20" s="161" t="s">
        <v>479</v>
      </c>
      <c r="C20" s="162" t="s">
        <v>480</v>
      </c>
      <c r="D20" s="158"/>
      <c r="E20" s="157">
        <v>8000000</v>
      </c>
      <c r="F20" s="157">
        <v>7000000</v>
      </c>
      <c r="G20" s="163"/>
    </row>
    <row r="21" spans="1:7" s="164" customFormat="1" ht="46.5" customHeight="1">
      <c r="A21" s="158" t="s">
        <v>478</v>
      </c>
      <c r="B21" s="161" t="s">
        <v>481</v>
      </c>
      <c r="C21" s="162" t="s">
        <v>482</v>
      </c>
      <c r="D21" s="158"/>
      <c r="E21" s="157">
        <v>14789498</v>
      </c>
      <c r="F21" s="157">
        <v>584312861</v>
      </c>
      <c r="G21" s="163"/>
    </row>
    <row r="22" spans="1:7" s="164" customFormat="1" ht="39" customHeight="1">
      <c r="A22" s="158" t="s">
        <v>478</v>
      </c>
      <c r="B22" s="161" t="s">
        <v>483</v>
      </c>
      <c r="C22" s="162" t="s">
        <v>484</v>
      </c>
      <c r="D22" s="158"/>
      <c r="E22" s="157">
        <v>8481669359</v>
      </c>
      <c r="F22" s="157">
        <v>11750871898</v>
      </c>
      <c r="G22" s="163"/>
    </row>
    <row r="23" spans="1:7" ht="47.65" customHeight="1">
      <c r="A23" s="158" t="s">
        <v>478</v>
      </c>
      <c r="B23" s="161" t="s">
        <v>47</v>
      </c>
      <c r="C23" s="162" t="s">
        <v>485</v>
      </c>
      <c r="D23" s="158"/>
      <c r="E23" s="157">
        <v>82246</v>
      </c>
      <c r="F23" s="157">
        <v>23923512108</v>
      </c>
    </row>
    <row r="24" spans="1:7" ht="39" customHeight="1">
      <c r="A24" s="158" t="s">
        <v>486</v>
      </c>
      <c r="B24" s="159" t="s">
        <v>487</v>
      </c>
      <c r="C24" s="160" t="s">
        <v>488</v>
      </c>
      <c r="D24" s="158"/>
      <c r="E24" s="157">
        <v>5000000000</v>
      </c>
      <c r="F24" s="157">
        <v>15000000000</v>
      </c>
    </row>
    <row r="25" spans="1:7" ht="39" customHeight="1">
      <c r="A25" s="158" t="s">
        <v>489</v>
      </c>
      <c r="B25" s="159" t="s">
        <v>490</v>
      </c>
      <c r="C25" s="160" t="s">
        <v>491</v>
      </c>
      <c r="D25" s="158"/>
      <c r="E25" s="157">
        <v>418780070000</v>
      </c>
      <c r="F25" s="157">
        <v>279586497500</v>
      </c>
    </row>
    <row r="26" spans="1:7" ht="39" customHeight="1">
      <c r="A26" s="158" t="s">
        <v>492</v>
      </c>
      <c r="B26" s="159" t="s">
        <v>493</v>
      </c>
      <c r="C26" s="160" t="s">
        <v>494</v>
      </c>
      <c r="D26" s="158"/>
      <c r="E26" s="157">
        <v>418780070000</v>
      </c>
      <c r="F26" s="157">
        <v>279586497500</v>
      </c>
    </row>
    <row r="27" spans="1:7" ht="39" customHeight="1">
      <c r="A27" s="158" t="s">
        <v>478</v>
      </c>
      <c r="B27" s="161" t="s">
        <v>495</v>
      </c>
      <c r="C27" s="162" t="s">
        <v>496</v>
      </c>
      <c r="D27" s="158"/>
      <c r="E27" s="157">
        <v>418780070000</v>
      </c>
      <c r="F27" s="157">
        <v>279586497500</v>
      </c>
    </row>
    <row r="28" spans="1:7" ht="39" customHeight="1">
      <c r="A28" s="158" t="s">
        <v>478</v>
      </c>
      <c r="B28" s="161" t="s">
        <v>497</v>
      </c>
      <c r="C28" s="162" t="s">
        <v>498</v>
      </c>
      <c r="D28" s="158"/>
      <c r="E28" s="157">
        <v>0</v>
      </c>
      <c r="F28" s="157">
        <v>0</v>
      </c>
    </row>
    <row r="29" spans="1:7" ht="39" customHeight="1">
      <c r="A29" s="158" t="s">
        <v>478</v>
      </c>
      <c r="B29" s="161" t="s">
        <v>499</v>
      </c>
      <c r="C29" s="162" t="s">
        <v>500</v>
      </c>
      <c r="D29" s="158"/>
      <c r="E29" s="157">
        <v>0</v>
      </c>
      <c r="F29" s="157">
        <v>0</v>
      </c>
    </row>
    <row r="30" spans="1:7" ht="39" customHeight="1">
      <c r="A30" s="158" t="s">
        <v>478</v>
      </c>
      <c r="B30" s="161" t="s">
        <v>501</v>
      </c>
      <c r="C30" s="162" t="s">
        <v>502</v>
      </c>
      <c r="D30" s="158"/>
      <c r="E30" s="157">
        <v>0</v>
      </c>
      <c r="F30" s="157">
        <v>0</v>
      </c>
    </row>
    <row r="31" spans="1:7" ht="39" customHeight="1">
      <c r="A31" s="158" t="s">
        <v>478</v>
      </c>
      <c r="B31" s="161" t="s">
        <v>503</v>
      </c>
      <c r="C31" s="162" t="s">
        <v>504</v>
      </c>
      <c r="D31" s="158"/>
      <c r="E31" s="157">
        <v>0</v>
      </c>
      <c r="F31" s="157">
        <v>0</v>
      </c>
    </row>
    <row r="32" spans="1:7" ht="39" customHeight="1">
      <c r="A32" s="158" t="s">
        <v>478</v>
      </c>
      <c r="B32" s="161" t="s">
        <v>458</v>
      </c>
      <c r="C32" s="162" t="s">
        <v>505</v>
      </c>
      <c r="D32" s="158"/>
      <c r="E32" s="157">
        <v>0</v>
      </c>
      <c r="F32" s="157">
        <v>0</v>
      </c>
    </row>
    <row r="33" spans="1:6" ht="39" customHeight="1">
      <c r="A33" s="158" t="s">
        <v>478</v>
      </c>
      <c r="B33" s="161" t="s">
        <v>459</v>
      </c>
      <c r="C33" s="162" t="s">
        <v>506</v>
      </c>
      <c r="D33" s="158"/>
      <c r="E33" s="157">
        <v>0</v>
      </c>
      <c r="F33" s="157">
        <v>0</v>
      </c>
    </row>
    <row r="34" spans="1:6" ht="39" customHeight="1">
      <c r="A34" s="158" t="s">
        <v>478</v>
      </c>
      <c r="B34" s="161" t="s">
        <v>460</v>
      </c>
      <c r="C34" s="162" t="s">
        <v>507</v>
      </c>
      <c r="D34" s="158"/>
      <c r="E34" s="157">
        <v>0</v>
      </c>
      <c r="F34" s="157">
        <v>0</v>
      </c>
    </row>
    <row r="35" spans="1:6" ht="39" customHeight="1">
      <c r="A35" s="158" t="s">
        <v>478</v>
      </c>
      <c r="B35" s="161" t="s">
        <v>508</v>
      </c>
      <c r="C35" s="162" t="s">
        <v>509</v>
      </c>
      <c r="D35" s="158"/>
      <c r="E35" s="157">
        <v>0</v>
      </c>
      <c r="F35" s="157">
        <v>0</v>
      </c>
    </row>
    <row r="36" spans="1:6" ht="39" customHeight="1">
      <c r="A36" s="158" t="s">
        <v>478</v>
      </c>
      <c r="B36" s="161" t="s">
        <v>461</v>
      </c>
      <c r="C36" s="162" t="s">
        <v>510</v>
      </c>
      <c r="D36" s="158"/>
      <c r="E36" s="157">
        <v>0</v>
      </c>
      <c r="F36" s="157">
        <v>0</v>
      </c>
    </row>
    <row r="37" spans="1:6" ht="39" customHeight="1">
      <c r="A37" s="158" t="s">
        <v>511</v>
      </c>
      <c r="B37" s="159" t="s">
        <v>512</v>
      </c>
      <c r="C37" s="160" t="s">
        <v>513</v>
      </c>
      <c r="D37" s="158"/>
      <c r="E37" s="157">
        <v>0</v>
      </c>
      <c r="F37" s="157">
        <v>0</v>
      </c>
    </row>
    <row r="38" spans="1:6" ht="39" customHeight="1">
      <c r="A38" s="158" t="s">
        <v>514</v>
      </c>
      <c r="B38" s="159" t="s">
        <v>515</v>
      </c>
      <c r="C38" s="160" t="s">
        <v>516</v>
      </c>
      <c r="D38" s="158"/>
      <c r="E38" s="157">
        <v>249315068</v>
      </c>
      <c r="F38" s="157">
        <v>360616437</v>
      </c>
    </row>
    <row r="39" spans="1:6" ht="39" customHeight="1">
      <c r="A39" s="158" t="s">
        <v>517</v>
      </c>
      <c r="B39" s="159" t="s">
        <v>518</v>
      </c>
      <c r="C39" s="160" t="s">
        <v>519</v>
      </c>
      <c r="D39" s="158"/>
      <c r="E39" s="157">
        <v>0</v>
      </c>
      <c r="F39" s="157">
        <v>0</v>
      </c>
    </row>
    <row r="40" spans="1:6" ht="43.15" customHeight="1">
      <c r="A40" s="158" t="s">
        <v>478</v>
      </c>
      <c r="B40" s="161" t="s">
        <v>520</v>
      </c>
      <c r="C40" s="162" t="s">
        <v>521</v>
      </c>
      <c r="D40" s="158"/>
      <c r="E40" s="157">
        <v>0</v>
      </c>
      <c r="F40" s="157">
        <v>0</v>
      </c>
    </row>
    <row r="41" spans="1:6" ht="46.9" customHeight="1">
      <c r="A41" s="158" t="s">
        <v>522</v>
      </c>
      <c r="B41" s="159" t="s">
        <v>523</v>
      </c>
      <c r="C41" s="160" t="s">
        <v>524</v>
      </c>
      <c r="D41" s="158"/>
      <c r="E41" s="157">
        <v>249315068</v>
      </c>
      <c r="F41" s="157">
        <v>360616437</v>
      </c>
    </row>
    <row r="42" spans="1:6" ht="43.9" customHeight="1">
      <c r="A42" s="158" t="s">
        <v>525</v>
      </c>
      <c r="B42" s="159" t="s">
        <v>526</v>
      </c>
      <c r="C42" s="160" t="s">
        <v>527</v>
      </c>
      <c r="D42" s="158"/>
      <c r="E42" s="157">
        <v>0</v>
      </c>
      <c r="F42" s="157">
        <v>0</v>
      </c>
    </row>
    <row r="43" spans="1:6" ht="39" customHeight="1">
      <c r="A43" s="158" t="s">
        <v>478</v>
      </c>
      <c r="B43" s="161" t="s">
        <v>462</v>
      </c>
      <c r="C43" s="162" t="s">
        <v>528</v>
      </c>
      <c r="D43" s="158"/>
      <c r="E43" s="157">
        <v>0</v>
      </c>
      <c r="F43" s="157">
        <v>0</v>
      </c>
    </row>
    <row r="44" spans="1:6" ht="39" customHeight="1">
      <c r="A44" s="158" t="s">
        <v>478</v>
      </c>
      <c r="B44" s="161" t="s">
        <v>463</v>
      </c>
      <c r="C44" s="162" t="s">
        <v>529</v>
      </c>
      <c r="D44" s="158"/>
      <c r="E44" s="157">
        <v>0</v>
      </c>
      <c r="F44" s="157">
        <v>0</v>
      </c>
    </row>
    <row r="45" spans="1:6" ht="46.15" customHeight="1">
      <c r="A45" s="158" t="s">
        <v>478</v>
      </c>
      <c r="B45" s="161" t="s">
        <v>530</v>
      </c>
      <c r="C45" s="162" t="s">
        <v>531</v>
      </c>
      <c r="D45" s="158"/>
      <c r="E45" s="157">
        <v>0</v>
      </c>
      <c r="F45" s="157">
        <v>0</v>
      </c>
    </row>
    <row r="46" spans="1:6" ht="44.65" customHeight="1">
      <c r="A46" s="158" t="s">
        <v>478</v>
      </c>
      <c r="B46" s="161" t="s">
        <v>532</v>
      </c>
      <c r="C46" s="162" t="s">
        <v>533</v>
      </c>
      <c r="D46" s="158"/>
      <c r="E46" s="157">
        <v>0</v>
      </c>
      <c r="F46" s="157">
        <v>0</v>
      </c>
    </row>
    <row r="47" spans="1:6" ht="39" customHeight="1">
      <c r="A47" s="158" t="s">
        <v>478</v>
      </c>
      <c r="B47" s="161" t="s">
        <v>534</v>
      </c>
      <c r="C47" s="162" t="s">
        <v>535</v>
      </c>
      <c r="D47" s="158"/>
      <c r="E47" s="157">
        <v>0</v>
      </c>
      <c r="F47" s="157">
        <v>0</v>
      </c>
    </row>
    <row r="48" spans="1:6" ht="55.9" customHeight="1">
      <c r="A48" s="158" t="s">
        <v>478</v>
      </c>
      <c r="B48" s="159" t="s">
        <v>536</v>
      </c>
      <c r="C48" s="160" t="s">
        <v>537</v>
      </c>
      <c r="D48" s="158"/>
      <c r="E48" s="157">
        <v>0</v>
      </c>
      <c r="F48" s="157">
        <v>0</v>
      </c>
    </row>
    <row r="49" spans="1:7" ht="39" customHeight="1">
      <c r="A49" s="158" t="s">
        <v>538</v>
      </c>
      <c r="B49" s="159" t="s">
        <v>539</v>
      </c>
      <c r="C49" s="160" t="s">
        <v>540</v>
      </c>
      <c r="D49" s="158"/>
      <c r="E49" s="157">
        <v>249315068</v>
      </c>
      <c r="F49" s="157">
        <v>360616437</v>
      </c>
    </row>
    <row r="50" spans="1:7" ht="39" customHeight="1">
      <c r="A50" s="158" t="s">
        <v>478</v>
      </c>
      <c r="B50" s="161" t="s">
        <v>541</v>
      </c>
      <c r="C50" s="162" t="s">
        <v>542</v>
      </c>
      <c r="D50" s="158"/>
      <c r="E50" s="157">
        <v>240000000</v>
      </c>
      <c r="F50" s="157">
        <v>345000000</v>
      </c>
    </row>
    <row r="51" spans="1:7" ht="39" customHeight="1">
      <c r="A51" s="158" t="s">
        <v>478</v>
      </c>
      <c r="B51" s="161" t="s">
        <v>543</v>
      </c>
      <c r="C51" s="162" t="s">
        <v>544</v>
      </c>
      <c r="D51" s="158"/>
      <c r="E51" s="157">
        <v>0</v>
      </c>
      <c r="F51" s="157">
        <v>0</v>
      </c>
    </row>
    <row r="52" spans="1:7" ht="46.15" customHeight="1">
      <c r="A52" s="158" t="s">
        <v>478</v>
      </c>
      <c r="B52" s="161" t="s">
        <v>545</v>
      </c>
      <c r="C52" s="162" t="s">
        <v>546</v>
      </c>
      <c r="D52" s="158"/>
      <c r="E52" s="157">
        <v>9315068</v>
      </c>
      <c r="F52" s="157">
        <v>15616437</v>
      </c>
    </row>
    <row r="53" spans="1:7" ht="42" customHeight="1">
      <c r="A53" s="158" t="s">
        <v>478</v>
      </c>
      <c r="B53" s="161" t="s">
        <v>547</v>
      </c>
      <c r="C53" s="162" t="s">
        <v>548</v>
      </c>
      <c r="D53" s="158"/>
      <c r="E53" s="157">
        <v>0</v>
      </c>
      <c r="F53" s="157">
        <v>0</v>
      </c>
    </row>
    <row r="54" spans="1:7" ht="39" customHeight="1">
      <c r="A54" s="158" t="s">
        <v>478</v>
      </c>
      <c r="B54" s="161" t="s">
        <v>549</v>
      </c>
      <c r="C54" s="162" t="s">
        <v>550</v>
      </c>
      <c r="D54" s="158"/>
      <c r="E54" s="157">
        <v>0</v>
      </c>
      <c r="F54" s="157">
        <v>0</v>
      </c>
    </row>
    <row r="55" spans="1:7" ht="39" customHeight="1">
      <c r="A55" s="158" t="s">
        <v>478</v>
      </c>
      <c r="B55" s="161" t="s">
        <v>551</v>
      </c>
      <c r="C55" s="162" t="s">
        <v>552</v>
      </c>
      <c r="D55" s="158"/>
      <c r="E55" s="157">
        <v>0</v>
      </c>
      <c r="F55" s="157">
        <v>0</v>
      </c>
    </row>
    <row r="56" spans="1:7" ht="39" customHeight="1">
      <c r="A56" s="158" t="s">
        <v>553</v>
      </c>
      <c r="B56" s="159" t="s">
        <v>554</v>
      </c>
      <c r="C56" s="160" t="s">
        <v>555</v>
      </c>
      <c r="D56" s="158"/>
      <c r="E56" s="157">
        <v>0</v>
      </c>
      <c r="F56" s="157">
        <v>0</v>
      </c>
    </row>
    <row r="57" spans="1:7" s="164" customFormat="1" ht="46.9" customHeight="1">
      <c r="A57" s="158" t="s">
        <v>478</v>
      </c>
      <c r="B57" s="161" t="s">
        <v>556</v>
      </c>
      <c r="C57" s="162" t="s">
        <v>557</v>
      </c>
      <c r="D57" s="158"/>
      <c r="E57" s="157">
        <v>0</v>
      </c>
      <c r="F57" s="157">
        <v>0</v>
      </c>
      <c r="G57" s="163"/>
    </row>
    <row r="58" spans="1:7" ht="39" customHeight="1">
      <c r="A58" s="158" t="s">
        <v>478</v>
      </c>
      <c r="B58" s="161" t="s">
        <v>558</v>
      </c>
      <c r="C58" s="162" t="s">
        <v>559</v>
      </c>
      <c r="D58" s="158"/>
      <c r="E58" s="157">
        <v>0</v>
      </c>
      <c r="F58" s="157">
        <v>0</v>
      </c>
    </row>
    <row r="59" spans="1:7" ht="39" customHeight="1">
      <c r="A59" s="158" t="s">
        <v>478</v>
      </c>
      <c r="B59" s="161" t="s">
        <v>560</v>
      </c>
      <c r="C59" s="162" t="s">
        <v>561</v>
      </c>
      <c r="D59" s="158"/>
      <c r="E59" s="157">
        <v>0</v>
      </c>
      <c r="F59" s="157">
        <v>0</v>
      </c>
    </row>
    <row r="60" spans="1:7" ht="39" customHeight="1">
      <c r="A60" s="158" t="s">
        <v>562</v>
      </c>
      <c r="B60" s="159" t="s">
        <v>563</v>
      </c>
      <c r="C60" s="160" t="s">
        <v>564</v>
      </c>
      <c r="D60" s="158"/>
      <c r="E60" s="157">
        <v>0</v>
      </c>
      <c r="F60" s="157">
        <v>0</v>
      </c>
    </row>
    <row r="61" spans="1:7" ht="39" customHeight="1">
      <c r="A61" s="51" t="s">
        <v>478</v>
      </c>
      <c r="B61" s="156" t="s">
        <v>464</v>
      </c>
      <c r="C61" s="45" t="s">
        <v>565</v>
      </c>
      <c r="D61" s="70"/>
      <c r="E61" s="70">
        <v>432533926171</v>
      </c>
      <c r="F61" s="70">
        <v>331212810804</v>
      </c>
    </row>
    <row r="62" spans="1:7" ht="39" customHeight="1">
      <c r="A62" s="51" t="s">
        <v>48</v>
      </c>
      <c r="B62" s="156" t="s">
        <v>566</v>
      </c>
      <c r="C62" s="45" t="s">
        <v>48</v>
      </c>
      <c r="D62" s="70"/>
      <c r="E62" s="70"/>
      <c r="F62" s="70"/>
    </row>
    <row r="63" spans="1:7" ht="39" customHeight="1">
      <c r="A63" s="158" t="s">
        <v>472</v>
      </c>
      <c r="B63" s="159" t="s">
        <v>567</v>
      </c>
      <c r="C63" s="160" t="s">
        <v>568</v>
      </c>
      <c r="D63" s="158"/>
      <c r="E63" s="157">
        <v>0</v>
      </c>
      <c r="F63" s="157">
        <v>0</v>
      </c>
    </row>
    <row r="64" spans="1:7" ht="39" customHeight="1">
      <c r="A64" s="158" t="s">
        <v>478</v>
      </c>
      <c r="B64" s="161" t="s">
        <v>569</v>
      </c>
      <c r="C64" s="162" t="s">
        <v>570</v>
      </c>
      <c r="D64" s="158"/>
      <c r="E64" s="157">
        <v>0</v>
      </c>
      <c r="F64" s="157">
        <v>0</v>
      </c>
    </row>
    <row r="65" spans="1:6" ht="39" customHeight="1">
      <c r="A65" s="158" t="s">
        <v>478</v>
      </c>
      <c r="B65" s="161" t="s">
        <v>571</v>
      </c>
      <c r="C65" s="162" t="s">
        <v>572</v>
      </c>
      <c r="D65" s="158"/>
      <c r="E65" s="157">
        <v>0</v>
      </c>
      <c r="F65" s="157">
        <v>0</v>
      </c>
    </row>
    <row r="66" spans="1:6" ht="39" customHeight="1">
      <c r="A66" s="158" t="s">
        <v>489</v>
      </c>
      <c r="B66" s="159" t="s">
        <v>573</v>
      </c>
      <c r="C66" s="160" t="s">
        <v>574</v>
      </c>
      <c r="D66" s="158"/>
      <c r="E66" s="157">
        <v>4476492000</v>
      </c>
      <c r="F66" s="157">
        <v>0</v>
      </c>
    </row>
    <row r="67" spans="1:6" ht="60" customHeight="1">
      <c r="A67" s="158" t="s">
        <v>514</v>
      </c>
      <c r="B67" s="159" t="s">
        <v>575</v>
      </c>
      <c r="C67" s="160" t="s">
        <v>576</v>
      </c>
      <c r="D67" s="158"/>
      <c r="E67" s="157">
        <v>51478829</v>
      </c>
      <c r="F67" s="157">
        <v>603503865</v>
      </c>
    </row>
    <row r="68" spans="1:6" ht="57.4" customHeight="1">
      <c r="A68" s="158" t="s">
        <v>478</v>
      </c>
      <c r="B68" s="161" t="s">
        <v>577</v>
      </c>
      <c r="C68" s="162" t="s">
        <v>578</v>
      </c>
      <c r="D68" s="158"/>
      <c r="E68" s="157">
        <v>36689000</v>
      </c>
      <c r="F68" s="157">
        <v>4421926</v>
      </c>
    </row>
    <row r="69" spans="1:6" ht="60" customHeight="1">
      <c r="A69" s="158" t="s">
        <v>478</v>
      </c>
      <c r="B69" s="161" t="s">
        <v>579</v>
      </c>
      <c r="C69" s="162" t="s">
        <v>580</v>
      </c>
      <c r="D69" s="158"/>
      <c r="E69" s="157">
        <v>14789829</v>
      </c>
      <c r="F69" s="157">
        <v>599081939</v>
      </c>
    </row>
    <row r="70" spans="1:6" ht="39" customHeight="1">
      <c r="A70" s="158" t="s">
        <v>581</v>
      </c>
      <c r="B70" s="159" t="s">
        <v>582</v>
      </c>
      <c r="C70" s="160" t="s">
        <v>583</v>
      </c>
      <c r="D70" s="158"/>
      <c r="E70" s="157">
        <v>2266631</v>
      </c>
      <c r="F70" s="157">
        <v>60041380</v>
      </c>
    </row>
    <row r="71" spans="1:6" ht="39" customHeight="1">
      <c r="A71" s="158" t="s">
        <v>584</v>
      </c>
      <c r="B71" s="159" t="s">
        <v>585</v>
      </c>
      <c r="C71" s="160" t="s">
        <v>586</v>
      </c>
      <c r="D71" s="158"/>
      <c r="E71" s="157">
        <v>83000000</v>
      </c>
      <c r="F71" s="157">
        <v>83000000</v>
      </c>
    </row>
    <row r="72" spans="1:6" ht="39" customHeight="1">
      <c r="A72" s="158" t="s">
        <v>587</v>
      </c>
      <c r="B72" s="159" t="s">
        <v>588</v>
      </c>
      <c r="C72" s="160" t="s">
        <v>589</v>
      </c>
      <c r="D72" s="158"/>
      <c r="E72" s="157">
        <v>177918438</v>
      </c>
      <c r="F72" s="157">
        <v>297685726</v>
      </c>
    </row>
    <row r="73" spans="1:6" ht="39" customHeight="1">
      <c r="A73" s="158" t="s">
        <v>478</v>
      </c>
      <c r="B73" s="161" t="s">
        <v>467</v>
      </c>
      <c r="C73" s="162" t="s">
        <v>590</v>
      </c>
      <c r="D73" s="158"/>
      <c r="E73" s="157">
        <v>6714738</v>
      </c>
      <c r="F73" s="157">
        <v>0</v>
      </c>
    </row>
    <row r="74" spans="1:6" ht="39" customHeight="1">
      <c r="A74" s="158" t="s">
        <v>478</v>
      </c>
      <c r="B74" s="161" t="s">
        <v>591</v>
      </c>
      <c r="C74" s="162" t="s">
        <v>592</v>
      </c>
      <c r="D74" s="158"/>
      <c r="E74" s="157">
        <v>6714738</v>
      </c>
      <c r="F74" s="157">
        <v>0</v>
      </c>
    </row>
    <row r="75" spans="1:6" ht="39" customHeight="1">
      <c r="A75" s="158" t="s">
        <v>478</v>
      </c>
      <c r="B75" s="161" t="s">
        <v>593</v>
      </c>
      <c r="C75" s="162" t="s">
        <v>594</v>
      </c>
      <c r="D75" s="158"/>
      <c r="E75" s="157">
        <v>0</v>
      </c>
      <c r="F75" s="157">
        <v>0</v>
      </c>
    </row>
    <row r="76" spans="1:6" ht="39" customHeight="1">
      <c r="A76" s="158" t="s">
        <v>478</v>
      </c>
      <c r="B76" s="161" t="s">
        <v>595</v>
      </c>
      <c r="C76" s="162" t="s">
        <v>596</v>
      </c>
      <c r="D76" s="158"/>
      <c r="E76" s="157">
        <v>84784154</v>
      </c>
      <c r="F76" s="157">
        <v>212892077</v>
      </c>
    </row>
    <row r="77" spans="1:6" ht="39" customHeight="1">
      <c r="A77" s="158" t="s">
        <v>478</v>
      </c>
      <c r="B77" s="161" t="s">
        <v>597</v>
      </c>
      <c r="C77" s="162" t="s">
        <v>598</v>
      </c>
      <c r="D77" s="158"/>
      <c r="E77" s="157">
        <v>35386313</v>
      </c>
      <c r="F77" s="157">
        <v>36744033</v>
      </c>
    </row>
    <row r="78" spans="1:6" ht="39" customHeight="1">
      <c r="A78" s="158" t="s">
        <v>478</v>
      </c>
      <c r="B78" s="161" t="s">
        <v>599</v>
      </c>
      <c r="C78" s="162" t="s">
        <v>600</v>
      </c>
      <c r="D78" s="158"/>
      <c r="E78" s="157">
        <v>33066000</v>
      </c>
      <c r="F78" s="157">
        <v>33066000</v>
      </c>
    </row>
    <row r="79" spans="1:6" ht="45.4" customHeight="1">
      <c r="A79" s="158" t="s">
        <v>478</v>
      </c>
      <c r="B79" s="161" t="s">
        <v>601</v>
      </c>
      <c r="C79" s="162" t="s">
        <v>602</v>
      </c>
      <c r="D79" s="158"/>
      <c r="E79" s="157">
        <v>17967233</v>
      </c>
      <c r="F79" s="157">
        <v>14983616</v>
      </c>
    </row>
    <row r="80" spans="1:6" ht="48.4" customHeight="1">
      <c r="A80" s="158" t="s">
        <v>478</v>
      </c>
      <c r="B80" s="161" t="s">
        <v>603</v>
      </c>
      <c r="C80" s="162" t="s">
        <v>604</v>
      </c>
      <c r="D80" s="158"/>
      <c r="E80" s="157">
        <v>0</v>
      </c>
      <c r="F80" s="157">
        <v>0</v>
      </c>
    </row>
    <row r="81" spans="1:6" ht="56.65" customHeight="1">
      <c r="A81" s="158" t="s">
        <v>478</v>
      </c>
      <c r="B81" s="161" t="s">
        <v>605</v>
      </c>
      <c r="C81" s="162" t="s">
        <v>606</v>
      </c>
      <c r="D81" s="158"/>
      <c r="E81" s="157">
        <v>0</v>
      </c>
      <c r="F81" s="157">
        <v>0</v>
      </c>
    </row>
    <row r="82" spans="1:6" ht="39" customHeight="1">
      <c r="A82" s="158" t="s">
        <v>607</v>
      </c>
      <c r="B82" s="159" t="s">
        <v>608</v>
      </c>
      <c r="C82" s="160" t="s">
        <v>609</v>
      </c>
      <c r="D82" s="158"/>
      <c r="E82" s="157">
        <v>52095900</v>
      </c>
      <c r="F82" s="157">
        <v>86095900</v>
      </c>
    </row>
    <row r="83" spans="1:6" ht="39" customHeight="1">
      <c r="A83" s="158" t="s">
        <v>478</v>
      </c>
      <c r="B83" s="161" t="s">
        <v>465</v>
      </c>
      <c r="C83" s="162" t="s">
        <v>610</v>
      </c>
      <c r="D83" s="158"/>
      <c r="E83" s="157">
        <v>52095900</v>
      </c>
      <c r="F83" s="157">
        <v>86095900</v>
      </c>
    </row>
    <row r="84" spans="1:6" ht="45" customHeight="1">
      <c r="A84" s="158" t="s">
        <v>478</v>
      </c>
      <c r="B84" s="161" t="s">
        <v>466</v>
      </c>
      <c r="C84" s="162" t="s">
        <v>611</v>
      </c>
      <c r="D84" s="158"/>
      <c r="E84" s="157">
        <v>0</v>
      </c>
      <c r="F84" s="157">
        <v>0</v>
      </c>
    </row>
    <row r="85" spans="1:6" ht="39" customHeight="1">
      <c r="A85" s="158" t="s">
        <v>612</v>
      </c>
      <c r="B85" s="159" t="s">
        <v>613</v>
      </c>
      <c r="C85" s="160" t="s">
        <v>614</v>
      </c>
      <c r="D85" s="158"/>
      <c r="E85" s="157">
        <v>82912784</v>
      </c>
      <c r="F85" s="157">
        <v>1132371244</v>
      </c>
    </row>
    <row r="86" spans="1:6" ht="39" customHeight="1">
      <c r="A86" s="158" t="s">
        <v>615</v>
      </c>
      <c r="B86" s="159" t="s">
        <v>616</v>
      </c>
      <c r="C86" s="160" t="s">
        <v>617</v>
      </c>
      <c r="D86" s="158"/>
      <c r="E86" s="157">
        <v>780199454</v>
      </c>
      <c r="F86" s="157">
        <v>831021029</v>
      </c>
    </row>
    <row r="87" spans="1:6" ht="39" customHeight="1">
      <c r="A87" s="158" t="s">
        <v>478</v>
      </c>
      <c r="B87" s="161" t="s">
        <v>618</v>
      </c>
      <c r="C87" s="162" t="s">
        <v>619</v>
      </c>
      <c r="D87" s="158"/>
      <c r="E87" s="157">
        <v>707895540</v>
      </c>
      <c r="F87" s="157">
        <v>749309010</v>
      </c>
    </row>
    <row r="88" spans="1:6" ht="39" customHeight="1">
      <c r="A88" s="158" t="s">
        <v>478</v>
      </c>
      <c r="B88" s="161" t="s">
        <v>620</v>
      </c>
      <c r="C88" s="162" t="s">
        <v>621</v>
      </c>
      <c r="D88" s="158"/>
      <c r="E88" s="157">
        <v>23900000</v>
      </c>
      <c r="F88" s="157">
        <v>32600000</v>
      </c>
    </row>
    <row r="89" spans="1:6" ht="39" customHeight="1">
      <c r="A89" s="158" t="s">
        <v>478</v>
      </c>
      <c r="B89" s="161" t="s">
        <v>51</v>
      </c>
      <c r="C89" s="162" t="s">
        <v>622</v>
      </c>
      <c r="D89" s="158"/>
      <c r="E89" s="157">
        <v>22000000</v>
      </c>
      <c r="F89" s="157">
        <v>22000000</v>
      </c>
    </row>
    <row r="90" spans="1:6" ht="39" customHeight="1">
      <c r="A90" s="158" t="s">
        <v>478</v>
      </c>
      <c r="B90" s="161" t="s">
        <v>63</v>
      </c>
      <c r="C90" s="162" t="s">
        <v>623</v>
      </c>
      <c r="D90" s="158"/>
      <c r="E90" s="157">
        <v>1900000</v>
      </c>
      <c r="F90" s="157">
        <v>10600000</v>
      </c>
    </row>
    <row r="91" spans="1:6" ht="57" customHeight="1">
      <c r="A91" s="158" t="s">
        <v>478</v>
      </c>
      <c r="B91" s="161" t="s">
        <v>400</v>
      </c>
      <c r="C91" s="162" t="s">
        <v>624</v>
      </c>
      <c r="D91" s="158"/>
      <c r="E91" s="157">
        <v>0</v>
      </c>
      <c r="F91" s="157">
        <v>0</v>
      </c>
    </row>
    <row r="92" spans="1:6" ht="39" customHeight="1">
      <c r="A92" s="158" t="s">
        <v>478</v>
      </c>
      <c r="B92" s="161" t="s">
        <v>625</v>
      </c>
      <c r="C92" s="162" t="s">
        <v>626</v>
      </c>
      <c r="D92" s="158"/>
      <c r="E92" s="157">
        <v>12103914</v>
      </c>
      <c r="F92" s="157">
        <v>12812019</v>
      </c>
    </row>
    <row r="93" spans="1:6" ht="39" customHeight="1">
      <c r="A93" s="158" t="s">
        <v>478</v>
      </c>
      <c r="B93" s="161" t="s">
        <v>627</v>
      </c>
      <c r="C93" s="162" t="s">
        <v>628</v>
      </c>
      <c r="D93" s="158"/>
      <c r="E93" s="157">
        <v>25300000</v>
      </c>
      <c r="F93" s="157">
        <v>25300000</v>
      </c>
    </row>
    <row r="94" spans="1:6" ht="39" customHeight="1">
      <c r="A94" s="158" t="s">
        <v>478</v>
      </c>
      <c r="B94" s="161" t="s">
        <v>629</v>
      </c>
      <c r="C94" s="162" t="s">
        <v>630</v>
      </c>
      <c r="D94" s="158"/>
      <c r="E94" s="157">
        <v>11000000</v>
      </c>
      <c r="F94" s="157">
        <v>11000000</v>
      </c>
    </row>
    <row r="95" spans="1:6" ht="57.4" customHeight="1">
      <c r="A95" s="158" t="s">
        <v>478</v>
      </c>
      <c r="B95" s="161" t="s">
        <v>631</v>
      </c>
      <c r="C95" s="162" t="s">
        <v>632</v>
      </c>
      <c r="D95" s="158"/>
      <c r="E95" s="157">
        <v>0</v>
      </c>
      <c r="F95" s="157">
        <v>0</v>
      </c>
    </row>
    <row r="96" spans="1:6" ht="47.65" customHeight="1">
      <c r="A96" s="158" t="s">
        <v>478</v>
      </c>
      <c r="B96" s="161" t="s">
        <v>633</v>
      </c>
      <c r="C96" s="162" t="s">
        <v>634</v>
      </c>
      <c r="D96" s="158"/>
      <c r="E96" s="157">
        <v>0</v>
      </c>
      <c r="F96" s="157">
        <v>0</v>
      </c>
    </row>
    <row r="97" spans="1:6" ht="39" customHeight="1">
      <c r="A97" s="158" t="s">
        <v>229</v>
      </c>
      <c r="B97" s="159" t="s">
        <v>635</v>
      </c>
      <c r="C97" s="160" t="s">
        <v>636</v>
      </c>
      <c r="D97" s="158"/>
      <c r="E97" s="157">
        <v>37054239</v>
      </c>
      <c r="F97" s="157">
        <v>37054239</v>
      </c>
    </row>
    <row r="98" spans="1:6" ht="39" customHeight="1">
      <c r="A98" s="158" t="s">
        <v>478</v>
      </c>
      <c r="B98" s="161" t="s">
        <v>469</v>
      </c>
      <c r="C98" s="162" t="s">
        <v>637</v>
      </c>
      <c r="D98" s="158"/>
      <c r="E98" s="157">
        <v>0</v>
      </c>
      <c r="F98" s="157">
        <v>0</v>
      </c>
    </row>
    <row r="99" spans="1:6" ht="45.4" customHeight="1">
      <c r="A99" s="158" t="s">
        <v>478</v>
      </c>
      <c r="B99" s="161" t="s">
        <v>470</v>
      </c>
      <c r="C99" s="162" t="s">
        <v>638</v>
      </c>
      <c r="D99" s="158"/>
      <c r="E99" s="157">
        <v>37054239</v>
      </c>
      <c r="F99" s="157">
        <v>37054239</v>
      </c>
    </row>
    <row r="100" spans="1:6" ht="39" customHeight="1">
      <c r="A100" s="158" t="s">
        <v>478</v>
      </c>
      <c r="B100" s="161" t="s">
        <v>639</v>
      </c>
      <c r="C100" s="162" t="s">
        <v>640</v>
      </c>
      <c r="D100" s="158"/>
      <c r="E100" s="157">
        <v>0</v>
      </c>
      <c r="F100" s="157">
        <v>0</v>
      </c>
    </row>
    <row r="101" spans="1:6" ht="39" customHeight="1">
      <c r="A101" s="158" t="s">
        <v>478</v>
      </c>
      <c r="B101" s="161" t="s">
        <v>641</v>
      </c>
      <c r="C101" s="162" t="s">
        <v>642</v>
      </c>
      <c r="D101" s="158"/>
      <c r="E101" s="157">
        <v>0</v>
      </c>
      <c r="F101" s="157">
        <v>0</v>
      </c>
    </row>
    <row r="102" spans="1:6" ht="39" customHeight="1">
      <c r="A102" s="158" t="s">
        <v>478</v>
      </c>
      <c r="B102" s="161" t="s">
        <v>468</v>
      </c>
      <c r="C102" s="162" t="s">
        <v>643</v>
      </c>
      <c r="D102" s="158"/>
      <c r="E102" s="157">
        <v>0</v>
      </c>
      <c r="F102" s="157">
        <v>0</v>
      </c>
    </row>
    <row r="103" spans="1:6" ht="39" customHeight="1">
      <c r="A103" s="51" t="s">
        <v>478</v>
      </c>
      <c r="B103" s="156" t="s">
        <v>644</v>
      </c>
      <c r="C103" s="45" t="s">
        <v>645</v>
      </c>
      <c r="D103" s="70"/>
      <c r="E103" s="70">
        <v>5743418275</v>
      </c>
      <c r="F103" s="70">
        <v>3130773383</v>
      </c>
    </row>
    <row r="104" spans="1:6" ht="59.65" customHeight="1">
      <c r="A104" s="51" t="s">
        <v>54</v>
      </c>
      <c r="B104" s="156" t="s">
        <v>646</v>
      </c>
      <c r="C104" s="45" t="s">
        <v>647</v>
      </c>
      <c r="D104" s="70"/>
      <c r="E104" s="70">
        <v>426790507896</v>
      </c>
      <c r="F104" s="70">
        <v>328082037421</v>
      </c>
    </row>
    <row r="105" spans="1:6" ht="39" customHeight="1">
      <c r="A105" s="158" t="s">
        <v>472</v>
      </c>
      <c r="B105" s="159" t="s">
        <v>648</v>
      </c>
      <c r="C105" s="160" t="s">
        <v>649</v>
      </c>
      <c r="D105" s="158"/>
      <c r="E105" s="157">
        <v>284929982000</v>
      </c>
      <c r="F105" s="157">
        <v>278686005700</v>
      </c>
    </row>
    <row r="106" spans="1:6" ht="39" customHeight="1">
      <c r="A106" s="158" t="s">
        <v>475</v>
      </c>
      <c r="B106" s="159" t="s">
        <v>650</v>
      </c>
      <c r="C106" s="160" t="s">
        <v>651</v>
      </c>
      <c r="D106" s="158"/>
      <c r="E106" s="157">
        <v>2631012929000</v>
      </c>
      <c r="F106" s="157">
        <v>2619596206300</v>
      </c>
    </row>
    <row r="107" spans="1:6" ht="39" customHeight="1">
      <c r="A107" s="158" t="s">
        <v>486</v>
      </c>
      <c r="B107" s="159" t="s">
        <v>652</v>
      </c>
      <c r="C107" s="160" t="s">
        <v>653</v>
      </c>
      <c r="D107" s="158"/>
      <c r="E107" s="157">
        <v>-2346082947000</v>
      </c>
      <c r="F107" s="157">
        <v>-2340910200600</v>
      </c>
    </row>
    <row r="108" spans="1:6" ht="39" customHeight="1">
      <c r="A108" s="158" t="s">
        <v>489</v>
      </c>
      <c r="B108" s="159" t="s">
        <v>654</v>
      </c>
      <c r="C108" s="160" t="s">
        <v>655</v>
      </c>
      <c r="D108" s="158"/>
      <c r="E108" s="157">
        <v>219263408791</v>
      </c>
      <c r="F108" s="157">
        <v>216172864970</v>
      </c>
    </row>
    <row r="109" spans="1:6" ht="39" customHeight="1">
      <c r="A109" s="158" t="s">
        <v>514</v>
      </c>
      <c r="B109" s="159" t="s">
        <v>656</v>
      </c>
      <c r="C109" s="160" t="s">
        <v>657</v>
      </c>
      <c r="D109" s="158"/>
      <c r="E109" s="157">
        <v>-77402882895</v>
      </c>
      <c r="F109" s="157">
        <v>-166776833249</v>
      </c>
    </row>
    <row r="110" spans="1:6" ht="39" customHeight="1">
      <c r="A110" s="158" t="s">
        <v>517</v>
      </c>
      <c r="B110" s="159" t="s">
        <v>658</v>
      </c>
      <c r="C110" s="160" t="s">
        <v>659</v>
      </c>
      <c r="D110" s="158"/>
      <c r="E110" s="157">
        <v>-166776833249</v>
      </c>
      <c r="F110" s="157">
        <v>25924726164</v>
      </c>
    </row>
    <row r="111" spans="1:6" ht="39" customHeight="1">
      <c r="A111" s="158" t="s">
        <v>522</v>
      </c>
      <c r="B111" s="159" t="s">
        <v>660</v>
      </c>
      <c r="C111" s="160" t="s">
        <v>661</v>
      </c>
      <c r="D111" s="158"/>
      <c r="E111" s="157">
        <v>89373950354</v>
      </c>
      <c r="F111" s="157">
        <v>-192701559413</v>
      </c>
    </row>
    <row r="112" spans="1:6" ht="47.65" customHeight="1">
      <c r="A112" s="51" t="s">
        <v>55</v>
      </c>
      <c r="B112" s="156" t="s">
        <v>662</v>
      </c>
      <c r="C112" s="45" t="s">
        <v>663</v>
      </c>
      <c r="D112" s="70"/>
      <c r="E112" s="168">
        <v>14978.78</v>
      </c>
      <c r="F112" s="168">
        <v>11772.46</v>
      </c>
    </row>
    <row r="113" spans="1:7" ht="45.4" customHeight="1">
      <c r="A113" s="51" t="s">
        <v>56</v>
      </c>
      <c r="B113" s="156" t="s">
        <v>664</v>
      </c>
      <c r="C113" s="45" t="s">
        <v>665</v>
      </c>
      <c r="D113" s="70"/>
      <c r="E113" s="70">
        <v>0</v>
      </c>
      <c r="F113" s="70">
        <v>0</v>
      </c>
    </row>
    <row r="114" spans="1:7" ht="54" customHeight="1">
      <c r="A114" s="158" t="s">
        <v>472</v>
      </c>
      <c r="B114" s="159" t="s">
        <v>666</v>
      </c>
      <c r="C114" s="160" t="s">
        <v>667</v>
      </c>
      <c r="D114" s="158"/>
      <c r="E114" s="157">
        <v>0</v>
      </c>
      <c r="F114" s="157">
        <v>0</v>
      </c>
    </row>
    <row r="115" spans="1:7" ht="51.65" customHeight="1">
      <c r="A115" s="158" t="s">
        <v>489</v>
      </c>
      <c r="B115" s="159" t="s">
        <v>668</v>
      </c>
      <c r="C115" s="160" t="s">
        <v>669</v>
      </c>
      <c r="D115" s="158"/>
      <c r="E115" s="157">
        <v>0</v>
      </c>
      <c r="F115" s="157">
        <v>0</v>
      </c>
    </row>
    <row r="116" spans="1:7" ht="46.5" customHeight="1">
      <c r="A116" s="51" t="s">
        <v>57</v>
      </c>
      <c r="B116" s="156" t="s">
        <v>670</v>
      </c>
      <c r="C116" s="45" t="s">
        <v>57</v>
      </c>
      <c r="D116" s="70"/>
      <c r="E116" s="70"/>
      <c r="F116" s="70"/>
    </row>
    <row r="117" spans="1:7" ht="39" customHeight="1">
      <c r="A117" s="158" t="s">
        <v>472</v>
      </c>
      <c r="B117" s="159" t="s">
        <v>671</v>
      </c>
      <c r="C117" s="160" t="s">
        <v>672</v>
      </c>
      <c r="D117" s="158"/>
      <c r="E117" s="157">
        <v>0</v>
      </c>
      <c r="F117" s="157">
        <v>0</v>
      </c>
    </row>
    <row r="118" spans="1:7" ht="39" customHeight="1">
      <c r="A118" s="158" t="s">
        <v>489</v>
      </c>
      <c r="B118" s="159" t="s">
        <v>673</v>
      </c>
      <c r="C118" s="160" t="s">
        <v>674</v>
      </c>
      <c r="D118" s="158"/>
      <c r="E118" s="157">
        <v>0</v>
      </c>
      <c r="F118" s="157">
        <v>0</v>
      </c>
    </row>
    <row r="119" spans="1:7" ht="39" customHeight="1">
      <c r="A119" s="158" t="s">
        <v>514</v>
      </c>
      <c r="B119" s="159" t="s">
        <v>675</v>
      </c>
      <c r="C119" s="160" t="s">
        <v>676</v>
      </c>
      <c r="D119" s="158"/>
      <c r="E119" s="157">
        <v>0</v>
      </c>
      <c r="F119" s="157">
        <v>0</v>
      </c>
    </row>
    <row r="120" spans="1:7" ht="39" customHeight="1">
      <c r="A120" s="165" t="s">
        <v>581</v>
      </c>
      <c r="B120" s="166" t="s">
        <v>677</v>
      </c>
      <c r="C120" s="160" t="s">
        <v>678</v>
      </c>
      <c r="D120" s="165"/>
      <c r="E120" s="167">
        <v>28492998.199999999</v>
      </c>
      <c r="F120" s="167">
        <v>27868600.57</v>
      </c>
    </row>
    <row r="121" spans="1:7" s="108" customFormat="1" ht="13">
      <c r="A121" s="49"/>
      <c r="B121" s="49"/>
      <c r="C121" s="49"/>
      <c r="D121" s="49"/>
      <c r="E121" s="49"/>
      <c r="F121" s="49"/>
      <c r="G121" s="36"/>
    </row>
    <row r="123" spans="1:7" ht="16.899999999999999" customHeight="1">
      <c r="A123" s="265" t="s">
        <v>298</v>
      </c>
      <c r="B123" s="265"/>
      <c r="C123" s="265" t="s">
        <v>299</v>
      </c>
      <c r="D123" s="265"/>
      <c r="E123" s="265"/>
      <c r="F123" s="265"/>
    </row>
    <row r="136" spans="1:6">
      <c r="A136" s="275" t="s">
        <v>704</v>
      </c>
      <c r="B136" s="275"/>
      <c r="C136" s="275" t="s">
        <v>705</v>
      </c>
      <c r="D136" s="275"/>
      <c r="E136" s="275"/>
      <c r="F136" s="49" t="s">
        <v>706</v>
      </c>
    </row>
    <row r="137" spans="1:6" ht="16.899999999999999" customHeight="1">
      <c r="A137" s="274" t="s">
        <v>1190</v>
      </c>
      <c r="B137" s="274"/>
      <c r="C137" s="274" t="s">
        <v>1191</v>
      </c>
      <c r="D137" s="274"/>
      <c r="E137" s="274"/>
      <c r="F137" s="215" t="s">
        <v>1182</v>
      </c>
    </row>
    <row r="138" spans="1:6" ht="16.899999999999999" customHeight="1">
      <c r="A138" s="275" t="s">
        <v>1192</v>
      </c>
      <c r="B138" s="275"/>
      <c r="C138" s="275" t="s">
        <v>1193</v>
      </c>
      <c r="D138" s="275"/>
      <c r="E138" s="275"/>
      <c r="F138" s="170" t="s">
        <v>725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topLeftCell="A74" zoomScale="94" zoomScaleNormal="100" zoomScaleSheetLayoutView="94" workbookViewId="0">
      <selection activeCell="B86" sqref="B86"/>
    </sheetView>
  </sheetViews>
  <sheetFormatPr defaultColWidth="8.7265625" defaultRowHeight="12.5"/>
  <cols>
    <col min="1" max="1" width="44.7265625" style="49" customWidth="1"/>
    <col min="2" max="2" width="9.453125" style="49" customWidth="1"/>
    <col min="3" max="3" width="11" style="49" customWidth="1"/>
    <col min="4" max="4" width="26" style="49" customWidth="1"/>
    <col min="5" max="5" width="26.7265625" style="49" customWidth="1"/>
    <col min="6" max="6" width="24.453125" style="94" customWidth="1"/>
    <col min="7" max="16384" width="8.7265625" style="94"/>
  </cols>
  <sheetData>
    <row r="1" spans="1:6" ht="30.4" customHeight="1">
      <c r="A1" s="260" t="s">
        <v>344</v>
      </c>
      <c r="B1" s="260"/>
      <c r="C1" s="260"/>
      <c r="D1" s="260"/>
      <c r="E1" s="260"/>
      <c r="F1" s="102"/>
    </row>
    <row r="2" spans="1:6" ht="24.4" customHeight="1">
      <c r="A2" s="261" t="s">
        <v>345</v>
      </c>
      <c r="B2" s="261"/>
      <c r="C2" s="261"/>
      <c r="D2" s="261"/>
      <c r="E2" s="261"/>
      <c r="F2" s="103"/>
    </row>
    <row r="3" spans="1:6" ht="39.4" customHeight="1">
      <c r="A3" s="262" t="s">
        <v>303</v>
      </c>
      <c r="B3" s="262"/>
      <c r="C3" s="262"/>
      <c r="D3" s="262"/>
      <c r="E3" s="262"/>
      <c r="F3" s="142"/>
    </row>
    <row r="4" spans="1:6" ht="16.899999999999999" customHeight="1">
      <c r="A4" s="263" t="str">
        <f>TONGQUAN!C2</f>
        <v>Quý II năm 2020
/ Quarter II 2020</v>
      </c>
      <c r="B4" s="263"/>
      <c r="C4" s="263"/>
      <c r="D4" s="263"/>
      <c r="E4" s="263"/>
      <c r="F4" s="143"/>
    </row>
    <row r="5" spans="1:6" ht="0.4" customHeight="1"/>
    <row r="7" spans="1:6" ht="16.899999999999999" customHeight="1">
      <c r="A7" s="93" t="s">
        <v>2</v>
      </c>
      <c r="B7" s="264" t="str">
        <f>TONGQUAN!D5</f>
        <v>Công ty Cổ phần Quản lý Quỹ Đầu tư Việt Nam</v>
      </c>
      <c r="C7" s="264"/>
      <c r="D7" s="264"/>
      <c r="E7" s="264"/>
    </row>
    <row r="8" spans="1:6" ht="16.899999999999999" customHeight="1">
      <c r="A8" s="49" t="s">
        <v>41</v>
      </c>
      <c r="B8" s="259" t="str">
        <f>TONGQUAN!D6</f>
        <v>Vietnam Investment Fund Management Joint Stock Company</v>
      </c>
      <c r="C8" s="259"/>
      <c r="D8" s="259"/>
      <c r="E8" s="259"/>
    </row>
    <row r="9" spans="1:6" ht="16.899999999999999" customHeight="1">
      <c r="A9" s="93" t="s">
        <v>3</v>
      </c>
      <c r="B9" s="264" t="str">
        <f>TONGQUAN!D7</f>
        <v>Ngân hàng TNHH Một thành viên Standard Chartered (Việt Nam)</v>
      </c>
      <c r="C9" s="264"/>
      <c r="D9" s="264"/>
      <c r="E9" s="264"/>
    </row>
    <row r="10" spans="1:6" ht="16.899999999999999" customHeight="1">
      <c r="A10" s="49" t="s">
        <v>4</v>
      </c>
      <c r="B10" s="259" t="str">
        <f>TONGQUAN!D8</f>
        <v>Standard Chartered Bank (Vietnam) Limited</v>
      </c>
      <c r="C10" s="259"/>
      <c r="D10" s="259"/>
      <c r="E10" s="259"/>
    </row>
    <row r="11" spans="1:6" ht="16.899999999999999" customHeight="1">
      <c r="A11" s="93" t="s">
        <v>5</v>
      </c>
      <c r="B11" s="264" t="str">
        <f>TONGQUAN!D9</f>
        <v>Quỹ Đầu tư Doanh nghiệp hàng đầu Việt Nam</v>
      </c>
      <c r="C11" s="264"/>
      <c r="D11" s="264"/>
      <c r="E11" s="264"/>
    </row>
    <row r="12" spans="1:6" ht="16.899999999999999" customHeight="1">
      <c r="A12" s="49" t="s">
        <v>6</v>
      </c>
      <c r="B12" s="259" t="str">
        <f>TONGQUAN!D10</f>
        <v>Vietnam Blue Chip Fund(VFMVF4)</v>
      </c>
      <c r="C12" s="259"/>
      <c r="D12" s="259"/>
      <c r="E12" s="259"/>
    </row>
    <row r="13" spans="1:6" ht="16.899999999999999" customHeight="1">
      <c r="A13" s="93" t="s">
        <v>7</v>
      </c>
      <c r="B13" s="264" t="str">
        <f>TONGQUAN!D11</f>
        <v>Ngày 06 tháng 07 năm 2020</v>
      </c>
      <c r="C13" s="264"/>
      <c r="D13" s="264"/>
      <c r="E13" s="264"/>
    </row>
    <row r="14" spans="1:6" ht="16.899999999999999" customHeight="1">
      <c r="A14" s="49" t="s">
        <v>8</v>
      </c>
      <c r="B14" s="259" t="str">
        <f>TONGQUAN!D12</f>
        <v>06 Jul 2020</v>
      </c>
      <c r="C14" s="259"/>
      <c r="D14" s="259"/>
      <c r="E14" s="259"/>
    </row>
    <row r="17" spans="1:7" ht="45.4" customHeight="1">
      <c r="A17" s="95" t="s">
        <v>214</v>
      </c>
      <c r="B17" s="95" t="s">
        <v>215</v>
      </c>
      <c r="C17" s="95" t="s">
        <v>216</v>
      </c>
      <c r="D17" s="95" t="str">
        <f>BCKetQuaHoatDong_06028!D18</f>
        <v>Quý II năm 2020
Quarter II 2020</v>
      </c>
      <c r="E17" s="95" t="str">
        <f>BCKetQuaHoatDong_06028!E18</f>
        <v>Quý I năm 2020
Quarter I 2020</v>
      </c>
    </row>
    <row r="18" spans="1:7" s="108" customFormat="1" ht="42" customHeight="1">
      <c r="A18" s="144" t="s">
        <v>304</v>
      </c>
      <c r="B18" s="145" t="s">
        <v>42</v>
      </c>
      <c r="C18" s="146"/>
      <c r="D18" s="226"/>
      <c r="E18" s="226"/>
    </row>
    <row r="19" spans="1:7" ht="42" customHeight="1">
      <c r="A19" s="147" t="s">
        <v>383</v>
      </c>
      <c r="B19" s="148" t="s">
        <v>218</v>
      </c>
      <c r="C19" s="149"/>
      <c r="D19" s="226">
        <v>89373950354</v>
      </c>
      <c r="E19" s="226">
        <v>-192701559413</v>
      </c>
      <c r="G19" s="108"/>
    </row>
    <row r="20" spans="1:7" ht="63.4" customHeight="1">
      <c r="A20" s="147" t="s">
        <v>305</v>
      </c>
      <c r="B20" s="148" t="s">
        <v>219</v>
      </c>
      <c r="C20" s="149"/>
      <c r="D20" s="226">
        <v>-99752943901</v>
      </c>
      <c r="E20" s="226">
        <v>154999550790</v>
      </c>
      <c r="G20" s="108"/>
    </row>
    <row r="21" spans="1:7" ht="58.9" customHeight="1">
      <c r="A21" s="147" t="s">
        <v>438</v>
      </c>
      <c r="B21" s="148" t="s">
        <v>220</v>
      </c>
      <c r="C21" s="149"/>
      <c r="D21" s="111">
        <v>-99623478258</v>
      </c>
      <c r="E21" s="111">
        <v>154957158713</v>
      </c>
      <c r="G21" s="108"/>
    </row>
    <row r="22" spans="1:7" ht="42" customHeight="1">
      <c r="A22" s="147" t="s">
        <v>439</v>
      </c>
      <c r="B22" s="148" t="s">
        <v>223</v>
      </c>
      <c r="C22" s="149"/>
      <c r="D22" s="111">
        <v>-129465643</v>
      </c>
      <c r="E22" s="111">
        <v>42392077</v>
      </c>
      <c r="G22" s="108"/>
    </row>
    <row r="23" spans="1:7" ht="57.4" customHeight="1">
      <c r="A23" s="147" t="s">
        <v>306</v>
      </c>
      <c r="B23" s="148" t="s">
        <v>224</v>
      </c>
      <c r="C23" s="149"/>
      <c r="D23" s="226">
        <v>-10378993547</v>
      </c>
      <c r="E23" s="226">
        <v>-37702008623</v>
      </c>
      <c r="G23" s="108"/>
    </row>
    <row r="24" spans="1:7" ht="42" customHeight="1">
      <c r="A24" s="147" t="s">
        <v>440</v>
      </c>
      <c r="B24" s="148" t="s">
        <v>242</v>
      </c>
      <c r="C24" s="149"/>
      <c r="D24" s="111">
        <v>-39570094242</v>
      </c>
      <c r="E24" s="111">
        <v>138161393787</v>
      </c>
      <c r="G24" s="108"/>
    </row>
    <row r="25" spans="1:7" ht="58.9" customHeight="1">
      <c r="A25" s="147" t="s">
        <v>307</v>
      </c>
      <c r="B25" s="148" t="s">
        <v>225</v>
      </c>
      <c r="C25" s="149"/>
      <c r="D25" s="111">
        <v>0</v>
      </c>
      <c r="E25" s="111">
        <v>860897000</v>
      </c>
      <c r="G25" s="108"/>
    </row>
    <row r="26" spans="1:7" ht="60.4" customHeight="1">
      <c r="A26" s="147" t="s">
        <v>308</v>
      </c>
      <c r="B26" s="148" t="s">
        <v>226</v>
      </c>
      <c r="C26" s="149"/>
      <c r="D26" s="111">
        <v>111301369</v>
      </c>
      <c r="E26" s="111">
        <v>1683303562</v>
      </c>
      <c r="G26" s="108"/>
    </row>
    <row r="27" spans="1:7" ht="42" customHeight="1">
      <c r="A27" s="147" t="s">
        <v>384</v>
      </c>
      <c r="B27" s="148" t="s">
        <v>227</v>
      </c>
      <c r="C27" s="149"/>
      <c r="D27" s="111">
        <v>0</v>
      </c>
      <c r="E27" s="111">
        <v>0</v>
      </c>
      <c r="G27" s="108"/>
    </row>
    <row r="28" spans="1:7" ht="42" customHeight="1">
      <c r="A28" s="147" t="s">
        <v>441</v>
      </c>
      <c r="B28" s="148" t="s">
        <v>228</v>
      </c>
      <c r="C28" s="149"/>
      <c r="D28" s="111">
        <v>0</v>
      </c>
      <c r="E28" s="111">
        <v>0</v>
      </c>
      <c r="G28" s="108"/>
    </row>
    <row r="29" spans="1:7" ht="51" customHeight="1">
      <c r="A29" s="147" t="s">
        <v>309</v>
      </c>
      <c r="B29" s="148" t="s">
        <v>229</v>
      </c>
      <c r="C29" s="149"/>
      <c r="D29" s="111">
        <v>4476492000</v>
      </c>
      <c r="E29" s="111">
        <v>-1560750000</v>
      </c>
      <c r="G29" s="108"/>
    </row>
    <row r="30" spans="1:7" ht="75" customHeight="1">
      <c r="A30" s="147" t="s">
        <v>310</v>
      </c>
      <c r="B30" s="148" t="s">
        <v>231</v>
      </c>
      <c r="C30" s="149"/>
      <c r="D30" s="111">
        <v>-552025036</v>
      </c>
      <c r="E30" s="111">
        <v>519396804</v>
      </c>
      <c r="G30" s="108"/>
    </row>
    <row r="31" spans="1:7" ht="47.65" customHeight="1">
      <c r="A31" s="147" t="s">
        <v>442</v>
      </c>
      <c r="B31" s="148" t="s">
        <v>236</v>
      </c>
      <c r="C31" s="149"/>
      <c r="D31" s="111">
        <v>0</v>
      </c>
      <c r="E31" s="111">
        <v>0</v>
      </c>
      <c r="G31" s="108"/>
    </row>
    <row r="32" spans="1:7" ht="57" customHeight="1">
      <c r="A32" s="147" t="s">
        <v>443</v>
      </c>
      <c r="B32" s="148" t="s">
        <v>238</v>
      </c>
      <c r="C32" s="149"/>
      <c r="D32" s="111">
        <v>-57774749</v>
      </c>
      <c r="E32" s="111">
        <v>42577223</v>
      </c>
      <c r="G32" s="108"/>
    </row>
    <row r="33" spans="1:7" ht="53.65" customHeight="1">
      <c r="A33" s="147" t="s">
        <v>444</v>
      </c>
      <c r="B33" s="148" t="s">
        <v>240</v>
      </c>
      <c r="C33" s="149"/>
      <c r="D33" s="111">
        <v>-34000000</v>
      </c>
      <c r="E33" s="111">
        <v>14996718</v>
      </c>
      <c r="G33" s="108"/>
    </row>
    <row r="34" spans="1:7" ht="55.15" customHeight="1">
      <c r="A34" s="147" t="s">
        <v>445</v>
      </c>
      <c r="B34" s="148" t="s">
        <v>241</v>
      </c>
      <c r="C34" s="149"/>
      <c r="D34" s="111">
        <v>-1049458460</v>
      </c>
      <c r="E34" s="111">
        <v>-53609014</v>
      </c>
      <c r="G34" s="108"/>
    </row>
    <row r="35" spans="1:7" ht="39.4" customHeight="1">
      <c r="A35" s="147" t="s">
        <v>446</v>
      </c>
      <c r="B35" s="148" t="s">
        <v>311</v>
      </c>
      <c r="C35" s="149"/>
      <c r="D35" s="111">
        <v>9698355</v>
      </c>
      <c r="E35" s="111">
        <v>-12648855</v>
      </c>
      <c r="G35" s="108"/>
    </row>
    <row r="36" spans="1:7" ht="47.65" customHeight="1">
      <c r="A36" s="150" t="s">
        <v>447</v>
      </c>
      <c r="B36" s="148" t="s">
        <v>312</v>
      </c>
      <c r="C36" s="149"/>
      <c r="D36" s="111">
        <v>-50821575</v>
      </c>
      <c r="E36" s="111">
        <v>-271009562</v>
      </c>
      <c r="G36" s="108"/>
    </row>
    <row r="37" spans="1:7" ht="48" customHeight="1">
      <c r="A37" s="147" t="s">
        <v>313</v>
      </c>
      <c r="B37" s="148" t="s">
        <v>314</v>
      </c>
      <c r="C37" s="149"/>
      <c r="D37" s="111">
        <v>0</v>
      </c>
      <c r="E37" s="111">
        <v>0</v>
      </c>
      <c r="G37" s="108"/>
    </row>
    <row r="38" spans="1:7" s="108" customFormat="1" ht="52.15" customHeight="1">
      <c r="A38" s="144" t="s">
        <v>385</v>
      </c>
      <c r="B38" s="145" t="s">
        <v>315</v>
      </c>
      <c r="C38" s="146"/>
      <c r="D38" s="226">
        <v>-47095675885</v>
      </c>
      <c r="E38" s="226">
        <v>101682539040</v>
      </c>
    </row>
    <row r="39" spans="1:7" s="108" customFormat="1" ht="42" customHeight="1">
      <c r="A39" s="144" t="s">
        <v>386</v>
      </c>
      <c r="B39" s="145" t="s">
        <v>48</v>
      </c>
      <c r="C39" s="146"/>
      <c r="D39" s="226"/>
      <c r="E39" s="226"/>
    </row>
    <row r="40" spans="1:7" ht="42" customHeight="1">
      <c r="A40" s="147" t="s">
        <v>448</v>
      </c>
      <c r="B40" s="148" t="s">
        <v>291</v>
      </c>
      <c r="C40" s="149"/>
      <c r="D40" s="111">
        <v>17059020369</v>
      </c>
      <c r="E40" s="111">
        <v>25096350158</v>
      </c>
      <c r="G40" s="108"/>
    </row>
    <row r="41" spans="1:7" ht="42" customHeight="1">
      <c r="A41" s="147" t="s">
        <v>449</v>
      </c>
      <c r="B41" s="148" t="s">
        <v>293</v>
      </c>
      <c r="C41" s="149"/>
      <c r="D41" s="111">
        <v>-7724500248</v>
      </c>
      <c r="E41" s="111">
        <v>-122282601242</v>
      </c>
      <c r="G41" s="108"/>
    </row>
    <row r="42" spans="1:7" ht="42" customHeight="1">
      <c r="A42" s="147" t="s">
        <v>387</v>
      </c>
      <c r="B42" s="148" t="s">
        <v>316</v>
      </c>
      <c r="C42" s="149"/>
      <c r="D42" s="111">
        <v>0</v>
      </c>
      <c r="E42" s="111">
        <v>0</v>
      </c>
      <c r="G42" s="108"/>
    </row>
    <row r="43" spans="1:7" ht="42" customHeight="1">
      <c r="A43" s="147" t="s">
        <v>388</v>
      </c>
      <c r="B43" s="148" t="s">
        <v>317</v>
      </c>
      <c r="C43" s="149"/>
      <c r="D43" s="111">
        <v>0</v>
      </c>
      <c r="E43" s="111">
        <v>0</v>
      </c>
      <c r="G43" s="108"/>
    </row>
    <row r="44" spans="1:7" ht="42" customHeight="1">
      <c r="A44" s="147" t="s">
        <v>450</v>
      </c>
      <c r="B44" s="148" t="s">
        <v>318</v>
      </c>
      <c r="C44" s="149"/>
      <c r="D44" s="111">
        <v>0</v>
      </c>
      <c r="E44" s="111">
        <v>0</v>
      </c>
      <c r="G44" s="108"/>
    </row>
    <row r="45" spans="1:7" ht="46.9" customHeight="1">
      <c r="A45" s="144" t="s">
        <v>451</v>
      </c>
      <c r="B45" s="145" t="s">
        <v>289</v>
      </c>
      <c r="C45" s="149"/>
      <c r="D45" s="226">
        <v>9334520121</v>
      </c>
      <c r="E45" s="226">
        <v>-97186251084</v>
      </c>
      <c r="G45" s="108"/>
    </row>
    <row r="46" spans="1:7" s="108" customFormat="1" ht="52.5" customHeight="1">
      <c r="A46" s="144" t="s">
        <v>389</v>
      </c>
      <c r="B46" s="145" t="s">
        <v>295</v>
      </c>
      <c r="C46" s="146"/>
      <c r="D46" s="226">
        <v>-37761155764</v>
      </c>
      <c r="E46" s="226">
        <v>4496287956</v>
      </c>
    </row>
    <row r="47" spans="1:7" s="108" customFormat="1" ht="53.65" customHeight="1">
      <c r="A47" s="144" t="s">
        <v>390</v>
      </c>
      <c r="B47" s="145" t="s">
        <v>319</v>
      </c>
      <c r="C47" s="146"/>
      <c r="D47" s="226">
        <v>51265696867</v>
      </c>
      <c r="E47" s="226">
        <v>46769408911</v>
      </c>
    </row>
    <row r="48" spans="1:7" ht="47.65" customHeight="1">
      <c r="A48" s="147" t="s">
        <v>452</v>
      </c>
      <c r="B48" s="148" t="s">
        <v>320</v>
      </c>
      <c r="C48" s="149"/>
      <c r="D48" s="111">
        <v>51265696867</v>
      </c>
      <c r="E48" s="111">
        <v>46769408911</v>
      </c>
      <c r="G48" s="108"/>
    </row>
    <row r="49" spans="1:7" ht="61.15" customHeight="1">
      <c r="A49" s="151" t="s">
        <v>453</v>
      </c>
      <c r="B49" s="148" t="s">
        <v>321</v>
      </c>
      <c r="C49" s="149"/>
      <c r="D49" s="111">
        <v>50674384006</v>
      </c>
      <c r="E49" s="111">
        <v>46742616131</v>
      </c>
      <c r="G49" s="108"/>
    </row>
    <row r="50" spans="1:7" ht="42" customHeight="1">
      <c r="A50" s="152" t="s">
        <v>454</v>
      </c>
      <c r="B50" s="153" t="s">
        <v>322</v>
      </c>
      <c r="C50" s="149"/>
      <c r="D50" s="111">
        <v>11750871898</v>
      </c>
      <c r="E50" s="111">
        <v>26742616131</v>
      </c>
      <c r="G50" s="108"/>
    </row>
    <row r="51" spans="1:7" ht="42" customHeight="1">
      <c r="A51" s="154" t="s">
        <v>455</v>
      </c>
      <c r="B51" s="153" t="s">
        <v>323</v>
      </c>
      <c r="C51" s="149"/>
      <c r="D51" s="111">
        <v>15000000000</v>
      </c>
      <c r="E51" s="111">
        <v>20000000000</v>
      </c>
      <c r="G51" s="108"/>
    </row>
    <row r="52" spans="1:7" ht="45" customHeight="1">
      <c r="A52" s="152" t="s">
        <v>47</v>
      </c>
      <c r="B52" s="153" t="s">
        <v>324</v>
      </c>
      <c r="C52" s="149"/>
      <c r="D52" s="111">
        <v>23923512108</v>
      </c>
      <c r="E52" s="111">
        <v>0</v>
      </c>
      <c r="G52" s="108"/>
    </row>
    <row r="53" spans="1:7" ht="42" customHeight="1">
      <c r="A53" s="147" t="s">
        <v>391</v>
      </c>
      <c r="B53" s="148" t="s">
        <v>325</v>
      </c>
      <c r="C53" s="149"/>
      <c r="D53" s="111">
        <v>591312861</v>
      </c>
      <c r="E53" s="111">
        <v>26792780</v>
      </c>
      <c r="G53" s="108"/>
    </row>
    <row r="54" spans="1:7" ht="42" customHeight="1">
      <c r="A54" s="147" t="s">
        <v>392</v>
      </c>
      <c r="B54" s="148" t="s">
        <v>326</v>
      </c>
      <c r="C54" s="149"/>
      <c r="D54" s="111">
        <v>0</v>
      </c>
      <c r="E54" s="111">
        <v>0</v>
      </c>
      <c r="G54" s="108"/>
    </row>
    <row r="55" spans="1:7" s="108" customFormat="1" ht="57" customHeight="1">
      <c r="A55" s="144" t="s">
        <v>393</v>
      </c>
      <c r="B55" s="145" t="s">
        <v>327</v>
      </c>
      <c r="C55" s="146"/>
      <c r="D55" s="226">
        <v>13504541103</v>
      </c>
      <c r="E55" s="226">
        <v>51265696867</v>
      </c>
    </row>
    <row r="56" spans="1:7" ht="42" customHeight="1">
      <c r="A56" s="147" t="s">
        <v>456</v>
      </c>
      <c r="B56" s="148" t="s">
        <v>328</v>
      </c>
      <c r="C56" s="149"/>
      <c r="D56" s="111">
        <v>13504541103</v>
      </c>
      <c r="E56" s="111">
        <v>51265696867</v>
      </c>
      <c r="G56" s="108"/>
    </row>
    <row r="57" spans="1:7" ht="61.15" customHeight="1">
      <c r="A57" s="147" t="s">
        <v>453</v>
      </c>
      <c r="B57" s="148" t="s">
        <v>329</v>
      </c>
      <c r="C57" s="149"/>
      <c r="D57" s="111">
        <v>13481751605</v>
      </c>
      <c r="E57" s="111">
        <v>50674384006</v>
      </c>
      <c r="G57" s="108"/>
    </row>
    <row r="58" spans="1:7" ht="42" customHeight="1">
      <c r="A58" s="152" t="s">
        <v>454</v>
      </c>
      <c r="B58" s="153" t="s">
        <v>330</v>
      </c>
      <c r="C58" s="149"/>
      <c r="D58" s="111">
        <v>8481669359</v>
      </c>
      <c r="E58" s="111">
        <v>11750871898</v>
      </c>
      <c r="G58" s="108"/>
    </row>
    <row r="59" spans="1:7" ht="42" customHeight="1">
      <c r="A59" s="154" t="s">
        <v>455</v>
      </c>
      <c r="B59" s="153" t="s">
        <v>331</v>
      </c>
      <c r="C59" s="149"/>
      <c r="D59" s="111">
        <v>5000000000</v>
      </c>
      <c r="E59" s="111">
        <v>15000000000</v>
      </c>
      <c r="G59" s="108"/>
    </row>
    <row r="60" spans="1:7" ht="47.65" customHeight="1">
      <c r="A60" s="152" t="s">
        <v>47</v>
      </c>
      <c r="B60" s="153" t="s">
        <v>332</v>
      </c>
      <c r="C60" s="149"/>
      <c r="D60" s="111">
        <v>82246</v>
      </c>
      <c r="E60" s="111">
        <v>23923512108</v>
      </c>
      <c r="G60" s="108"/>
    </row>
    <row r="61" spans="1:7" ht="55.15" customHeight="1">
      <c r="A61" s="147" t="s">
        <v>457</v>
      </c>
      <c r="B61" s="148" t="s">
        <v>333</v>
      </c>
      <c r="C61" s="149"/>
      <c r="D61" s="111">
        <v>22789498</v>
      </c>
      <c r="E61" s="111">
        <v>591312861</v>
      </c>
      <c r="G61" s="108"/>
    </row>
    <row r="62" spans="1:7" ht="52.15" customHeight="1">
      <c r="A62" s="147" t="s">
        <v>394</v>
      </c>
      <c r="B62" s="148" t="s">
        <v>334</v>
      </c>
      <c r="C62" s="149"/>
      <c r="D62" s="111">
        <v>0</v>
      </c>
      <c r="E62" s="111">
        <v>0</v>
      </c>
      <c r="G62" s="108"/>
    </row>
    <row r="63" spans="1:7" s="108" customFormat="1" ht="62.65" customHeight="1">
      <c r="A63" s="144" t="s">
        <v>395</v>
      </c>
      <c r="B63" s="145" t="s">
        <v>335</v>
      </c>
      <c r="C63" s="146"/>
      <c r="D63" s="226">
        <v>-37761155764</v>
      </c>
      <c r="E63" s="226">
        <v>4496287956</v>
      </c>
    </row>
    <row r="64" spans="1:7" s="108" customFormat="1" ht="42" customHeight="1">
      <c r="A64" s="144" t="s">
        <v>396</v>
      </c>
      <c r="B64" s="145" t="s">
        <v>336</v>
      </c>
      <c r="C64" s="146"/>
      <c r="D64" s="226">
        <v>0</v>
      </c>
      <c r="E64" s="226">
        <v>0</v>
      </c>
    </row>
    <row r="67" spans="1:6" ht="25.15" customHeight="1">
      <c r="A67" s="140" t="s">
        <v>298</v>
      </c>
      <c r="B67" s="125"/>
      <c r="C67" s="265" t="s">
        <v>299</v>
      </c>
      <c r="D67" s="265"/>
      <c r="E67" s="265"/>
      <c r="F67" s="88"/>
    </row>
    <row r="68" spans="1:6">
      <c r="A68" s="141"/>
      <c r="B68" s="141"/>
      <c r="C68" s="141"/>
      <c r="D68" s="141"/>
      <c r="E68" s="141"/>
    </row>
    <row r="69" spans="1:6">
      <c r="A69" s="141"/>
      <c r="B69" s="141"/>
      <c r="C69" s="141"/>
      <c r="D69" s="141"/>
      <c r="E69" s="141"/>
    </row>
    <row r="70" spans="1:6">
      <c r="A70" s="141"/>
      <c r="B70" s="141"/>
      <c r="C70" s="141"/>
      <c r="D70" s="141"/>
      <c r="E70" s="141"/>
    </row>
    <row r="71" spans="1:6">
      <c r="A71" s="141"/>
      <c r="B71" s="141"/>
      <c r="C71" s="141"/>
      <c r="D71" s="141"/>
      <c r="E71" s="141"/>
    </row>
    <row r="72" spans="1:6">
      <c r="A72" s="141"/>
      <c r="B72" s="141"/>
      <c r="C72" s="141"/>
      <c r="D72" s="141"/>
      <c r="E72" s="141"/>
    </row>
    <row r="73" spans="1:6">
      <c r="A73" s="141"/>
      <c r="B73" s="141"/>
      <c r="C73" s="141"/>
      <c r="D73" s="141"/>
      <c r="E73" s="141"/>
    </row>
    <row r="74" spans="1:6">
      <c r="A74" s="141"/>
      <c r="B74" s="141"/>
      <c r="C74" s="141"/>
      <c r="D74" s="141"/>
      <c r="E74" s="141"/>
    </row>
    <row r="75" spans="1:6">
      <c r="A75" s="141"/>
      <c r="B75" s="141"/>
      <c r="C75" s="141"/>
      <c r="D75" s="141"/>
      <c r="E75" s="141"/>
    </row>
    <row r="76" spans="1:6">
      <c r="A76" s="141"/>
      <c r="B76" s="141"/>
      <c r="C76" s="141"/>
      <c r="D76" s="141"/>
      <c r="E76" s="141"/>
    </row>
    <row r="77" spans="1:6">
      <c r="A77" s="141"/>
      <c r="B77" s="141"/>
      <c r="C77" s="141"/>
      <c r="D77" s="141"/>
      <c r="E77" s="141"/>
    </row>
    <row r="78" spans="1:6">
      <c r="A78" s="141" t="s">
        <v>707</v>
      </c>
      <c r="B78" s="273" t="s">
        <v>705</v>
      </c>
      <c r="C78" s="273"/>
      <c r="D78" s="273"/>
      <c r="E78" s="121" t="s">
        <v>708</v>
      </c>
    </row>
    <row r="79" spans="1:6" ht="16.899999999999999" customHeight="1">
      <c r="A79" s="215" t="s">
        <v>1190</v>
      </c>
      <c r="B79" s="276" t="s">
        <v>1191</v>
      </c>
      <c r="C79" s="276"/>
      <c r="D79" s="276"/>
      <c r="E79" s="215" t="s">
        <v>1182</v>
      </c>
    </row>
    <row r="80" spans="1:6" ht="16.899999999999999" customHeight="1">
      <c r="A80" s="141" t="s">
        <v>1192</v>
      </c>
      <c r="B80" s="275" t="s">
        <v>1193</v>
      </c>
      <c r="C80" s="275"/>
      <c r="D80" s="275"/>
      <c r="E80" s="141" t="s">
        <v>725</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8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82" zoomScale="98" zoomScaleNormal="100" zoomScaleSheetLayoutView="98" workbookViewId="0">
      <selection activeCell="D86" sqref="D86"/>
    </sheetView>
  </sheetViews>
  <sheetFormatPr defaultColWidth="8.7265625" defaultRowHeight="12.5"/>
  <cols>
    <col min="1" max="1" width="8.7265625" style="38"/>
    <col min="2" max="2" width="44.26953125" style="38" customWidth="1"/>
    <col min="3" max="3" width="10.26953125" style="38" customWidth="1"/>
    <col min="4" max="4" width="23.26953125" style="38" customWidth="1"/>
    <col min="5" max="5" width="26.1796875" style="38" customWidth="1"/>
    <col min="6" max="6" width="22.7265625" style="38" customWidth="1"/>
    <col min="7" max="14" width="8.7265625" style="38" hidden="1" customWidth="1"/>
    <col min="15" max="16384" width="8.7265625" style="38"/>
  </cols>
  <sheetData>
    <row r="1" spans="1:6" s="39" customFormat="1" ht="22.9" customHeight="1">
      <c r="A1" s="278" t="s">
        <v>709</v>
      </c>
      <c r="B1" s="278"/>
      <c r="C1" s="278"/>
      <c r="D1" s="278"/>
      <c r="E1" s="278"/>
      <c r="F1" s="278"/>
    </row>
    <row r="2" spans="1:6" s="39" customFormat="1" ht="50.5" customHeight="1">
      <c r="A2" s="279" t="s">
        <v>710</v>
      </c>
      <c r="B2" s="279"/>
      <c r="C2" s="279"/>
      <c r="D2" s="279"/>
      <c r="E2" s="279"/>
      <c r="F2" s="279"/>
    </row>
    <row r="3" spans="1:6" s="39" customFormat="1">
      <c r="A3" s="280" t="s">
        <v>711</v>
      </c>
      <c r="B3" s="280"/>
      <c r="C3" s="280"/>
      <c r="D3" s="280"/>
      <c r="E3" s="280"/>
      <c r="F3" s="280"/>
    </row>
    <row r="4" spans="1:6" s="39" customFormat="1" ht="32.65" customHeight="1">
      <c r="A4" s="280"/>
      <c r="B4" s="280"/>
      <c r="C4" s="280"/>
      <c r="D4" s="280"/>
      <c r="E4" s="280"/>
      <c r="F4" s="280"/>
    </row>
    <row r="5" spans="1:6" s="39" customFormat="1" ht="16.899999999999999" customHeight="1">
      <c r="A5" s="281" t="str">
        <f>TONGQUAN!C1</f>
        <v>Tại ngày 30 tháng 06 năm 2020
/ As at 30 Jun 2020</v>
      </c>
      <c r="B5" s="281"/>
      <c r="C5" s="281"/>
      <c r="D5" s="281"/>
      <c r="E5" s="281"/>
      <c r="F5" s="281"/>
    </row>
    <row r="6" spans="1:6">
      <c r="A6" s="49"/>
      <c r="B6" s="49"/>
      <c r="C6" s="49"/>
      <c r="D6" s="49"/>
      <c r="E6" s="49"/>
      <c r="F6" s="49"/>
    </row>
    <row r="7" spans="1:6" ht="16.899999999999999" customHeight="1">
      <c r="A7" s="264" t="s">
        <v>2</v>
      </c>
      <c r="B7" s="264"/>
      <c r="C7" s="264" t="str">
        <f>TONGQUAN!D5</f>
        <v>Công ty Cổ phần Quản lý Quỹ Đầu tư Việt Nam</v>
      </c>
      <c r="D7" s="264"/>
      <c r="E7" s="264"/>
      <c r="F7" s="264"/>
    </row>
    <row r="8" spans="1:6" s="39" customFormat="1" ht="16.899999999999999" customHeight="1">
      <c r="A8" s="277" t="s">
        <v>41</v>
      </c>
      <c r="B8" s="277"/>
      <c r="C8" s="277" t="str">
        <f>TONGQUAN!D6</f>
        <v>Vietnam Investment Fund Management Joint Stock Company</v>
      </c>
      <c r="D8" s="277"/>
      <c r="E8" s="277"/>
      <c r="F8" s="277"/>
    </row>
    <row r="9" spans="1:6" ht="16.899999999999999" customHeight="1">
      <c r="A9" s="264" t="s">
        <v>3</v>
      </c>
      <c r="B9" s="264"/>
      <c r="C9" s="264" t="str">
        <f>TONGQUAN!D7</f>
        <v>Ngân hàng TNHH Một thành viên Standard Chartered (Việt Nam)</v>
      </c>
      <c r="D9" s="264"/>
      <c r="E9" s="264"/>
      <c r="F9" s="264"/>
    </row>
    <row r="10" spans="1:6" s="39" customFormat="1" ht="16.899999999999999" customHeight="1">
      <c r="A10" s="277" t="s">
        <v>4</v>
      </c>
      <c r="B10" s="277"/>
      <c r="C10" s="277" t="str">
        <f>TONGQUAN!D8</f>
        <v>Standard Chartered Bank (Vietnam) Limited</v>
      </c>
      <c r="D10" s="277"/>
      <c r="E10" s="277"/>
      <c r="F10" s="277"/>
    </row>
    <row r="11" spans="1:6" ht="16.899999999999999" customHeight="1">
      <c r="A11" s="264" t="s">
        <v>5</v>
      </c>
      <c r="B11" s="264"/>
      <c r="C11" s="264" t="str">
        <f>TONGQUAN!D9</f>
        <v>Quỹ Đầu tư Doanh nghiệp hàng đầu Việt Nam</v>
      </c>
      <c r="D11" s="264"/>
      <c r="E11" s="264"/>
      <c r="F11" s="264"/>
    </row>
    <row r="12" spans="1:6" s="39" customFormat="1" ht="16.899999999999999" customHeight="1">
      <c r="A12" s="277" t="s">
        <v>6</v>
      </c>
      <c r="B12" s="277"/>
      <c r="C12" s="277" t="str">
        <f>TONGQUAN!D10</f>
        <v>Vietnam Blue Chip Fund(VFMVF4)</v>
      </c>
      <c r="D12" s="277"/>
      <c r="E12" s="277"/>
      <c r="F12" s="277"/>
    </row>
    <row r="13" spans="1:6" ht="16.899999999999999" customHeight="1">
      <c r="A13" s="264" t="s">
        <v>7</v>
      </c>
      <c r="B13" s="264"/>
      <c r="C13" s="264" t="str">
        <f>TONGQUAN!D11</f>
        <v>Ngày 06 tháng 07 năm 2020</v>
      </c>
      <c r="D13" s="264"/>
      <c r="E13" s="264"/>
      <c r="F13" s="264"/>
    </row>
    <row r="14" spans="1:6" s="39" customFormat="1" ht="16.899999999999999" customHeight="1">
      <c r="A14" s="277" t="s">
        <v>8</v>
      </c>
      <c r="B14" s="277"/>
      <c r="C14" s="277" t="str">
        <f>TONGQUAN!D12</f>
        <v>06 Jul 2020</v>
      </c>
      <c r="D14" s="277"/>
      <c r="E14" s="277"/>
      <c r="F14" s="277"/>
    </row>
    <row r="15" spans="1:6" s="39" customFormat="1" ht="7.5" customHeight="1">
      <c r="A15" s="48"/>
      <c r="B15" s="48"/>
      <c r="C15" s="48"/>
      <c r="D15" s="48"/>
      <c r="E15" s="48"/>
      <c r="F15" s="48"/>
    </row>
    <row r="16" spans="1:6" s="39" customFormat="1" ht="16.899999999999999" customHeight="1">
      <c r="A16" s="239" t="s">
        <v>1208</v>
      </c>
      <c r="B16" s="240" t="s">
        <v>1209</v>
      </c>
      <c r="C16" s="241"/>
      <c r="D16" s="241"/>
      <c r="E16" s="241"/>
      <c r="F16" s="241"/>
    </row>
    <row r="17" spans="1:6" s="39" customFormat="1" ht="16.899999999999999" customHeight="1">
      <c r="A17" s="239" t="s">
        <v>42</v>
      </c>
      <c r="B17" s="240" t="s">
        <v>712</v>
      </c>
      <c r="C17" s="241"/>
      <c r="D17" s="241"/>
      <c r="E17" s="241"/>
      <c r="F17" s="241"/>
    </row>
    <row r="18" spans="1:6" s="39" customFormat="1" ht="50.65" customHeight="1">
      <c r="A18" s="47" t="s">
        <v>43</v>
      </c>
      <c r="B18" s="45" t="s">
        <v>44</v>
      </c>
      <c r="C18" s="47" t="s">
        <v>45</v>
      </c>
      <c r="D18" s="46" t="s">
        <v>1184</v>
      </c>
      <c r="E18" s="46" t="s">
        <v>1185</v>
      </c>
      <c r="F18" s="171" t="s">
        <v>46</v>
      </c>
    </row>
    <row r="19" spans="1:6" ht="39" customHeight="1">
      <c r="A19" s="224" t="s">
        <v>727</v>
      </c>
      <c r="B19" s="223" t="s">
        <v>728</v>
      </c>
      <c r="C19" s="224" t="s">
        <v>729</v>
      </c>
      <c r="D19" s="226"/>
      <c r="E19" s="226"/>
      <c r="F19" s="225"/>
    </row>
    <row r="20" spans="1:6" ht="39" customHeight="1">
      <c r="A20" s="219" t="s">
        <v>730</v>
      </c>
      <c r="B20" s="218" t="s">
        <v>731</v>
      </c>
      <c r="C20" s="219" t="s">
        <v>732</v>
      </c>
      <c r="D20" s="222">
        <v>13504541103</v>
      </c>
      <c r="E20" s="222">
        <v>51265696867</v>
      </c>
      <c r="F20" s="221">
        <v>0.25482390282580702</v>
      </c>
    </row>
    <row r="21" spans="1:6" ht="39" customHeight="1">
      <c r="A21" s="219" t="s">
        <v>733</v>
      </c>
      <c r="B21" s="218" t="s">
        <v>734</v>
      </c>
      <c r="C21" s="219" t="s">
        <v>735</v>
      </c>
      <c r="D21" s="222">
        <v>0</v>
      </c>
      <c r="E21" s="222">
        <v>0</v>
      </c>
      <c r="F21" s="221"/>
    </row>
    <row r="22" spans="1:6" ht="39" customHeight="1">
      <c r="A22" s="219" t="s">
        <v>736</v>
      </c>
      <c r="B22" s="218" t="s">
        <v>737</v>
      </c>
      <c r="C22" s="219" t="s">
        <v>738</v>
      </c>
      <c r="D22" s="222">
        <v>8504541103</v>
      </c>
      <c r="E22" s="222">
        <v>36265696867</v>
      </c>
      <c r="F22" s="221">
        <v>0.257747871730723</v>
      </c>
    </row>
    <row r="23" spans="1:6" ht="48" customHeight="1">
      <c r="A23" s="219" t="s">
        <v>739</v>
      </c>
      <c r="B23" s="218" t="s">
        <v>740</v>
      </c>
      <c r="C23" s="219" t="s">
        <v>741</v>
      </c>
      <c r="D23" s="222">
        <v>8000000</v>
      </c>
      <c r="E23" s="222">
        <v>7000000</v>
      </c>
      <c r="F23" s="221">
        <v>0.66666666666666696</v>
      </c>
    </row>
    <row r="24" spans="1:6" ht="45" customHeight="1">
      <c r="A24" s="219" t="s">
        <v>742</v>
      </c>
      <c r="B24" s="218" t="s">
        <v>743</v>
      </c>
      <c r="C24" s="219" t="s">
        <v>744</v>
      </c>
      <c r="D24" s="222">
        <v>14789498</v>
      </c>
      <c r="E24" s="222">
        <v>584312861</v>
      </c>
      <c r="F24" s="221">
        <v>4.6042276397174403E-3</v>
      </c>
    </row>
    <row r="25" spans="1:6" ht="42" customHeight="1">
      <c r="A25" s="219" t="s">
        <v>745</v>
      </c>
      <c r="B25" s="218" t="s">
        <v>746</v>
      </c>
      <c r="C25" s="219" t="s">
        <v>747</v>
      </c>
      <c r="D25" s="222">
        <v>8481669359</v>
      </c>
      <c r="E25" s="222">
        <v>11750871898</v>
      </c>
      <c r="F25" s="221">
        <v>0.28489294805107201</v>
      </c>
    </row>
    <row r="26" spans="1:6" ht="48" customHeight="1">
      <c r="A26" s="219" t="s">
        <v>748</v>
      </c>
      <c r="B26" s="218" t="s">
        <v>749</v>
      </c>
      <c r="C26" s="219" t="s">
        <v>750</v>
      </c>
      <c r="D26" s="222">
        <v>82246</v>
      </c>
      <c r="E26" s="222">
        <v>23923512108</v>
      </c>
      <c r="F26" s="221"/>
    </row>
    <row r="27" spans="1:6" ht="39" customHeight="1">
      <c r="A27" s="219" t="s">
        <v>751</v>
      </c>
      <c r="B27" s="218" t="s">
        <v>752</v>
      </c>
      <c r="C27" s="219" t="s">
        <v>753</v>
      </c>
      <c r="D27" s="222">
        <v>5000000000</v>
      </c>
      <c r="E27" s="222">
        <v>15000000000</v>
      </c>
      <c r="F27" s="221">
        <v>0.25</v>
      </c>
    </row>
    <row r="28" spans="1:6" ht="39" customHeight="1">
      <c r="A28" s="219" t="s">
        <v>754</v>
      </c>
      <c r="B28" s="218" t="s">
        <v>755</v>
      </c>
      <c r="C28" s="219" t="s">
        <v>756</v>
      </c>
      <c r="D28" s="222">
        <v>418780070000</v>
      </c>
      <c r="E28" s="222">
        <v>279586497500</v>
      </c>
      <c r="F28" s="221">
        <v>0.57528409359212596</v>
      </c>
    </row>
    <row r="29" spans="1:6" ht="39" customHeight="1">
      <c r="A29" s="219" t="s">
        <v>757</v>
      </c>
      <c r="B29" s="218" t="s">
        <v>758</v>
      </c>
      <c r="C29" s="219" t="s">
        <v>759</v>
      </c>
      <c r="D29" s="222">
        <v>418780070000</v>
      </c>
      <c r="E29" s="222">
        <v>279586497500</v>
      </c>
      <c r="F29" s="221">
        <v>0.57528409359212596</v>
      </c>
    </row>
    <row r="30" spans="1:6" ht="39" customHeight="1">
      <c r="A30" s="219" t="s">
        <v>760</v>
      </c>
      <c r="B30" s="218" t="s">
        <v>761</v>
      </c>
      <c r="C30" s="219" t="s">
        <v>762</v>
      </c>
      <c r="D30" s="222">
        <v>0</v>
      </c>
      <c r="E30" s="222">
        <v>0</v>
      </c>
      <c r="F30" s="221"/>
    </row>
    <row r="31" spans="1:6" ht="39" customHeight="1">
      <c r="A31" s="219" t="s">
        <v>763</v>
      </c>
      <c r="B31" s="218" t="s">
        <v>764</v>
      </c>
      <c r="C31" s="219" t="s">
        <v>765</v>
      </c>
      <c r="D31" s="222">
        <v>0</v>
      </c>
      <c r="E31" s="222">
        <v>0</v>
      </c>
      <c r="F31" s="221"/>
    </row>
    <row r="32" spans="1:6" ht="39" customHeight="1">
      <c r="A32" s="219" t="s">
        <v>766</v>
      </c>
      <c r="B32" s="218" t="s">
        <v>767</v>
      </c>
      <c r="C32" s="219" t="s">
        <v>768</v>
      </c>
      <c r="D32" s="222">
        <v>0</v>
      </c>
      <c r="E32" s="222">
        <v>0</v>
      </c>
      <c r="F32" s="221"/>
    </row>
    <row r="33" spans="1:6" ht="39" customHeight="1">
      <c r="A33" s="219" t="s">
        <v>769</v>
      </c>
      <c r="B33" s="218" t="s">
        <v>770</v>
      </c>
      <c r="C33" s="219" t="s">
        <v>771</v>
      </c>
      <c r="D33" s="222">
        <v>0</v>
      </c>
      <c r="E33" s="222">
        <v>0</v>
      </c>
      <c r="F33" s="221"/>
    </row>
    <row r="34" spans="1:6" ht="39" customHeight="1">
      <c r="A34" s="219" t="s">
        <v>772</v>
      </c>
      <c r="B34" s="218" t="s">
        <v>773</v>
      </c>
      <c r="C34" s="219" t="s">
        <v>774</v>
      </c>
      <c r="D34" s="222">
        <v>0</v>
      </c>
      <c r="E34" s="222">
        <v>0</v>
      </c>
      <c r="F34" s="221"/>
    </row>
    <row r="35" spans="1:6" ht="39" customHeight="1">
      <c r="A35" s="219" t="s">
        <v>775</v>
      </c>
      <c r="B35" s="218" t="s">
        <v>776</v>
      </c>
      <c r="C35" s="219" t="s">
        <v>777</v>
      </c>
      <c r="D35" s="222">
        <v>0</v>
      </c>
      <c r="E35" s="222">
        <v>0</v>
      </c>
      <c r="F35" s="221"/>
    </row>
    <row r="36" spans="1:6" ht="39" customHeight="1">
      <c r="A36" s="219" t="s">
        <v>778</v>
      </c>
      <c r="B36" s="218" t="s">
        <v>779</v>
      </c>
      <c r="C36" s="219" t="s">
        <v>780</v>
      </c>
      <c r="D36" s="222">
        <v>0</v>
      </c>
      <c r="E36" s="222">
        <v>0</v>
      </c>
      <c r="F36" s="221"/>
    </row>
    <row r="37" spans="1:6" ht="39" customHeight="1">
      <c r="A37" s="219" t="s">
        <v>781</v>
      </c>
      <c r="B37" s="218" t="s">
        <v>782</v>
      </c>
      <c r="C37" s="219" t="s">
        <v>783</v>
      </c>
      <c r="D37" s="222">
        <v>0</v>
      </c>
      <c r="E37" s="222">
        <v>0</v>
      </c>
      <c r="F37" s="221"/>
    </row>
    <row r="38" spans="1:6" ht="39" customHeight="1">
      <c r="A38" s="219" t="s">
        <v>784</v>
      </c>
      <c r="B38" s="218" t="s">
        <v>785</v>
      </c>
      <c r="C38" s="219" t="s">
        <v>786</v>
      </c>
      <c r="D38" s="222">
        <v>240000000</v>
      </c>
      <c r="E38" s="222">
        <v>345000000</v>
      </c>
      <c r="F38" s="221">
        <v>0.41958041958042003</v>
      </c>
    </row>
    <row r="39" spans="1:6" ht="39" customHeight="1">
      <c r="A39" s="219" t="s">
        <v>787</v>
      </c>
      <c r="B39" s="218" t="s">
        <v>788</v>
      </c>
      <c r="C39" s="219" t="s">
        <v>789</v>
      </c>
      <c r="D39" s="222">
        <v>240000000</v>
      </c>
      <c r="E39" s="222">
        <v>345000000</v>
      </c>
      <c r="F39" s="221">
        <v>0.41958041958042003</v>
      </c>
    </row>
    <row r="40" spans="1:6" ht="39" customHeight="1">
      <c r="A40" s="219" t="s">
        <v>790</v>
      </c>
      <c r="B40" s="218" t="s">
        <v>791</v>
      </c>
      <c r="C40" s="219" t="s">
        <v>792</v>
      </c>
      <c r="D40" s="222">
        <v>0</v>
      </c>
      <c r="E40" s="222">
        <v>0</v>
      </c>
      <c r="F40" s="221"/>
    </row>
    <row r="41" spans="1:6" ht="39" customHeight="1">
      <c r="A41" s="219" t="s">
        <v>793</v>
      </c>
      <c r="B41" s="218" t="s">
        <v>794</v>
      </c>
      <c r="C41" s="219" t="s">
        <v>795</v>
      </c>
      <c r="D41" s="222">
        <v>9315068</v>
      </c>
      <c r="E41" s="222">
        <v>15616437</v>
      </c>
      <c r="F41" s="221">
        <v>0.18181817117160901</v>
      </c>
    </row>
    <row r="42" spans="1:6" ht="39" customHeight="1">
      <c r="A42" s="219" t="s">
        <v>796</v>
      </c>
      <c r="B42" s="218" t="s">
        <v>797</v>
      </c>
      <c r="C42" s="219" t="s">
        <v>798</v>
      </c>
      <c r="D42" s="222">
        <v>9315068</v>
      </c>
      <c r="E42" s="222">
        <v>15616437</v>
      </c>
      <c r="F42" s="221">
        <v>0.18181817117160901</v>
      </c>
    </row>
    <row r="43" spans="1:6" ht="39" customHeight="1">
      <c r="A43" s="219" t="s">
        <v>799</v>
      </c>
      <c r="B43" s="218" t="s">
        <v>800</v>
      </c>
      <c r="C43" s="219" t="s">
        <v>801</v>
      </c>
      <c r="D43" s="222">
        <v>0</v>
      </c>
      <c r="E43" s="222">
        <v>0</v>
      </c>
      <c r="F43" s="221"/>
    </row>
    <row r="44" spans="1:6" ht="39" customHeight="1">
      <c r="A44" s="219" t="s">
        <v>802</v>
      </c>
      <c r="B44" s="218" t="s">
        <v>803</v>
      </c>
      <c r="C44" s="219" t="s">
        <v>804</v>
      </c>
      <c r="D44" s="222">
        <v>0</v>
      </c>
      <c r="E44" s="222">
        <v>0</v>
      </c>
      <c r="F44" s="221"/>
    </row>
    <row r="45" spans="1:6" ht="39" customHeight="1">
      <c r="A45" s="219" t="s">
        <v>805</v>
      </c>
      <c r="B45" s="218" t="s">
        <v>806</v>
      </c>
      <c r="C45" s="219" t="s">
        <v>807</v>
      </c>
      <c r="D45" s="222">
        <v>0</v>
      </c>
      <c r="E45" s="222">
        <v>0</v>
      </c>
      <c r="F45" s="221">
        <v>0</v>
      </c>
    </row>
    <row r="46" spans="1:6" ht="39" customHeight="1">
      <c r="A46" s="219" t="s">
        <v>808</v>
      </c>
      <c r="B46" s="218" t="s">
        <v>809</v>
      </c>
      <c r="C46" s="219" t="s">
        <v>810</v>
      </c>
      <c r="D46" s="222">
        <v>0</v>
      </c>
      <c r="E46" s="222">
        <v>0</v>
      </c>
      <c r="F46" s="221"/>
    </row>
    <row r="47" spans="1:6" ht="39" customHeight="1">
      <c r="A47" s="219" t="s">
        <v>811</v>
      </c>
      <c r="B47" s="218" t="s">
        <v>812</v>
      </c>
      <c r="C47" s="219" t="s">
        <v>813</v>
      </c>
      <c r="D47" s="222">
        <v>0</v>
      </c>
      <c r="E47" s="222">
        <v>0</v>
      </c>
      <c r="F47" s="221"/>
    </row>
    <row r="48" spans="1:6" ht="39" customHeight="1">
      <c r="A48" s="219" t="s">
        <v>814</v>
      </c>
      <c r="B48" s="218" t="s">
        <v>815</v>
      </c>
      <c r="C48" s="219" t="s">
        <v>816</v>
      </c>
      <c r="D48" s="222">
        <v>0</v>
      </c>
      <c r="E48" s="222">
        <v>0</v>
      </c>
      <c r="F48" s="221"/>
    </row>
    <row r="49" spans="1:6" ht="39" customHeight="1">
      <c r="A49" s="219" t="s">
        <v>817</v>
      </c>
      <c r="B49" s="218" t="s">
        <v>818</v>
      </c>
      <c r="C49" s="219" t="s">
        <v>819</v>
      </c>
      <c r="D49" s="222">
        <v>0</v>
      </c>
      <c r="E49" s="222">
        <v>0</v>
      </c>
      <c r="F49" s="221"/>
    </row>
    <row r="50" spans="1:6" ht="39" customHeight="1">
      <c r="A50" s="219" t="s">
        <v>820</v>
      </c>
      <c r="B50" s="218" t="s">
        <v>821</v>
      </c>
      <c r="C50" s="219" t="s">
        <v>822</v>
      </c>
      <c r="D50" s="222">
        <v>0</v>
      </c>
      <c r="E50" s="222">
        <v>0</v>
      </c>
      <c r="F50" s="221"/>
    </row>
    <row r="51" spans="1:6" ht="39" customHeight="1">
      <c r="A51" s="224" t="s">
        <v>823</v>
      </c>
      <c r="B51" s="223" t="s">
        <v>824</v>
      </c>
      <c r="C51" s="224" t="s">
        <v>825</v>
      </c>
      <c r="D51" s="226">
        <v>432533926171</v>
      </c>
      <c r="E51" s="226">
        <v>331212810804</v>
      </c>
      <c r="F51" s="225">
        <v>0.55259918729691004</v>
      </c>
    </row>
    <row r="52" spans="1:6" ht="39" customHeight="1">
      <c r="A52" s="224" t="s">
        <v>826</v>
      </c>
      <c r="B52" s="223" t="s">
        <v>827</v>
      </c>
      <c r="C52" s="224" t="s">
        <v>828</v>
      </c>
      <c r="D52" s="226"/>
      <c r="E52" s="226"/>
      <c r="F52" s="225"/>
    </row>
    <row r="53" spans="1:6" ht="39" customHeight="1">
      <c r="A53" s="219" t="s">
        <v>829</v>
      </c>
      <c r="B53" s="218" t="s">
        <v>830</v>
      </c>
      <c r="C53" s="219" t="s">
        <v>831</v>
      </c>
      <c r="D53" s="222">
        <v>4476492000</v>
      </c>
      <c r="E53" s="222">
        <v>0</v>
      </c>
      <c r="F53" s="221">
        <v>1.3952577670474799</v>
      </c>
    </row>
    <row r="54" spans="1:6" ht="39" customHeight="1">
      <c r="A54" s="219" t="s">
        <v>832</v>
      </c>
      <c r="B54" s="218" t="s">
        <v>833</v>
      </c>
      <c r="C54" s="219" t="s">
        <v>834</v>
      </c>
      <c r="D54" s="222">
        <v>1266926275</v>
      </c>
      <c r="E54" s="222">
        <v>3130773383</v>
      </c>
      <c r="F54" s="221">
        <v>0.15410136432626301</v>
      </c>
    </row>
    <row r="55" spans="1:6" ht="39" customHeight="1">
      <c r="A55" s="219" t="s">
        <v>835</v>
      </c>
      <c r="B55" s="218" t="s">
        <v>836</v>
      </c>
      <c r="C55" s="219" t="s">
        <v>837</v>
      </c>
      <c r="D55" s="222">
        <v>135008684</v>
      </c>
      <c r="E55" s="222">
        <v>1218467144</v>
      </c>
      <c r="F55" s="221">
        <v>2.1302521807677201E-2</v>
      </c>
    </row>
    <row r="56" spans="1:6" ht="39" customHeight="1">
      <c r="A56" s="219" t="s">
        <v>838</v>
      </c>
      <c r="B56" s="218" t="s">
        <v>839</v>
      </c>
      <c r="C56" s="219" t="s">
        <v>840</v>
      </c>
      <c r="D56" s="222">
        <v>52095900</v>
      </c>
      <c r="E56" s="222">
        <v>86095900</v>
      </c>
      <c r="F56" s="221">
        <v>0.77298322301504996</v>
      </c>
    </row>
    <row r="57" spans="1:6" ht="48" customHeight="1">
      <c r="A57" s="219" t="s">
        <v>841</v>
      </c>
      <c r="B57" s="218" t="s">
        <v>842</v>
      </c>
      <c r="C57" s="219" t="s">
        <v>843</v>
      </c>
      <c r="D57" s="222">
        <v>0</v>
      </c>
      <c r="E57" s="222">
        <v>0</v>
      </c>
      <c r="F57" s="221"/>
    </row>
    <row r="58" spans="1:6" ht="39" customHeight="1">
      <c r="A58" s="219" t="s">
        <v>844</v>
      </c>
      <c r="B58" s="218" t="s">
        <v>845</v>
      </c>
      <c r="C58" s="219" t="s">
        <v>846</v>
      </c>
      <c r="D58" s="222">
        <v>0</v>
      </c>
      <c r="E58" s="222">
        <v>0</v>
      </c>
      <c r="F58" s="221"/>
    </row>
    <row r="59" spans="1:6" ht="39" customHeight="1">
      <c r="A59" s="219" t="s">
        <v>847</v>
      </c>
      <c r="B59" s="218" t="s">
        <v>848</v>
      </c>
      <c r="C59" s="219" t="s">
        <v>849</v>
      </c>
      <c r="D59" s="222">
        <v>82912784</v>
      </c>
      <c r="E59" s="222">
        <v>1132371244</v>
      </c>
      <c r="F59" s="221">
        <v>1.3223118711381E-2</v>
      </c>
    </row>
    <row r="60" spans="1:6" ht="39" customHeight="1">
      <c r="A60" s="219" t="s">
        <v>850</v>
      </c>
      <c r="B60" s="218" t="s">
        <v>851</v>
      </c>
      <c r="C60" s="219" t="s">
        <v>852</v>
      </c>
      <c r="D60" s="222">
        <v>2266631</v>
      </c>
      <c r="E60" s="222">
        <v>60041380</v>
      </c>
      <c r="F60" s="221">
        <v>0.113762585058528</v>
      </c>
    </row>
    <row r="61" spans="1:6" ht="61" customHeight="1">
      <c r="A61" s="219" t="s">
        <v>853</v>
      </c>
      <c r="B61" s="218" t="s">
        <v>854</v>
      </c>
      <c r="C61" s="219" t="s">
        <v>855</v>
      </c>
      <c r="D61" s="222">
        <v>51478829</v>
      </c>
      <c r="E61" s="222">
        <v>603503865</v>
      </c>
      <c r="F61" s="221">
        <v>0.22797965985458199</v>
      </c>
    </row>
    <row r="62" spans="1:6" ht="39" customHeight="1">
      <c r="A62" s="219" t="s">
        <v>856</v>
      </c>
      <c r="B62" s="218" t="s">
        <v>857</v>
      </c>
      <c r="C62" s="219" t="s">
        <v>858</v>
      </c>
      <c r="D62" s="222">
        <v>83000000</v>
      </c>
      <c r="E62" s="222">
        <v>83000000</v>
      </c>
      <c r="F62" s="221">
        <v>1</v>
      </c>
    </row>
    <row r="63" spans="1:6" ht="39" customHeight="1">
      <c r="A63" s="219" t="s">
        <v>859</v>
      </c>
      <c r="B63" s="218" t="s">
        <v>860</v>
      </c>
      <c r="C63" s="219" t="s">
        <v>861</v>
      </c>
      <c r="D63" s="222">
        <v>17967233</v>
      </c>
      <c r="E63" s="222">
        <v>14983616</v>
      </c>
      <c r="F63" s="221">
        <v>0.80073685374884995</v>
      </c>
    </row>
    <row r="64" spans="1:6" ht="39" customHeight="1">
      <c r="A64" s="219" t="s">
        <v>862</v>
      </c>
      <c r="B64" s="218" t="s">
        <v>863</v>
      </c>
      <c r="C64" s="219" t="s">
        <v>864</v>
      </c>
      <c r="D64" s="222">
        <v>707895540</v>
      </c>
      <c r="E64" s="222">
        <v>749309010</v>
      </c>
      <c r="F64" s="221">
        <v>0.58094691975353396</v>
      </c>
    </row>
    <row r="65" spans="1:6" ht="39" customHeight="1">
      <c r="A65" s="219" t="s">
        <v>865</v>
      </c>
      <c r="B65" s="218" t="s">
        <v>866</v>
      </c>
      <c r="C65" s="219" t="s">
        <v>867</v>
      </c>
      <c r="D65" s="222">
        <v>12103914</v>
      </c>
      <c r="E65" s="222">
        <v>12812019</v>
      </c>
      <c r="F65" s="221">
        <v>0.58094697333307699</v>
      </c>
    </row>
    <row r="66" spans="1:6" ht="39" customHeight="1">
      <c r="A66" s="219" t="s">
        <v>868</v>
      </c>
      <c r="B66" s="218" t="s">
        <v>869</v>
      </c>
      <c r="C66" s="219" t="s">
        <v>870</v>
      </c>
      <c r="D66" s="222">
        <v>25300000</v>
      </c>
      <c r="E66" s="222">
        <v>25300000</v>
      </c>
      <c r="F66" s="221">
        <v>0.91073582955345</v>
      </c>
    </row>
    <row r="67" spans="1:6" ht="39" customHeight="1">
      <c r="A67" s="219" t="s">
        <v>871</v>
      </c>
      <c r="B67" s="218" t="s">
        <v>872</v>
      </c>
      <c r="C67" s="219" t="s">
        <v>873</v>
      </c>
      <c r="D67" s="222">
        <v>6714738</v>
      </c>
      <c r="E67" s="222">
        <v>0</v>
      </c>
      <c r="F67" s="221">
        <v>1.02616274582829</v>
      </c>
    </row>
    <row r="68" spans="1:6" ht="39" customHeight="1">
      <c r="A68" s="219" t="s">
        <v>874</v>
      </c>
      <c r="B68" s="218" t="s">
        <v>875</v>
      </c>
      <c r="C68" s="219" t="s">
        <v>876</v>
      </c>
      <c r="D68" s="222">
        <v>6714738</v>
      </c>
      <c r="E68" s="222">
        <v>0</v>
      </c>
      <c r="F68" s="221">
        <v>1.02616274582829</v>
      </c>
    </row>
    <row r="69" spans="1:6" ht="46" customHeight="1">
      <c r="A69" s="219" t="s">
        <v>877</v>
      </c>
      <c r="B69" s="218" t="s">
        <v>878</v>
      </c>
      <c r="C69" s="219" t="s">
        <v>879</v>
      </c>
      <c r="D69" s="222">
        <v>0</v>
      </c>
      <c r="E69" s="222">
        <v>0</v>
      </c>
      <c r="F69" s="221"/>
    </row>
    <row r="70" spans="1:6" ht="39" customHeight="1">
      <c r="A70" s="219" t="s">
        <v>880</v>
      </c>
      <c r="B70" s="218" t="s">
        <v>881</v>
      </c>
      <c r="C70" s="219" t="s">
        <v>882</v>
      </c>
      <c r="D70" s="222">
        <v>23900000</v>
      </c>
      <c r="E70" s="222">
        <v>32600000</v>
      </c>
      <c r="F70" s="221">
        <v>0.752653852761067</v>
      </c>
    </row>
    <row r="71" spans="1:6" ht="39" customHeight="1">
      <c r="A71" s="219" t="s">
        <v>883</v>
      </c>
      <c r="B71" s="218" t="s">
        <v>884</v>
      </c>
      <c r="C71" s="219" t="s">
        <v>885</v>
      </c>
      <c r="D71" s="222">
        <v>22000000</v>
      </c>
      <c r="E71" s="222">
        <v>22000000</v>
      </c>
      <c r="F71" s="221">
        <v>0.87113860389347497</v>
      </c>
    </row>
    <row r="72" spans="1:6" ht="39" customHeight="1">
      <c r="A72" s="219" t="s">
        <v>886</v>
      </c>
      <c r="B72" s="218" t="s">
        <v>887</v>
      </c>
      <c r="C72" s="219" t="s">
        <v>888</v>
      </c>
      <c r="D72" s="222">
        <v>1900000</v>
      </c>
      <c r="E72" s="222">
        <v>10600000</v>
      </c>
      <c r="F72" s="221">
        <v>0.29230769230769199</v>
      </c>
    </row>
    <row r="73" spans="1:6" ht="60" customHeight="1">
      <c r="A73" s="219" t="s">
        <v>889</v>
      </c>
      <c r="B73" s="218" t="s">
        <v>890</v>
      </c>
      <c r="C73" s="219" t="s">
        <v>891</v>
      </c>
      <c r="D73" s="222">
        <v>0</v>
      </c>
      <c r="E73" s="222">
        <v>0</v>
      </c>
      <c r="F73" s="221"/>
    </row>
    <row r="74" spans="1:6" ht="39" customHeight="1">
      <c r="A74" s="219" t="s">
        <v>892</v>
      </c>
      <c r="B74" s="218" t="s">
        <v>893</v>
      </c>
      <c r="C74" s="219" t="s">
        <v>894</v>
      </c>
      <c r="D74" s="222">
        <v>84784154</v>
      </c>
      <c r="E74" s="222">
        <v>212892077</v>
      </c>
      <c r="F74" s="221">
        <v>1.0027778352721799</v>
      </c>
    </row>
    <row r="75" spans="1:6" ht="39" customHeight="1">
      <c r="A75" s="219" t="s">
        <v>895</v>
      </c>
      <c r="B75" s="218" t="s">
        <v>896</v>
      </c>
      <c r="C75" s="219" t="s">
        <v>897</v>
      </c>
      <c r="D75" s="222">
        <v>35386313</v>
      </c>
      <c r="E75" s="222">
        <v>36744033</v>
      </c>
      <c r="F75" s="221">
        <v>0.64379612063598501</v>
      </c>
    </row>
    <row r="76" spans="1:6" ht="39" customHeight="1">
      <c r="A76" s="219" t="s">
        <v>898</v>
      </c>
      <c r="B76" s="218" t="s">
        <v>899</v>
      </c>
      <c r="C76" s="219" t="s">
        <v>900</v>
      </c>
      <c r="D76" s="222">
        <v>33066000</v>
      </c>
      <c r="E76" s="222">
        <v>33066000</v>
      </c>
      <c r="F76" s="221">
        <v>0.66849798373034497</v>
      </c>
    </row>
    <row r="77" spans="1:6" ht="39" customHeight="1">
      <c r="A77" s="219" t="s">
        <v>901</v>
      </c>
      <c r="B77" s="218" t="s">
        <v>902</v>
      </c>
      <c r="C77" s="219" t="s">
        <v>903</v>
      </c>
      <c r="D77" s="222">
        <v>11000000</v>
      </c>
      <c r="E77" s="222">
        <v>11000000</v>
      </c>
      <c r="F77" s="221">
        <v>1</v>
      </c>
    </row>
    <row r="78" spans="1:6" ht="48" customHeight="1">
      <c r="A78" s="219" t="s">
        <v>904</v>
      </c>
      <c r="B78" s="218" t="s">
        <v>905</v>
      </c>
      <c r="C78" s="219" t="s">
        <v>906</v>
      </c>
      <c r="D78" s="222">
        <v>0</v>
      </c>
      <c r="E78" s="222">
        <v>0</v>
      </c>
      <c r="F78" s="221"/>
    </row>
    <row r="79" spans="1:6" ht="39" customHeight="1">
      <c r="A79" s="219" t="s">
        <v>907</v>
      </c>
      <c r="B79" s="218" t="s">
        <v>908</v>
      </c>
      <c r="C79" s="219" t="s">
        <v>909</v>
      </c>
      <c r="D79" s="222">
        <v>0</v>
      </c>
      <c r="E79" s="222">
        <v>0</v>
      </c>
      <c r="F79" s="221"/>
    </row>
    <row r="80" spans="1:6" ht="39" customHeight="1">
      <c r="A80" s="219" t="s">
        <v>910</v>
      </c>
      <c r="B80" s="218" t="s">
        <v>911</v>
      </c>
      <c r="C80" s="219" t="s">
        <v>912</v>
      </c>
      <c r="D80" s="222">
        <v>37054239</v>
      </c>
      <c r="E80" s="222">
        <v>37054239</v>
      </c>
      <c r="F80" s="221">
        <v>1.3663097705968399</v>
      </c>
    </row>
    <row r="81" spans="1:6" ht="39" customHeight="1">
      <c r="A81" s="219" t="s">
        <v>913</v>
      </c>
      <c r="B81" s="218" t="s">
        <v>914</v>
      </c>
      <c r="C81" s="219" t="s">
        <v>915</v>
      </c>
      <c r="D81" s="222">
        <v>0</v>
      </c>
      <c r="E81" s="222">
        <v>0</v>
      </c>
      <c r="F81" s="221">
        <v>0</v>
      </c>
    </row>
    <row r="82" spans="1:6" ht="48" customHeight="1">
      <c r="A82" s="219" t="s">
        <v>916</v>
      </c>
      <c r="B82" s="218" t="s">
        <v>917</v>
      </c>
      <c r="C82" s="219" t="s">
        <v>918</v>
      </c>
      <c r="D82" s="222">
        <v>37054239</v>
      </c>
      <c r="E82" s="222">
        <v>37054239</v>
      </c>
      <c r="F82" s="221">
        <v>2.3297314545040702</v>
      </c>
    </row>
    <row r="83" spans="1:6" ht="45" customHeight="1">
      <c r="A83" s="219" t="s">
        <v>919</v>
      </c>
      <c r="B83" s="218" t="s">
        <v>920</v>
      </c>
      <c r="C83" s="219" t="s">
        <v>921</v>
      </c>
      <c r="D83" s="222">
        <v>0</v>
      </c>
      <c r="E83" s="222">
        <v>0</v>
      </c>
      <c r="F83" s="221"/>
    </row>
    <row r="84" spans="1:6" ht="39" customHeight="1">
      <c r="A84" s="219" t="s">
        <v>922</v>
      </c>
      <c r="B84" s="218" t="s">
        <v>923</v>
      </c>
      <c r="C84" s="219" t="s">
        <v>924</v>
      </c>
      <c r="D84" s="222">
        <v>0</v>
      </c>
      <c r="E84" s="222">
        <v>0</v>
      </c>
      <c r="F84" s="221"/>
    </row>
    <row r="85" spans="1:6" ht="39" customHeight="1">
      <c r="A85" s="219" t="s">
        <v>925</v>
      </c>
      <c r="B85" s="218" t="s">
        <v>926</v>
      </c>
      <c r="C85" s="219" t="s">
        <v>927</v>
      </c>
      <c r="D85" s="222">
        <v>0</v>
      </c>
      <c r="E85" s="222">
        <v>0</v>
      </c>
      <c r="F85" s="221"/>
    </row>
    <row r="86" spans="1:6" ht="39" customHeight="1">
      <c r="A86" s="219" t="s">
        <v>928</v>
      </c>
      <c r="B86" s="218" t="s">
        <v>929</v>
      </c>
      <c r="C86" s="219" t="s">
        <v>930</v>
      </c>
      <c r="D86" s="222">
        <v>0</v>
      </c>
      <c r="E86" s="222">
        <v>0</v>
      </c>
      <c r="F86" s="221"/>
    </row>
    <row r="87" spans="1:6" ht="39" customHeight="1">
      <c r="A87" s="219" t="s">
        <v>931</v>
      </c>
      <c r="B87" s="218" t="s">
        <v>932</v>
      </c>
      <c r="C87" s="219" t="s">
        <v>933</v>
      </c>
      <c r="D87" s="222">
        <v>0</v>
      </c>
      <c r="E87" s="222">
        <v>0</v>
      </c>
      <c r="F87" s="221"/>
    </row>
    <row r="88" spans="1:6" ht="39" customHeight="1">
      <c r="A88" s="219" t="s">
        <v>934</v>
      </c>
      <c r="B88" s="218" t="s">
        <v>935</v>
      </c>
      <c r="C88" s="219" t="s">
        <v>936</v>
      </c>
      <c r="D88" s="222">
        <v>0</v>
      </c>
      <c r="E88" s="222">
        <v>0</v>
      </c>
      <c r="F88" s="221"/>
    </row>
    <row r="89" spans="1:6" ht="39" customHeight="1">
      <c r="A89" s="224" t="s">
        <v>937</v>
      </c>
      <c r="B89" s="223" t="s">
        <v>938</v>
      </c>
      <c r="C89" s="224" t="s">
        <v>939</v>
      </c>
      <c r="D89" s="226">
        <v>5743418275</v>
      </c>
      <c r="E89" s="226">
        <v>3130773383</v>
      </c>
      <c r="F89" s="225">
        <v>0.502497516524122</v>
      </c>
    </row>
    <row r="90" spans="1:6" ht="39" customHeight="1">
      <c r="A90" s="219" t="s">
        <v>940</v>
      </c>
      <c r="B90" s="218" t="s">
        <v>941</v>
      </c>
      <c r="C90" s="219" t="s">
        <v>942</v>
      </c>
      <c r="D90" s="222">
        <v>426790507896</v>
      </c>
      <c r="E90" s="222">
        <v>328082037421</v>
      </c>
      <c r="F90" s="221">
        <v>0.55334163750607701</v>
      </c>
    </row>
    <row r="91" spans="1:6" ht="39" customHeight="1">
      <c r="A91" s="219" t="s">
        <v>943</v>
      </c>
      <c r="B91" s="218" t="s">
        <v>944</v>
      </c>
      <c r="C91" s="219" t="s">
        <v>945</v>
      </c>
      <c r="D91" s="227">
        <v>28492998.199999999</v>
      </c>
      <c r="E91" s="227">
        <v>27868600.57</v>
      </c>
      <c r="F91" s="221">
        <v>0.61453649732844096</v>
      </c>
    </row>
    <row r="92" spans="1:6" ht="39" customHeight="1">
      <c r="A92" s="219" t="s">
        <v>946</v>
      </c>
      <c r="B92" s="218" t="s">
        <v>947</v>
      </c>
      <c r="C92" s="219" t="s">
        <v>948</v>
      </c>
      <c r="D92" s="227">
        <v>14978.78</v>
      </c>
      <c r="E92" s="227">
        <v>11772.46</v>
      </c>
      <c r="F92" s="221">
        <v>0.90042085179055897</v>
      </c>
    </row>
    <row r="93" spans="1:6" s="39" customFormat="1" ht="16.899999999999999" customHeight="1"/>
    <row r="94" spans="1:6" s="39" customFormat="1" ht="16.899999999999999" customHeight="1">
      <c r="A94" s="59" t="s">
        <v>10</v>
      </c>
      <c r="B94" s="40"/>
      <c r="C94" s="40"/>
      <c r="E94" s="59" t="s">
        <v>11</v>
      </c>
      <c r="F94" s="40"/>
    </row>
    <row r="95" spans="1:6" s="43" customFormat="1" ht="16.899999999999999" customHeight="1">
      <c r="A95" s="60" t="s">
        <v>12</v>
      </c>
      <c r="B95" s="44"/>
      <c r="C95" s="44"/>
      <c r="E95" s="60"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16"/>
      <c r="B102" s="216"/>
      <c r="C102" s="40"/>
      <c r="D102" s="42"/>
      <c r="E102" s="216"/>
      <c r="F102" s="216"/>
    </row>
    <row r="103" spans="1:6" s="39" customFormat="1" ht="16.899999999999999" customHeight="1">
      <c r="A103" s="58" t="s">
        <v>14</v>
      </c>
      <c r="B103" s="214"/>
      <c r="C103" s="40"/>
      <c r="D103" s="41"/>
      <c r="E103" s="58" t="s">
        <v>1174</v>
      </c>
      <c r="F103" s="214"/>
    </row>
    <row r="104" spans="1:6" s="39" customFormat="1" ht="16.899999999999999" customHeight="1">
      <c r="A104" s="213" t="s">
        <v>1181</v>
      </c>
      <c r="B104" s="42"/>
      <c r="C104" s="40"/>
      <c r="E104" s="213" t="s">
        <v>1182</v>
      </c>
      <c r="F104" s="42"/>
    </row>
    <row r="105" spans="1:6" s="39" customFormat="1" ht="16.899999999999999" customHeight="1">
      <c r="A105" s="40" t="s">
        <v>1183</v>
      </c>
      <c r="B105" s="40"/>
      <c r="C105" s="40"/>
      <c r="E105" s="40" t="s">
        <v>725</v>
      </c>
      <c r="F105" s="40"/>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83" zoomScale="107" zoomScaleNormal="100" zoomScaleSheetLayoutView="95" workbookViewId="0">
      <selection activeCell="C100" sqref="C100"/>
    </sheetView>
  </sheetViews>
  <sheetFormatPr defaultColWidth="8.7265625" defaultRowHeight="12.5"/>
  <cols>
    <col min="1" max="1" width="8.7265625" style="49"/>
    <col min="2" max="2" width="46.26953125" style="49" customWidth="1"/>
    <col min="3" max="3" width="10.7265625" style="49" bestFit="1" customWidth="1"/>
    <col min="4" max="4" width="21.26953125" style="49" customWidth="1"/>
    <col min="5" max="5" width="21" style="49" customWidth="1"/>
    <col min="6" max="6" width="22" style="49" customWidth="1"/>
    <col min="7" max="7" width="8.7265625" style="49"/>
    <col min="8" max="16384" width="8.7265625" style="65"/>
  </cols>
  <sheetData>
    <row r="1" spans="1:7" ht="22.9" customHeight="1">
      <c r="A1" s="260" t="s">
        <v>709</v>
      </c>
      <c r="B1" s="260"/>
      <c r="C1" s="260"/>
      <c r="D1" s="260"/>
      <c r="E1" s="260"/>
      <c r="F1" s="260"/>
    </row>
    <row r="2" spans="1:7" ht="45" customHeight="1">
      <c r="A2" s="261" t="s">
        <v>710</v>
      </c>
      <c r="B2" s="261"/>
      <c r="C2" s="261"/>
      <c r="D2" s="261"/>
      <c r="E2" s="261"/>
      <c r="F2" s="261"/>
    </row>
    <row r="3" spans="1:7" ht="22.5" customHeight="1">
      <c r="A3" s="262" t="s">
        <v>711</v>
      </c>
      <c r="B3" s="262"/>
      <c r="C3" s="262"/>
      <c r="D3" s="262"/>
      <c r="E3" s="262"/>
      <c r="F3" s="262"/>
    </row>
    <row r="4" spans="1:7" ht="21" customHeight="1">
      <c r="A4" s="262"/>
      <c r="B4" s="262"/>
      <c r="C4" s="262"/>
      <c r="D4" s="262"/>
      <c r="E4" s="262"/>
      <c r="F4" s="262"/>
    </row>
    <row r="5" spans="1:7" ht="16.149999999999999" customHeight="1">
      <c r="A5" s="263" t="str">
        <f>TONGQUAN!C2</f>
        <v>Quý II năm 2020
/ Quarter II 2020</v>
      </c>
      <c r="B5" s="263"/>
      <c r="C5" s="263"/>
      <c r="D5" s="263"/>
      <c r="E5" s="263"/>
      <c r="F5" s="263"/>
    </row>
    <row r="7" spans="1:7" ht="16.899999999999999" customHeight="1">
      <c r="A7" s="61" t="s">
        <v>2</v>
      </c>
      <c r="C7" s="283" t="str">
        <f>TONGQUAN!D5</f>
        <v>Công ty Cổ phần Quản lý Quỹ Đầu tư Việt Nam</v>
      </c>
      <c r="D7" s="283"/>
      <c r="E7" s="283"/>
      <c r="F7" s="283"/>
    </row>
    <row r="8" spans="1:7" ht="16.899999999999999" customHeight="1">
      <c r="A8" s="49" t="s">
        <v>41</v>
      </c>
      <c r="C8" s="282" t="str">
        <f>TONGQUAN!D6</f>
        <v>Vietnam Investment Fund Management Joint Stock Company</v>
      </c>
      <c r="D8" s="282"/>
      <c r="E8" s="282"/>
      <c r="F8" s="282"/>
    </row>
    <row r="9" spans="1:7" ht="16.899999999999999" customHeight="1">
      <c r="A9" s="61" t="s">
        <v>3</v>
      </c>
      <c r="C9" s="283" t="str">
        <f>TONGQUAN!D7</f>
        <v>Ngân hàng TNHH Một thành viên Standard Chartered (Việt Nam)</v>
      </c>
      <c r="D9" s="283"/>
      <c r="E9" s="283"/>
      <c r="F9" s="283"/>
    </row>
    <row r="10" spans="1:7" ht="16.899999999999999" customHeight="1">
      <c r="A10" s="49" t="s">
        <v>4</v>
      </c>
      <c r="C10" s="282" t="str">
        <f>TONGQUAN!D8</f>
        <v>Standard Chartered Bank (Vietnam) Limited</v>
      </c>
      <c r="D10" s="282"/>
      <c r="E10" s="282"/>
      <c r="F10" s="282"/>
    </row>
    <row r="11" spans="1:7" ht="16.899999999999999" customHeight="1">
      <c r="A11" s="61" t="s">
        <v>5</v>
      </c>
      <c r="C11" s="283" t="str">
        <f>TONGQUAN!D9</f>
        <v>Quỹ Đầu tư Doanh nghiệp hàng đầu Việt Nam</v>
      </c>
      <c r="D11" s="283"/>
      <c r="E11" s="283"/>
      <c r="F11" s="283"/>
    </row>
    <row r="12" spans="1:7" ht="16.899999999999999" customHeight="1">
      <c r="A12" s="49" t="s">
        <v>6</v>
      </c>
      <c r="C12" s="282" t="str">
        <f>TONGQUAN!D10</f>
        <v>Vietnam Blue Chip Fund(VFMVF4)</v>
      </c>
      <c r="D12" s="282"/>
      <c r="E12" s="282"/>
      <c r="F12" s="282"/>
    </row>
    <row r="13" spans="1:7" ht="16.899999999999999" customHeight="1">
      <c r="A13" s="61" t="s">
        <v>7</v>
      </c>
      <c r="C13" s="283" t="str">
        <f>TONGQUAN!D11</f>
        <v>Ngày 06 tháng 07 năm 2020</v>
      </c>
      <c r="D13" s="283"/>
      <c r="E13" s="283"/>
      <c r="F13" s="283"/>
    </row>
    <row r="14" spans="1:7" ht="16.899999999999999" customHeight="1">
      <c r="A14" s="49" t="s">
        <v>8</v>
      </c>
      <c r="C14" s="282" t="str">
        <f>TONGQUAN!D12</f>
        <v>06 Jul 2020</v>
      </c>
      <c r="D14" s="282"/>
      <c r="E14" s="282"/>
      <c r="F14" s="282"/>
    </row>
    <row r="15" spans="1:7" ht="16.899999999999999" customHeight="1"/>
    <row r="16" spans="1:7" s="245" customFormat="1" ht="16.899999999999999" customHeight="1">
      <c r="A16" s="242" t="s">
        <v>1208</v>
      </c>
      <c r="B16" s="243" t="s">
        <v>1209</v>
      </c>
      <c r="C16" s="244"/>
      <c r="D16" s="244"/>
      <c r="E16" s="244"/>
      <c r="F16" s="244"/>
      <c r="G16" s="49"/>
    </row>
    <row r="17" spans="1:7" s="245" customFormat="1" ht="16.899999999999999" customHeight="1">
      <c r="A17" s="242" t="s">
        <v>48</v>
      </c>
      <c r="B17" s="243" t="s">
        <v>53</v>
      </c>
      <c r="C17" s="244"/>
      <c r="D17" s="244"/>
      <c r="E17" s="244"/>
      <c r="F17" s="244"/>
      <c r="G17" s="49"/>
    </row>
    <row r="18" spans="1:7" ht="44.65" customHeight="1">
      <c r="A18" s="47" t="s">
        <v>43</v>
      </c>
      <c r="B18" s="45" t="s">
        <v>44</v>
      </c>
      <c r="C18" s="45" t="s">
        <v>45</v>
      </c>
      <c r="D18" s="46" t="s">
        <v>1186</v>
      </c>
      <c r="E18" s="46" t="s">
        <v>1187</v>
      </c>
      <c r="F18" s="66" t="s">
        <v>338</v>
      </c>
      <c r="G18" s="67"/>
    </row>
    <row r="19" spans="1:7" s="72" customFormat="1" ht="39" customHeight="1">
      <c r="A19" s="51" t="s">
        <v>42</v>
      </c>
      <c r="B19" s="68" t="s">
        <v>61</v>
      </c>
      <c r="C19" s="69" t="s">
        <v>85</v>
      </c>
      <c r="D19" s="70">
        <v>1876823503</v>
      </c>
      <c r="E19" s="70">
        <v>649060252</v>
      </c>
      <c r="F19" s="70">
        <v>2525883755</v>
      </c>
      <c r="G19" s="71"/>
    </row>
    <row r="20" spans="1:7" ht="39" customHeight="1">
      <c r="A20" s="54">
        <v>1</v>
      </c>
      <c r="B20" s="73" t="s">
        <v>350</v>
      </c>
      <c r="C20" s="74" t="s">
        <v>86</v>
      </c>
      <c r="D20" s="75">
        <v>1673700000</v>
      </c>
      <c r="E20" s="75">
        <v>407500000</v>
      </c>
      <c r="F20" s="75">
        <v>2081200000</v>
      </c>
      <c r="G20" s="67"/>
    </row>
    <row r="21" spans="1:7" ht="39" customHeight="1">
      <c r="A21" s="76"/>
      <c r="B21" s="77" t="s">
        <v>351</v>
      </c>
      <c r="C21" s="78" t="s">
        <v>87</v>
      </c>
      <c r="D21" s="75">
        <v>1673700000</v>
      </c>
      <c r="E21" s="75">
        <v>407500000</v>
      </c>
      <c r="F21" s="75">
        <v>2081200000</v>
      </c>
      <c r="G21" s="67"/>
    </row>
    <row r="22" spans="1:7" ht="39" customHeight="1">
      <c r="A22" s="76"/>
      <c r="B22" s="77" t="s">
        <v>352</v>
      </c>
      <c r="C22" s="78" t="s">
        <v>88</v>
      </c>
      <c r="D22" s="75">
        <v>0</v>
      </c>
      <c r="E22" s="75">
        <v>0</v>
      </c>
      <c r="F22" s="75">
        <v>0</v>
      </c>
      <c r="G22" s="67"/>
    </row>
    <row r="23" spans="1:7" ht="39" customHeight="1">
      <c r="A23" s="54">
        <v>2</v>
      </c>
      <c r="B23" s="73" t="s">
        <v>353</v>
      </c>
      <c r="C23" s="74" t="s">
        <v>89</v>
      </c>
      <c r="D23" s="75">
        <v>203123503</v>
      </c>
      <c r="E23" s="75">
        <v>241560252</v>
      </c>
      <c r="F23" s="75">
        <v>444683755</v>
      </c>
      <c r="G23" s="67"/>
    </row>
    <row r="24" spans="1:7" ht="39" customHeight="1">
      <c r="A24" s="76"/>
      <c r="B24" s="77" t="s">
        <v>346</v>
      </c>
      <c r="C24" s="78" t="s">
        <v>90</v>
      </c>
      <c r="D24" s="75">
        <v>203123503</v>
      </c>
      <c r="E24" s="75">
        <v>241560252</v>
      </c>
      <c r="F24" s="75">
        <v>444683755</v>
      </c>
      <c r="G24" s="67"/>
    </row>
    <row r="25" spans="1:7" ht="39" customHeight="1">
      <c r="A25" s="76"/>
      <c r="B25" s="77" t="s">
        <v>354</v>
      </c>
      <c r="C25" s="78" t="s">
        <v>91</v>
      </c>
      <c r="D25" s="75">
        <v>0</v>
      </c>
      <c r="E25" s="75">
        <v>0</v>
      </c>
      <c r="F25" s="75">
        <v>0</v>
      </c>
      <c r="G25" s="67"/>
    </row>
    <row r="26" spans="1:7" ht="39" customHeight="1">
      <c r="A26" s="76"/>
      <c r="B26" s="77" t="s">
        <v>397</v>
      </c>
      <c r="C26" s="78" t="s">
        <v>340</v>
      </c>
      <c r="D26" s="75">
        <v>0</v>
      </c>
      <c r="E26" s="75">
        <v>0</v>
      </c>
      <c r="F26" s="75">
        <v>0</v>
      </c>
      <c r="G26" s="67"/>
    </row>
    <row r="27" spans="1:7" ht="39" customHeight="1">
      <c r="A27" s="54">
        <v>3</v>
      </c>
      <c r="B27" s="73" t="s">
        <v>355</v>
      </c>
      <c r="C27" s="74" t="s">
        <v>92</v>
      </c>
      <c r="D27" s="75">
        <v>0</v>
      </c>
      <c r="E27" s="75">
        <v>0</v>
      </c>
      <c r="F27" s="75">
        <v>0</v>
      </c>
      <c r="G27" s="67"/>
    </row>
    <row r="28" spans="1:7" ht="39" customHeight="1">
      <c r="A28" s="79"/>
      <c r="B28" s="80" t="s">
        <v>356</v>
      </c>
      <c r="C28" s="81" t="s">
        <v>93</v>
      </c>
      <c r="D28" s="82">
        <v>0</v>
      </c>
      <c r="E28" s="82">
        <v>0</v>
      </c>
      <c r="F28" s="75">
        <v>0</v>
      </c>
      <c r="G28" s="83"/>
    </row>
    <row r="29" spans="1:7" ht="39" customHeight="1">
      <c r="A29" s="79"/>
      <c r="B29" s="80" t="s">
        <v>357</v>
      </c>
      <c r="C29" s="81" t="s">
        <v>94</v>
      </c>
      <c r="D29" s="82">
        <v>0</v>
      </c>
      <c r="E29" s="82">
        <v>0</v>
      </c>
      <c r="F29" s="75">
        <v>0</v>
      </c>
      <c r="G29" s="83"/>
    </row>
    <row r="30" spans="1:7" ht="77.650000000000006" customHeight="1">
      <c r="A30" s="79"/>
      <c r="B30" s="80" t="s">
        <v>62</v>
      </c>
      <c r="C30" s="81" t="s">
        <v>95</v>
      </c>
      <c r="D30" s="82">
        <v>0</v>
      </c>
      <c r="E30" s="82">
        <v>0</v>
      </c>
      <c r="F30" s="75">
        <v>0</v>
      </c>
      <c r="G30" s="83"/>
    </row>
    <row r="31" spans="1:7" s="72" customFormat="1" ht="39" customHeight="1">
      <c r="A31" s="51" t="s">
        <v>48</v>
      </c>
      <c r="B31" s="68" t="s">
        <v>358</v>
      </c>
      <c r="C31" s="69" t="s">
        <v>96</v>
      </c>
      <c r="D31" s="70">
        <v>2552291649</v>
      </c>
      <c r="E31" s="70">
        <v>3528306765</v>
      </c>
      <c r="F31" s="70">
        <v>6080598414</v>
      </c>
      <c r="G31" s="71"/>
    </row>
    <row r="32" spans="1:7" ht="39" customHeight="1">
      <c r="A32" s="54">
        <v>1</v>
      </c>
      <c r="B32" s="73" t="s">
        <v>398</v>
      </c>
      <c r="C32" s="74" t="s">
        <v>97</v>
      </c>
      <c r="D32" s="75">
        <v>1989134194</v>
      </c>
      <c r="E32" s="75">
        <v>2695771205</v>
      </c>
      <c r="F32" s="75">
        <v>4684905399</v>
      </c>
      <c r="G32" s="67"/>
    </row>
    <row r="33" spans="1:7" ht="44.65" customHeight="1">
      <c r="A33" s="54">
        <v>2</v>
      </c>
      <c r="B33" s="73" t="s">
        <v>399</v>
      </c>
      <c r="C33" s="74" t="s">
        <v>98</v>
      </c>
      <c r="D33" s="84">
        <v>192098803</v>
      </c>
      <c r="E33" s="84">
        <v>191279422</v>
      </c>
      <c r="F33" s="75">
        <v>383378225</v>
      </c>
      <c r="G33" s="67"/>
    </row>
    <row r="34" spans="1:7" ht="39" customHeight="1">
      <c r="A34" s="57"/>
      <c r="B34" s="77" t="s">
        <v>51</v>
      </c>
      <c r="C34" s="78" t="s">
        <v>99</v>
      </c>
      <c r="D34" s="84">
        <v>66000000</v>
      </c>
      <c r="E34" s="84">
        <v>66000000</v>
      </c>
      <c r="F34" s="75">
        <v>132000000</v>
      </c>
      <c r="G34" s="67"/>
    </row>
    <row r="35" spans="1:7" ht="39" customHeight="1">
      <c r="A35" s="57"/>
      <c r="B35" s="77" t="s">
        <v>63</v>
      </c>
      <c r="C35" s="78" t="s">
        <v>100</v>
      </c>
      <c r="D35" s="84">
        <v>11000000</v>
      </c>
      <c r="E35" s="84">
        <v>20200000</v>
      </c>
      <c r="F35" s="75">
        <v>31200000</v>
      </c>
      <c r="G35" s="67"/>
    </row>
    <row r="36" spans="1:7" ht="57" customHeight="1">
      <c r="A36" s="57"/>
      <c r="B36" s="77" t="s">
        <v>400</v>
      </c>
      <c r="C36" s="78" t="s">
        <v>101</v>
      </c>
      <c r="D36" s="84">
        <v>39198803</v>
      </c>
      <c r="E36" s="84">
        <v>29179422</v>
      </c>
      <c r="F36" s="84">
        <v>68378225</v>
      </c>
      <c r="G36" s="67"/>
    </row>
    <row r="37" spans="1:7" ht="39" customHeight="1">
      <c r="A37" s="57"/>
      <c r="B37" s="77" t="s">
        <v>64</v>
      </c>
      <c r="C37" s="78" t="s">
        <v>102</v>
      </c>
      <c r="D37" s="75">
        <v>75900000</v>
      </c>
      <c r="E37" s="75">
        <v>75900000</v>
      </c>
      <c r="F37" s="75">
        <v>151800000</v>
      </c>
      <c r="G37" s="67"/>
    </row>
    <row r="38" spans="1:7" ht="73.5" customHeight="1">
      <c r="A38" s="54">
        <v>3</v>
      </c>
      <c r="B38" s="53" t="s">
        <v>401</v>
      </c>
      <c r="C38" s="74" t="s">
        <v>103</v>
      </c>
      <c r="D38" s="75">
        <v>67011106</v>
      </c>
      <c r="E38" s="75">
        <v>79093497</v>
      </c>
      <c r="F38" s="75">
        <v>146104603</v>
      </c>
      <c r="G38" s="67"/>
    </row>
    <row r="39" spans="1:7" ht="39" customHeight="1">
      <c r="A39" s="57"/>
      <c r="B39" s="55" t="s">
        <v>402</v>
      </c>
      <c r="C39" s="78" t="s">
        <v>104</v>
      </c>
      <c r="D39" s="75">
        <v>34011106</v>
      </c>
      <c r="E39" s="75">
        <v>46093497</v>
      </c>
      <c r="F39" s="75">
        <v>80104603</v>
      </c>
      <c r="G39" s="67"/>
    </row>
    <row r="40" spans="1:7" ht="39" customHeight="1">
      <c r="A40" s="57"/>
      <c r="B40" s="55" t="s">
        <v>65</v>
      </c>
      <c r="C40" s="78" t="s">
        <v>105</v>
      </c>
      <c r="D40" s="84">
        <v>33000000</v>
      </c>
      <c r="E40" s="84">
        <v>33000000</v>
      </c>
      <c r="F40" s="84">
        <v>66000000</v>
      </c>
      <c r="G40" s="67"/>
    </row>
    <row r="41" spans="1:7" ht="39" customHeight="1">
      <c r="A41" s="54">
        <v>4</v>
      </c>
      <c r="B41" s="73" t="s">
        <v>66</v>
      </c>
      <c r="C41" s="74" t="s">
        <v>106</v>
      </c>
      <c r="D41" s="75">
        <v>45641516</v>
      </c>
      <c r="E41" s="75">
        <v>42392077</v>
      </c>
      <c r="F41" s="75">
        <v>88033593</v>
      </c>
      <c r="G41" s="67"/>
    </row>
    <row r="42" spans="1:7" ht="77.650000000000006" customHeight="1">
      <c r="A42" s="54">
        <v>5</v>
      </c>
      <c r="B42" s="73" t="s">
        <v>403</v>
      </c>
      <c r="C42" s="74" t="s">
        <v>107</v>
      </c>
      <c r="D42" s="75">
        <v>38983617</v>
      </c>
      <c r="E42" s="75">
        <v>47083616</v>
      </c>
      <c r="F42" s="75">
        <v>86067233</v>
      </c>
      <c r="G42" s="67"/>
    </row>
    <row r="43" spans="1:7" ht="39" customHeight="1">
      <c r="A43" s="57"/>
      <c r="B43" s="56" t="s">
        <v>404</v>
      </c>
      <c r="C43" s="78" t="s">
        <v>108</v>
      </c>
      <c r="D43" s="75">
        <v>38983617</v>
      </c>
      <c r="E43" s="75">
        <v>38983616</v>
      </c>
      <c r="F43" s="75">
        <v>77967233</v>
      </c>
      <c r="G43" s="67"/>
    </row>
    <row r="44" spans="1:7" ht="39" customHeight="1">
      <c r="A44" s="57"/>
      <c r="B44" s="56" t="s">
        <v>359</v>
      </c>
      <c r="C44" s="78" t="s">
        <v>109</v>
      </c>
      <c r="D44" s="75">
        <v>0</v>
      </c>
      <c r="E44" s="75">
        <v>8100000</v>
      </c>
      <c r="F44" s="75">
        <v>8100000</v>
      </c>
      <c r="G44" s="67"/>
    </row>
    <row r="45" spans="1:7" ht="39" customHeight="1">
      <c r="A45" s="57"/>
      <c r="B45" s="56" t="s">
        <v>68</v>
      </c>
      <c r="C45" s="78" t="s">
        <v>110</v>
      </c>
      <c r="D45" s="84">
        <v>0</v>
      </c>
      <c r="E45" s="84">
        <v>0</v>
      </c>
      <c r="F45" s="75">
        <v>0</v>
      </c>
      <c r="G45" s="67"/>
    </row>
    <row r="46" spans="1:7" ht="148.9" customHeight="1">
      <c r="A46" s="54">
        <v>6</v>
      </c>
      <c r="B46" s="53" t="s">
        <v>405</v>
      </c>
      <c r="C46" s="74" t="s">
        <v>111</v>
      </c>
      <c r="D46" s="75">
        <v>0</v>
      </c>
      <c r="E46" s="75">
        <v>0</v>
      </c>
      <c r="F46" s="75">
        <v>0</v>
      </c>
      <c r="G46" s="67"/>
    </row>
    <row r="47" spans="1:7" ht="39" customHeight="1">
      <c r="A47" s="57"/>
      <c r="B47" s="55" t="s">
        <v>360</v>
      </c>
      <c r="C47" s="78" t="s">
        <v>112</v>
      </c>
      <c r="D47" s="75">
        <v>0</v>
      </c>
      <c r="E47" s="75">
        <v>0</v>
      </c>
      <c r="F47" s="75">
        <v>0</v>
      </c>
      <c r="G47" s="67"/>
    </row>
    <row r="48" spans="1:7" ht="39" customHeight="1">
      <c r="A48" s="57"/>
      <c r="B48" s="55" t="s">
        <v>268</v>
      </c>
      <c r="C48" s="78" t="s">
        <v>113</v>
      </c>
      <c r="D48" s="75">
        <v>0</v>
      </c>
      <c r="E48" s="75">
        <v>0</v>
      </c>
      <c r="F48" s="75">
        <v>0</v>
      </c>
      <c r="G48" s="67"/>
    </row>
    <row r="49" spans="1:7" ht="39" customHeight="1">
      <c r="A49" s="57"/>
      <c r="B49" s="55" t="s">
        <v>406</v>
      </c>
      <c r="C49" s="78" t="s">
        <v>114</v>
      </c>
      <c r="D49" s="75">
        <v>0</v>
      </c>
      <c r="E49" s="75">
        <v>0</v>
      </c>
      <c r="F49" s="75">
        <v>0</v>
      </c>
      <c r="G49" s="67"/>
    </row>
    <row r="50" spans="1:7" ht="39" customHeight="1">
      <c r="A50" s="57"/>
      <c r="B50" s="56" t="s">
        <v>361</v>
      </c>
      <c r="C50" s="78" t="s">
        <v>115</v>
      </c>
      <c r="D50" s="75">
        <v>0</v>
      </c>
      <c r="E50" s="75">
        <v>0</v>
      </c>
      <c r="F50" s="75">
        <v>0</v>
      </c>
      <c r="G50" s="67"/>
    </row>
    <row r="51" spans="1:7" ht="39" customHeight="1">
      <c r="A51" s="57"/>
      <c r="B51" s="56" t="s">
        <v>362</v>
      </c>
      <c r="C51" s="78" t="s">
        <v>116</v>
      </c>
      <c r="D51" s="75">
        <v>0</v>
      </c>
      <c r="E51" s="75">
        <v>0</v>
      </c>
      <c r="F51" s="75">
        <v>0</v>
      </c>
      <c r="G51" s="67"/>
    </row>
    <row r="52" spans="1:7" ht="66" customHeight="1">
      <c r="A52" s="54">
        <v>7</v>
      </c>
      <c r="B52" s="73" t="s">
        <v>407</v>
      </c>
      <c r="C52" s="74" t="s">
        <v>117</v>
      </c>
      <c r="D52" s="84">
        <v>213953490</v>
      </c>
      <c r="E52" s="84">
        <v>462691027</v>
      </c>
      <c r="F52" s="84">
        <v>676644517</v>
      </c>
      <c r="G52" s="67"/>
    </row>
    <row r="53" spans="1:7" ht="39" customHeight="1">
      <c r="A53" s="57"/>
      <c r="B53" s="77" t="s">
        <v>70</v>
      </c>
      <c r="C53" s="78" t="s">
        <v>118</v>
      </c>
      <c r="D53" s="84">
        <v>212114680</v>
      </c>
      <c r="E53" s="84">
        <v>461329720</v>
      </c>
      <c r="F53" s="75">
        <v>673444400</v>
      </c>
      <c r="G53" s="67"/>
    </row>
    <row r="54" spans="1:7" ht="39" customHeight="1">
      <c r="A54" s="57"/>
      <c r="B54" s="77" t="s">
        <v>71</v>
      </c>
      <c r="C54" s="78" t="s">
        <v>119</v>
      </c>
      <c r="D54" s="84">
        <v>1838810</v>
      </c>
      <c r="E54" s="84">
        <v>1361307</v>
      </c>
      <c r="F54" s="75">
        <v>3200117</v>
      </c>
      <c r="G54" s="67"/>
    </row>
    <row r="55" spans="1:7" ht="39" customHeight="1">
      <c r="A55" s="57"/>
      <c r="B55" s="77" t="s">
        <v>72</v>
      </c>
      <c r="C55" s="78" t="s">
        <v>120</v>
      </c>
      <c r="D55" s="84">
        <v>0</v>
      </c>
      <c r="E55" s="84">
        <v>0</v>
      </c>
      <c r="F55" s="75">
        <v>0</v>
      </c>
      <c r="G55" s="67"/>
    </row>
    <row r="56" spans="1:7" ht="39" customHeight="1">
      <c r="A56" s="54">
        <v>8</v>
      </c>
      <c r="B56" s="73" t="s">
        <v>73</v>
      </c>
      <c r="C56" s="74" t="s">
        <v>121</v>
      </c>
      <c r="D56" s="84">
        <v>5468923</v>
      </c>
      <c r="E56" s="84">
        <v>9995921</v>
      </c>
      <c r="F56" s="84">
        <v>15464844</v>
      </c>
      <c r="G56" s="67"/>
    </row>
    <row r="57" spans="1:7" ht="39" customHeight="1">
      <c r="A57" s="54"/>
      <c r="B57" s="77" t="s">
        <v>74</v>
      </c>
      <c r="C57" s="78" t="s">
        <v>122</v>
      </c>
      <c r="D57" s="84">
        <v>0</v>
      </c>
      <c r="E57" s="84">
        <v>0</v>
      </c>
      <c r="F57" s="84">
        <v>0</v>
      </c>
      <c r="G57" s="85"/>
    </row>
    <row r="58" spans="1:7" ht="39" customHeight="1">
      <c r="A58" s="54"/>
      <c r="B58" s="77" t="s">
        <v>408</v>
      </c>
      <c r="C58" s="78" t="s">
        <v>123</v>
      </c>
      <c r="D58" s="84">
        <v>0</v>
      </c>
      <c r="E58" s="84">
        <v>0</v>
      </c>
      <c r="F58" s="84">
        <v>0</v>
      </c>
      <c r="G58" s="85"/>
    </row>
    <row r="59" spans="1:7" ht="39" customHeight="1">
      <c r="A59" s="54"/>
      <c r="B59" s="77" t="s">
        <v>75</v>
      </c>
      <c r="C59" s="78" t="s">
        <v>124</v>
      </c>
      <c r="D59" s="84">
        <v>0</v>
      </c>
      <c r="E59" s="84">
        <v>0</v>
      </c>
      <c r="F59" s="84">
        <v>0</v>
      </c>
      <c r="G59" s="85"/>
    </row>
    <row r="60" spans="1:7" ht="39" customHeight="1">
      <c r="A60" s="54"/>
      <c r="B60" s="77" t="s">
        <v>76</v>
      </c>
      <c r="C60" s="78" t="s">
        <v>125</v>
      </c>
      <c r="D60" s="84">
        <v>5468923</v>
      </c>
      <c r="E60" s="84">
        <v>8895921</v>
      </c>
      <c r="F60" s="84">
        <v>14364844</v>
      </c>
      <c r="G60" s="85"/>
    </row>
    <row r="61" spans="1:7" ht="39" customHeight="1">
      <c r="A61" s="54"/>
      <c r="B61" s="77" t="s">
        <v>409</v>
      </c>
      <c r="C61" s="78" t="s">
        <v>126</v>
      </c>
      <c r="D61" s="84">
        <v>0</v>
      </c>
      <c r="E61" s="84">
        <v>0</v>
      </c>
      <c r="F61" s="84">
        <v>0</v>
      </c>
      <c r="G61" s="85"/>
    </row>
    <row r="62" spans="1:7" ht="39" customHeight="1">
      <c r="A62" s="54"/>
      <c r="B62" s="77" t="s">
        <v>72</v>
      </c>
      <c r="C62" s="78" t="s">
        <v>127</v>
      </c>
      <c r="D62" s="84">
        <v>0</v>
      </c>
      <c r="E62" s="84">
        <v>0</v>
      </c>
      <c r="F62" s="84">
        <v>0</v>
      </c>
      <c r="G62" s="85"/>
    </row>
    <row r="63" spans="1:7" ht="39" customHeight="1">
      <c r="A63" s="54"/>
      <c r="B63" s="77" t="s">
        <v>410</v>
      </c>
      <c r="C63" s="78" t="s">
        <v>128</v>
      </c>
      <c r="D63" s="84">
        <v>0</v>
      </c>
      <c r="E63" s="84">
        <v>1100000</v>
      </c>
      <c r="F63" s="84">
        <v>1100000</v>
      </c>
      <c r="G63" s="85"/>
    </row>
    <row r="64" spans="1:7" s="72" customFormat="1" ht="45.75" customHeight="1">
      <c r="A64" s="86" t="s">
        <v>54</v>
      </c>
      <c r="B64" s="68" t="s">
        <v>411</v>
      </c>
      <c r="C64" s="69" t="s">
        <v>129</v>
      </c>
      <c r="D64" s="70">
        <v>-675468146</v>
      </c>
      <c r="E64" s="70">
        <v>-2879246513</v>
      </c>
      <c r="F64" s="70">
        <v>-3554714659</v>
      </c>
      <c r="G64" s="71"/>
    </row>
    <row r="65" spans="1:7" s="72" customFormat="1" ht="39" customHeight="1">
      <c r="A65" s="86" t="s">
        <v>55</v>
      </c>
      <c r="B65" s="68" t="s">
        <v>363</v>
      </c>
      <c r="C65" s="69" t="s">
        <v>130</v>
      </c>
      <c r="D65" s="70">
        <v>90049418500</v>
      </c>
      <c r="E65" s="70">
        <v>-189822312900</v>
      </c>
      <c r="F65" s="70">
        <v>-99772894400</v>
      </c>
      <c r="G65" s="71"/>
    </row>
    <row r="66" spans="1:7" ht="39" customHeight="1">
      <c r="A66" s="54">
        <v>1</v>
      </c>
      <c r="B66" s="73" t="s">
        <v>77</v>
      </c>
      <c r="C66" s="74" t="s">
        <v>131</v>
      </c>
      <c r="D66" s="75">
        <v>-9574059758</v>
      </c>
      <c r="E66" s="75">
        <v>-34865154187</v>
      </c>
      <c r="F66" s="75">
        <v>-44439213945</v>
      </c>
      <c r="G66" s="67"/>
    </row>
    <row r="67" spans="1:7" ht="39" customHeight="1">
      <c r="A67" s="54">
        <v>2</v>
      </c>
      <c r="B67" s="73" t="s">
        <v>78</v>
      </c>
      <c r="C67" s="74" t="s">
        <v>132</v>
      </c>
      <c r="D67" s="75">
        <v>99623478258</v>
      </c>
      <c r="E67" s="75">
        <v>-154957158713</v>
      </c>
      <c r="F67" s="75">
        <v>-55333680455</v>
      </c>
      <c r="G67" s="67"/>
    </row>
    <row r="68" spans="1:7" s="72" customFormat="1" ht="75" customHeight="1">
      <c r="A68" s="86" t="s">
        <v>56</v>
      </c>
      <c r="B68" s="68" t="s">
        <v>412</v>
      </c>
      <c r="C68" s="69" t="s">
        <v>133</v>
      </c>
      <c r="D68" s="70">
        <v>89373950354</v>
      </c>
      <c r="E68" s="70">
        <v>-192701559413</v>
      </c>
      <c r="F68" s="70">
        <v>-103327609059</v>
      </c>
      <c r="G68" s="71"/>
    </row>
    <row r="69" spans="1:7" s="72" customFormat="1" ht="39" customHeight="1">
      <c r="A69" s="86" t="s">
        <v>57</v>
      </c>
      <c r="B69" s="68" t="s">
        <v>79</v>
      </c>
      <c r="C69" s="69" t="s">
        <v>134</v>
      </c>
      <c r="D69" s="70">
        <v>328082037421</v>
      </c>
      <c r="E69" s="70">
        <v>617969847918</v>
      </c>
      <c r="F69" s="70">
        <v>617969847918</v>
      </c>
      <c r="G69" s="71"/>
    </row>
    <row r="70" spans="1:7" s="72" customFormat="1" ht="46.5" customHeight="1">
      <c r="A70" s="86" t="s">
        <v>58</v>
      </c>
      <c r="B70" s="68" t="s">
        <v>80</v>
      </c>
      <c r="C70" s="69" t="s">
        <v>135</v>
      </c>
      <c r="D70" s="70">
        <v>98708470475</v>
      </c>
      <c r="E70" s="70">
        <v>-289887810497</v>
      </c>
      <c r="F70" s="70">
        <v>-191179340022</v>
      </c>
      <c r="G70" s="71"/>
    </row>
    <row r="71" spans="1:7" ht="39" customHeight="1">
      <c r="A71" s="54"/>
      <c r="B71" s="73" t="s">
        <v>81</v>
      </c>
      <c r="C71" s="74" t="s">
        <v>136</v>
      </c>
      <c r="D71" s="75"/>
      <c r="E71" s="75"/>
      <c r="F71" s="75"/>
      <c r="G71" s="67"/>
    </row>
    <row r="72" spans="1:7" ht="58.5" customHeight="1">
      <c r="A72" s="54">
        <v>1</v>
      </c>
      <c r="B72" s="73" t="s">
        <v>82</v>
      </c>
      <c r="C72" s="74" t="s">
        <v>137</v>
      </c>
      <c r="D72" s="75">
        <v>89373950354</v>
      </c>
      <c r="E72" s="75">
        <v>-192701559413</v>
      </c>
      <c r="F72" s="84">
        <v>-103327609059</v>
      </c>
      <c r="G72" s="67"/>
    </row>
    <row r="73" spans="1:7" ht="58.5" customHeight="1">
      <c r="A73" s="54">
        <v>2</v>
      </c>
      <c r="B73" s="73" t="s">
        <v>83</v>
      </c>
      <c r="C73" s="74" t="s">
        <v>138</v>
      </c>
      <c r="D73" s="75">
        <v>0</v>
      </c>
      <c r="E73" s="75">
        <v>0</v>
      </c>
      <c r="F73" s="84">
        <v>0</v>
      </c>
      <c r="G73" s="67"/>
    </row>
    <row r="74" spans="1:7" ht="62.65" customHeight="1">
      <c r="A74" s="54">
        <v>3</v>
      </c>
      <c r="B74" s="73" t="s">
        <v>413</v>
      </c>
      <c r="C74" s="74" t="s">
        <v>139</v>
      </c>
      <c r="D74" s="84">
        <v>17059020369</v>
      </c>
      <c r="E74" s="84">
        <v>25096350158</v>
      </c>
      <c r="F74" s="84">
        <v>42155370527</v>
      </c>
      <c r="G74" s="67"/>
    </row>
    <row r="75" spans="1:7" ht="46.9" customHeight="1">
      <c r="A75" s="54">
        <v>4</v>
      </c>
      <c r="B75" s="73" t="s">
        <v>414</v>
      </c>
      <c r="C75" s="74" t="s">
        <v>140</v>
      </c>
      <c r="D75" s="84">
        <v>-7724500248</v>
      </c>
      <c r="E75" s="84">
        <v>-122282601242</v>
      </c>
      <c r="F75" s="75">
        <v>-130007101490</v>
      </c>
      <c r="G75" s="67"/>
    </row>
    <row r="76" spans="1:7" s="72" customFormat="1" ht="37.9" customHeight="1">
      <c r="A76" s="51" t="s">
        <v>59</v>
      </c>
      <c r="B76" s="68" t="s">
        <v>84</v>
      </c>
      <c r="C76" s="69" t="s">
        <v>141</v>
      </c>
      <c r="D76" s="70">
        <v>426790507896</v>
      </c>
      <c r="E76" s="70">
        <v>328082037421</v>
      </c>
      <c r="F76" s="70">
        <v>426790507896</v>
      </c>
      <c r="G76" s="71"/>
    </row>
    <row r="77" spans="1:7" s="72" customFormat="1" ht="57.4" customHeight="1">
      <c r="A77" s="51" t="s">
        <v>60</v>
      </c>
      <c r="B77" s="68" t="s">
        <v>364</v>
      </c>
      <c r="C77" s="69" t="s">
        <v>142</v>
      </c>
      <c r="D77" s="70"/>
      <c r="E77" s="70"/>
      <c r="F77" s="70"/>
      <c r="G77" s="87"/>
    </row>
    <row r="78" spans="1:7" ht="57" customHeight="1">
      <c r="A78" s="52"/>
      <c r="B78" s="73" t="s">
        <v>365</v>
      </c>
      <c r="C78" s="74" t="s">
        <v>143</v>
      </c>
      <c r="D78" s="96"/>
      <c r="E78" s="96"/>
      <c r="F78" s="96"/>
      <c r="G78" s="87"/>
    </row>
    <row r="81" spans="1:7" ht="16.899999999999999" customHeight="1">
      <c r="A81" s="88" t="str">
        <f>TONGQUAN!C16</f>
        <v>Đại diện có thẩm quyền của Ngân hàng giám sát</v>
      </c>
      <c r="D81" s="88" t="str">
        <f>TONGQUAN!F16</f>
        <v>Đại diện có thẩm quyền của Công ty quản lý Quỹ</v>
      </c>
    </row>
    <row r="82" spans="1:7" s="90" customFormat="1" ht="16.899999999999999" customHeight="1">
      <c r="A82" s="89" t="str">
        <f>TONGQUAN!C17</f>
        <v>Authorised Representative of Supervisory Bank</v>
      </c>
      <c r="B82" s="89"/>
      <c r="C82" s="89"/>
      <c r="D82" s="89" t="str">
        <f>TONGQUAN!F17</f>
        <v>Authorised Representative of Fund Management Company</v>
      </c>
      <c r="E82" s="89"/>
      <c r="F82" s="89"/>
      <c r="G82" s="8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1" t="str">
        <f>TONGQUAN!C19</f>
        <v>Ngân hàng TNHH MTV Standard Chartered (Việt Nam)</v>
      </c>
      <c r="B90" s="92"/>
      <c r="D90" s="91" t="str">
        <f>TONGQUAN!F19</f>
        <v>Công ty Cổ phần Quản lý Quỹ Đầu tư Việt Nam</v>
      </c>
      <c r="E90" s="92"/>
      <c r="F90" s="92"/>
    </row>
    <row r="91" spans="1:7" ht="16.899999999999999" customHeight="1">
      <c r="A91" s="88" t="str">
        <f>TONGQUAN!C20</f>
        <v>Bùi Thị Huyền Trang</v>
      </c>
      <c r="D91" s="88" t="str">
        <f>TONGQUAN!F20</f>
        <v>Trần Thanh Tân</v>
      </c>
    </row>
    <row r="92" spans="1:7" ht="16.899999999999999" customHeight="1">
      <c r="A92" s="49" t="str">
        <f>TONGQUAN!C21</f>
        <v>Cán bộ Quản lý Nghiệp vụ Dịch vụ Chứng khoán</v>
      </c>
      <c r="D92" s="49" t="str">
        <f>TONGQUAN!F21</f>
        <v>Tổng Giám đốc</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9"/>
  <sheetViews>
    <sheetView view="pageBreakPreview" topLeftCell="A122" zoomScale="95" zoomScaleNormal="100" zoomScaleSheetLayoutView="95" workbookViewId="0">
      <selection activeCell="A122" sqref="A122"/>
    </sheetView>
  </sheetViews>
  <sheetFormatPr defaultColWidth="8.7265625" defaultRowHeight="12.5"/>
  <cols>
    <col min="1" max="1" width="9" style="49" customWidth="1"/>
    <col min="2" max="2" width="39.81640625" style="49" customWidth="1"/>
    <col min="3" max="3" width="9.26953125" style="49" customWidth="1"/>
    <col min="4" max="4" width="17.81640625" style="49" customWidth="1"/>
    <col min="5" max="5" width="18.26953125" style="49" customWidth="1"/>
    <col min="6" max="6" width="21.26953125" style="49" customWidth="1"/>
    <col min="7" max="7" width="15.453125" style="49" customWidth="1"/>
    <col min="8" max="16384" width="8.7265625" style="94"/>
  </cols>
  <sheetData>
    <row r="1" spans="1:7" ht="25.9" customHeight="1">
      <c r="A1" s="260" t="s">
        <v>709</v>
      </c>
      <c r="B1" s="260"/>
      <c r="C1" s="260"/>
      <c r="D1" s="260"/>
      <c r="E1" s="260"/>
      <c r="F1" s="260"/>
      <c r="G1" s="260"/>
    </row>
    <row r="2" spans="1:7" ht="44.5" customHeight="1">
      <c r="A2" s="261" t="s">
        <v>710</v>
      </c>
      <c r="B2" s="261"/>
      <c r="C2" s="261"/>
      <c r="D2" s="261"/>
      <c r="E2" s="261"/>
      <c r="F2" s="261"/>
      <c r="G2" s="261"/>
    </row>
    <row r="3" spans="1:7" ht="15" customHeight="1">
      <c r="A3" s="262" t="s">
        <v>711</v>
      </c>
      <c r="B3" s="262"/>
      <c r="C3" s="262"/>
      <c r="D3" s="262"/>
      <c r="E3" s="262"/>
      <c r="F3" s="262"/>
      <c r="G3" s="262"/>
    </row>
    <row r="4" spans="1:7" ht="27.4" customHeight="1">
      <c r="A4" s="262"/>
      <c r="B4" s="262"/>
      <c r="C4" s="262"/>
      <c r="D4" s="262"/>
      <c r="E4" s="262"/>
      <c r="F4" s="262"/>
      <c r="G4" s="262"/>
    </row>
    <row r="5" spans="1:7" ht="16.899999999999999" customHeight="1">
      <c r="A5" s="263" t="str">
        <f>TONGQUAN!C1</f>
        <v>Tại ngày 30 tháng 06 năm 2020
/ As at 30 Jun 2020</v>
      </c>
      <c r="B5" s="263"/>
      <c r="C5" s="263"/>
      <c r="D5" s="263"/>
      <c r="E5" s="263"/>
      <c r="F5" s="263"/>
      <c r="G5" s="263"/>
    </row>
    <row r="6" spans="1:7" ht="16.899999999999999" customHeight="1"/>
    <row r="7" spans="1:7" ht="16.899999999999999" customHeight="1">
      <c r="A7" s="169" t="s">
        <v>2</v>
      </c>
      <c r="C7" s="283" t="str">
        <f>TONGQUAN!D5</f>
        <v>Công ty Cổ phần Quản lý Quỹ Đầu tư Việt Nam</v>
      </c>
      <c r="D7" s="283"/>
      <c r="E7" s="283"/>
      <c r="F7" s="283"/>
      <c r="G7" s="283"/>
    </row>
    <row r="8" spans="1:7" ht="16.899999999999999" customHeight="1">
      <c r="A8" s="49" t="s">
        <v>41</v>
      </c>
      <c r="C8" s="282" t="str">
        <f>TONGQUAN!D6</f>
        <v>Vietnam Investment Fund Management Joint Stock Company</v>
      </c>
      <c r="D8" s="282"/>
      <c r="E8" s="282"/>
      <c r="F8" s="282"/>
      <c r="G8" s="282"/>
    </row>
    <row r="9" spans="1:7" ht="16.899999999999999" customHeight="1">
      <c r="A9" s="169" t="s">
        <v>3</v>
      </c>
      <c r="C9" s="283" t="str">
        <f>TONGQUAN!D7</f>
        <v>Ngân hàng TNHH Một thành viên Standard Chartered (Việt Nam)</v>
      </c>
      <c r="D9" s="283"/>
      <c r="E9" s="283"/>
      <c r="F9" s="283"/>
      <c r="G9" s="283"/>
    </row>
    <row r="10" spans="1:7" ht="16.899999999999999" customHeight="1">
      <c r="A10" s="49" t="s">
        <v>4</v>
      </c>
      <c r="C10" s="282" t="str">
        <f>TONGQUAN!D8</f>
        <v>Standard Chartered Bank (Vietnam) Limited</v>
      </c>
      <c r="D10" s="282"/>
      <c r="E10" s="282"/>
      <c r="F10" s="282"/>
      <c r="G10" s="282"/>
    </row>
    <row r="11" spans="1:7" ht="16.899999999999999" customHeight="1">
      <c r="A11" s="175" t="s">
        <v>5</v>
      </c>
      <c r="C11" s="283" t="str">
        <f>TONGQUAN!D9</f>
        <v>Quỹ Đầu tư Doanh nghiệp hàng đầu Việt Nam</v>
      </c>
      <c r="D11" s="283"/>
      <c r="E11" s="283"/>
      <c r="F11" s="283"/>
      <c r="G11" s="283"/>
    </row>
    <row r="12" spans="1:7" ht="16.899999999999999" customHeight="1">
      <c r="A12" s="49" t="s">
        <v>6</v>
      </c>
      <c r="C12" s="282" t="str">
        <f>TONGQUAN!D10</f>
        <v>Vietnam Blue Chip Fund(VFMVF4)</v>
      </c>
      <c r="D12" s="282"/>
      <c r="E12" s="282"/>
      <c r="F12" s="282"/>
      <c r="G12" s="282"/>
    </row>
    <row r="13" spans="1:7" ht="16.899999999999999" customHeight="1">
      <c r="A13" s="169" t="s">
        <v>7</v>
      </c>
      <c r="C13" s="283" t="str">
        <f>TONGQUAN!D11</f>
        <v>Ngày 06 tháng 07 năm 2020</v>
      </c>
      <c r="D13" s="283"/>
      <c r="E13" s="283"/>
      <c r="F13" s="283"/>
      <c r="G13" s="283"/>
    </row>
    <row r="14" spans="1:7" ht="16.899999999999999" customHeight="1">
      <c r="A14" s="49" t="s">
        <v>8</v>
      </c>
      <c r="C14" s="282" t="str">
        <f>TONGQUAN!D12</f>
        <v>06 Jul 2020</v>
      </c>
      <c r="D14" s="282"/>
      <c r="E14" s="282"/>
      <c r="F14" s="282"/>
      <c r="G14" s="282"/>
    </row>
    <row r="15" spans="1:7" ht="18" hidden="1" customHeight="1"/>
    <row r="16" spans="1:7" s="247" customFormat="1" ht="16.899999999999999" customHeight="1">
      <c r="A16" s="242" t="s">
        <v>1208</v>
      </c>
      <c r="B16" s="243" t="s">
        <v>1209</v>
      </c>
      <c r="C16" s="246"/>
      <c r="D16" s="246"/>
      <c r="E16" s="246"/>
      <c r="F16" s="246"/>
      <c r="G16" s="246"/>
    </row>
    <row r="17" spans="1:7" s="247" customFormat="1" ht="16.899999999999999" customHeight="1">
      <c r="A17" s="242" t="s">
        <v>54</v>
      </c>
      <c r="B17" s="243" t="s">
        <v>713</v>
      </c>
      <c r="C17" s="246"/>
      <c r="D17" s="246"/>
      <c r="E17" s="246"/>
      <c r="F17" s="246"/>
      <c r="G17" s="246"/>
    </row>
    <row r="18" spans="1:7" ht="75.400000000000006" customHeight="1">
      <c r="A18" s="95" t="s">
        <v>302</v>
      </c>
      <c r="B18" s="95" t="s">
        <v>144</v>
      </c>
      <c r="C18" s="95" t="s">
        <v>45</v>
      </c>
      <c r="D18" s="95" t="s">
        <v>145</v>
      </c>
      <c r="E18" s="95" t="s">
        <v>146</v>
      </c>
      <c r="F18" s="95" t="s">
        <v>147</v>
      </c>
      <c r="G18" s="95" t="s">
        <v>148</v>
      </c>
    </row>
    <row r="19" spans="1:7" ht="39" customHeight="1">
      <c r="A19" s="224" t="s">
        <v>949</v>
      </c>
      <c r="B19" s="223" t="s">
        <v>950</v>
      </c>
      <c r="C19" s="224" t="s">
        <v>951</v>
      </c>
      <c r="D19" s="226"/>
      <c r="E19" s="226"/>
      <c r="F19" s="226"/>
      <c r="G19" s="225"/>
    </row>
    <row r="20" spans="1:7" ht="34" customHeight="1">
      <c r="A20" s="219" t="s">
        <v>952</v>
      </c>
      <c r="B20" s="218" t="s">
        <v>953</v>
      </c>
      <c r="C20" s="220" t="s">
        <v>954</v>
      </c>
      <c r="D20" s="222">
        <v>400000</v>
      </c>
      <c r="E20" s="228">
        <v>22800</v>
      </c>
      <c r="F20" s="222">
        <v>9120000000</v>
      </c>
      <c r="G20" s="221">
        <v>2.10850512484296E-2</v>
      </c>
    </row>
    <row r="21" spans="1:7" ht="34" customHeight="1">
      <c r="A21" s="219" t="s">
        <v>955</v>
      </c>
      <c r="B21" s="218" t="s">
        <v>956</v>
      </c>
      <c r="C21" s="220" t="s">
        <v>957</v>
      </c>
      <c r="D21" s="222">
        <v>70000</v>
      </c>
      <c r="E21" s="228">
        <v>58300</v>
      </c>
      <c r="F21" s="222">
        <v>4081000000</v>
      </c>
      <c r="G21" s="221">
        <v>9.4350980421975001E-3</v>
      </c>
    </row>
    <row r="22" spans="1:7" ht="34" customHeight="1">
      <c r="A22" s="219" t="s">
        <v>958</v>
      </c>
      <c r="B22" s="218" t="s">
        <v>959</v>
      </c>
      <c r="C22" s="220" t="s">
        <v>960</v>
      </c>
      <c r="D22" s="222">
        <v>768000</v>
      </c>
      <c r="E22" s="228">
        <v>37900</v>
      </c>
      <c r="F22" s="222">
        <v>29107200000</v>
      </c>
      <c r="G22" s="221">
        <v>6.7294605668672194E-2</v>
      </c>
    </row>
    <row r="23" spans="1:7" ht="34" customHeight="1">
      <c r="A23" s="219" t="s">
        <v>961</v>
      </c>
      <c r="B23" s="218" t="s">
        <v>962</v>
      </c>
      <c r="C23" s="220" t="s">
        <v>963</v>
      </c>
      <c r="D23" s="222">
        <v>85000</v>
      </c>
      <c r="E23" s="228">
        <v>51900</v>
      </c>
      <c r="F23" s="222">
        <v>4411500000</v>
      </c>
      <c r="G23" s="221">
        <v>1.01991999542157E-2</v>
      </c>
    </row>
    <row r="24" spans="1:7" ht="34" customHeight="1">
      <c r="A24" s="219" t="s">
        <v>964</v>
      </c>
      <c r="B24" s="218" t="s">
        <v>965</v>
      </c>
      <c r="C24" s="220" t="s">
        <v>966</v>
      </c>
      <c r="D24" s="222">
        <v>10</v>
      </c>
      <c r="E24" s="228">
        <v>45500</v>
      </c>
      <c r="F24" s="222">
        <v>455000</v>
      </c>
      <c r="G24" s="221">
        <v>1.0519406050477501E-6</v>
      </c>
    </row>
    <row r="25" spans="1:7" ht="34" customHeight="1">
      <c r="A25" s="219" t="s">
        <v>967</v>
      </c>
      <c r="B25" s="218" t="s">
        <v>968</v>
      </c>
      <c r="C25" s="220" t="s">
        <v>969</v>
      </c>
      <c r="D25" s="222">
        <v>10</v>
      </c>
      <c r="E25" s="228">
        <v>69600</v>
      </c>
      <c r="F25" s="222">
        <v>696000</v>
      </c>
      <c r="G25" s="221">
        <v>1.6091223321169999E-6</v>
      </c>
    </row>
    <row r="26" spans="1:7" ht="34" customHeight="1">
      <c r="A26" s="219" t="s">
        <v>970</v>
      </c>
      <c r="B26" s="218" t="s">
        <v>971</v>
      </c>
      <c r="C26" s="220" t="s">
        <v>972</v>
      </c>
      <c r="D26" s="222">
        <v>615000</v>
      </c>
      <c r="E26" s="228">
        <v>21550</v>
      </c>
      <c r="F26" s="222">
        <v>13253250000</v>
      </c>
      <c r="G26" s="221">
        <v>3.0640949063404602E-2</v>
      </c>
    </row>
    <row r="27" spans="1:7" ht="34" customHeight="1">
      <c r="A27" s="219" t="s">
        <v>973</v>
      </c>
      <c r="B27" s="218" t="s">
        <v>974</v>
      </c>
      <c r="C27" s="220" t="s">
        <v>975</v>
      </c>
      <c r="D27" s="222">
        <v>750000</v>
      </c>
      <c r="E27" s="228">
        <v>11200</v>
      </c>
      <c r="F27" s="222">
        <v>8400000000</v>
      </c>
      <c r="G27" s="221">
        <v>1.94204419393431E-2</v>
      </c>
    </row>
    <row r="28" spans="1:7" ht="34" customHeight="1">
      <c r="A28" s="219" t="s">
        <v>976</v>
      </c>
      <c r="B28" s="218" t="s">
        <v>977</v>
      </c>
      <c r="C28" s="220" t="s">
        <v>978</v>
      </c>
      <c r="D28" s="222">
        <v>55010</v>
      </c>
      <c r="E28" s="228">
        <v>17800</v>
      </c>
      <c r="F28" s="222">
        <v>979178000</v>
      </c>
      <c r="G28" s="221">
        <v>2.2638177972954801E-3</v>
      </c>
    </row>
    <row r="29" spans="1:7" ht="34" customHeight="1">
      <c r="A29" s="219" t="s">
        <v>979</v>
      </c>
      <c r="B29" s="218" t="s">
        <v>980</v>
      </c>
      <c r="C29" s="220" t="s">
        <v>981</v>
      </c>
      <c r="D29" s="222">
        <v>874000</v>
      </c>
      <c r="E29" s="228">
        <v>45650</v>
      </c>
      <c r="F29" s="222">
        <v>39898100000</v>
      </c>
      <c r="G29" s="221">
        <v>9.2242706492869406E-2</v>
      </c>
    </row>
    <row r="30" spans="1:7" ht="34" customHeight="1">
      <c r="A30" s="219" t="s">
        <v>982</v>
      </c>
      <c r="B30" s="218" t="s">
        <v>983</v>
      </c>
      <c r="C30" s="220" t="s">
        <v>984</v>
      </c>
      <c r="D30" s="222">
        <v>240000</v>
      </c>
      <c r="E30" s="228">
        <v>69000</v>
      </c>
      <c r="F30" s="222">
        <v>16560000000</v>
      </c>
      <c r="G30" s="221">
        <v>3.8286014108990601E-2</v>
      </c>
    </row>
    <row r="31" spans="1:7" ht="34" customHeight="1">
      <c r="A31" s="219" t="s">
        <v>985</v>
      </c>
      <c r="B31" s="218" t="s">
        <v>986</v>
      </c>
      <c r="C31" s="220" t="s">
        <v>987</v>
      </c>
      <c r="D31" s="222">
        <v>37010</v>
      </c>
      <c r="E31" s="228">
        <v>24800</v>
      </c>
      <c r="F31" s="222">
        <v>917848000</v>
      </c>
      <c r="G31" s="221">
        <v>2.1220254515645401E-3</v>
      </c>
    </row>
    <row r="32" spans="1:7" ht="34" customHeight="1">
      <c r="A32" s="219" t="s">
        <v>988</v>
      </c>
      <c r="B32" s="218" t="s">
        <v>989</v>
      </c>
      <c r="C32" s="220" t="s">
        <v>990</v>
      </c>
      <c r="D32" s="222">
        <v>1000000</v>
      </c>
      <c r="E32" s="228">
        <v>26800</v>
      </c>
      <c r="F32" s="222">
        <v>26800000000</v>
      </c>
      <c r="G32" s="221">
        <v>6.1960457615999297E-2</v>
      </c>
    </row>
    <row r="33" spans="1:7" ht="34" customHeight="1">
      <c r="A33" s="219" t="s">
        <v>991</v>
      </c>
      <c r="B33" s="218" t="s">
        <v>992</v>
      </c>
      <c r="C33" s="220" t="s">
        <v>993</v>
      </c>
      <c r="D33" s="222">
        <v>650000</v>
      </c>
      <c r="E33" s="228">
        <v>13850</v>
      </c>
      <c r="F33" s="222">
        <v>9002500000</v>
      </c>
      <c r="G33" s="221">
        <v>2.0813396257016201E-2</v>
      </c>
    </row>
    <row r="34" spans="1:7" ht="34" customHeight="1">
      <c r="A34" s="219" t="s">
        <v>994</v>
      </c>
      <c r="B34" s="218" t="s">
        <v>995</v>
      </c>
      <c r="C34" s="220" t="s">
        <v>996</v>
      </c>
      <c r="D34" s="222">
        <v>300000</v>
      </c>
      <c r="E34" s="228">
        <v>23200</v>
      </c>
      <c r="F34" s="222">
        <v>6960000000</v>
      </c>
      <c r="G34" s="221">
        <v>1.6091223321169999E-2</v>
      </c>
    </row>
    <row r="35" spans="1:7" ht="34" customHeight="1">
      <c r="A35" s="219" t="s">
        <v>997</v>
      </c>
      <c r="B35" s="218" t="s">
        <v>998</v>
      </c>
      <c r="C35" s="220" t="s">
        <v>999</v>
      </c>
      <c r="D35" s="222">
        <v>560000</v>
      </c>
      <c r="E35" s="228">
        <v>21250</v>
      </c>
      <c r="F35" s="222">
        <v>11900000000</v>
      </c>
      <c r="G35" s="221">
        <v>2.7512292747402699E-2</v>
      </c>
    </row>
    <row r="36" spans="1:7" ht="34" customHeight="1">
      <c r="A36" s="219" t="s">
        <v>1000</v>
      </c>
      <c r="B36" s="218" t="s">
        <v>1001</v>
      </c>
      <c r="C36" s="220" t="s">
        <v>1002</v>
      </c>
      <c r="D36" s="222">
        <v>452000</v>
      </c>
      <c r="E36" s="228">
        <v>16600</v>
      </c>
      <c r="F36" s="222">
        <v>7503200000</v>
      </c>
      <c r="G36" s="221">
        <v>1.7347078566580802E-2</v>
      </c>
    </row>
    <row r="37" spans="1:7" ht="34" customHeight="1">
      <c r="A37" s="219" t="s">
        <v>1003</v>
      </c>
      <c r="B37" s="218" t="s">
        <v>1004</v>
      </c>
      <c r="C37" s="220" t="s">
        <v>1005</v>
      </c>
      <c r="D37" s="222">
        <v>120000</v>
      </c>
      <c r="E37" s="228">
        <v>32950</v>
      </c>
      <c r="F37" s="222">
        <v>3954000000</v>
      </c>
      <c r="G37" s="221">
        <v>9.1414794557336202E-3</v>
      </c>
    </row>
    <row r="38" spans="1:7" ht="34" customHeight="1">
      <c r="A38" s="219" t="s">
        <v>1006</v>
      </c>
      <c r="B38" s="218" t="s">
        <v>1007</v>
      </c>
      <c r="C38" s="220" t="s">
        <v>1008</v>
      </c>
      <c r="D38" s="222">
        <v>27010</v>
      </c>
      <c r="E38" s="228">
        <v>54100</v>
      </c>
      <c r="F38" s="222">
        <v>1461241000</v>
      </c>
      <c r="G38" s="221">
        <v>3.3783269047485201E-3</v>
      </c>
    </row>
    <row r="39" spans="1:7" ht="34" customHeight="1">
      <c r="A39" s="219" t="s">
        <v>1009</v>
      </c>
      <c r="B39" s="218" t="s">
        <v>1010</v>
      </c>
      <c r="C39" s="220" t="s">
        <v>1011</v>
      </c>
      <c r="D39" s="222">
        <v>360000</v>
      </c>
      <c r="E39" s="228">
        <v>80800</v>
      </c>
      <c r="F39" s="222">
        <v>29088000000</v>
      </c>
      <c r="G39" s="221">
        <v>6.7250216087096498E-2</v>
      </c>
    </row>
    <row r="40" spans="1:7" ht="34" customHeight="1">
      <c r="A40" s="219" t="s">
        <v>1012</v>
      </c>
      <c r="B40" s="218" t="s">
        <v>1013</v>
      </c>
      <c r="C40" s="220" t="s">
        <v>1014</v>
      </c>
      <c r="D40" s="222">
        <v>300000</v>
      </c>
      <c r="E40" s="228">
        <v>24500</v>
      </c>
      <c r="F40" s="222">
        <v>7350000000</v>
      </c>
      <c r="G40" s="221">
        <v>1.69928866969252E-2</v>
      </c>
    </row>
    <row r="41" spans="1:7" ht="34" customHeight="1">
      <c r="A41" s="219" t="s">
        <v>1015</v>
      </c>
      <c r="B41" s="218" t="s">
        <v>1016</v>
      </c>
      <c r="C41" s="220" t="s">
        <v>1017</v>
      </c>
      <c r="D41" s="222">
        <v>25000</v>
      </c>
      <c r="E41" s="228">
        <v>188800</v>
      </c>
      <c r="F41" s="222">
        <v>4720000000</v>
      </c>
      <c r="G41" s="221">
        <v>1.09124388040118E-2</v>
      </c>
    </row>
    <row r="42" spans="1:7" ht="34" customHeight="1">
      <c r="A42" s="219" t="s">
        <v>1018</v>
      </c>
      <c r="B42" s="218" t="s">
        <v>1019</v>
      </c>
      <c r="C42" s="220" t="s">
        <v>1020</v>
      </c>
      <c r="D42" s="222">
        <v>20010</v>
      </c>
      <c r="E42" s="228">
        <v>61500</v>
      </c>
      <c r="F42" s="222">
        <v>1230615000</v>
      </c>
      <c r="G42" s="221">
        <v>2.8451294234743598E-3</v>
      </c>
    </row>
    <row r="43" spans="1:7" ht="34" customHeight="1">
      <c r="A43" s="219" t="s">
        <v>1021</v>
      </c>
      <c r="B43" s="218" t="s">
        <v>1022</v>
      </c>
      <c r="C43" s="220" t="s">
        <v>1023</v>
      </c>
      <c r="D43" s="222">
        <v>243500</v>
      </c>
      <c r="E43" s="228">
        <v>49700</v>
      </c>
      <c r="F43" s="222">
        <v>12101950000</v>
      </c>
      <c r="G43" s="221">
        <v>2.7979192539027701E-2</v>
      </c>
    </row>
    <row r="44" spans="1:7" ht="34" customHeight="1">
      <c r="A44" s="219" t="s">
        <v>1024</v>
      </c>
      <c r="B44" s="218" t="s">
        <v>1025</v>
      </c>
      <c r="C44" s="220" t="s">
        <v>1026</v>
      </c>
      <c r="D44" s="222">
        <v>90000</v>
      </c>
      <c r="E44" s="228">
        <v>44500</v>
      </c>
      <c r="F44" s="222">
        <v>4005000000</v>
      </c>
      <c r="G44" s="221">
        <v>9.2593892817939196E-3</v>
      </c>
    </row>
    <row r="45" spans="1:7" ht="34" customHeight="1">
      <c r="A45" s="219" t="s">
        <v>1027</v>
      </c>
      <c r="B45" s="218" t="s">
        <v>1028</v>
      </c>
      <c r="C45" s="220" t="s">
        <v>1029</v>
      </c>
      <c r="D45" s="222">
        <v>210000</v>
      </c>
      <c r="E45" s="228">
        <v>57400</v>
      </c>
      <c r="F45" s="222">
        <v>12054000000</v>
      </c>
      <c r="G45" s="221">
        <v>2.78683341829573E-2</v>
      </c>
    </row>
    <row r="46" spans="1:7" ht="34" customHeight="1">
      <c r="A46" s="219" t="s">
        <v>1030</v>
      </c>
      <c r="B46" s="218" t="s">
        <v>1031</v>
      </c>
      <c r="C46" s="220" t="s">
        <v>1032</v>
      </c>
      <c r="D46" s="222">
        <v>10</v>
      </c>
      <c r="E46" s="228">
        <v>9700</v>
      </c>
      <c r="F46" s="222">
        <v>97000</v>
      </c>
      <c r="G46" s="221">
        <v>2.24259865251938E-7</v>
      </c>
    </row>
    <row r="47" spans="1:7" ht="34" customHeight="1">
      <c r="A47" s="219" t="s">
        <v>1033</v>
      </c>
      <c r="B47" s="218" t="s">
        <v>1034</v>
      </c>
      <c r="C47" s="220" t="s">
        <v>1035</v>
      </c>
      <c r="D47" s="222">
        <v>150000</v>
      </c>
      <c r="E47" s="228">
        <v>49000</v>
      </c>
      <c r="F47" s="222">
        <v>7350000000</v>
      </c>
      <c r="G47" s="221">
        <v>1.69928866969252E-2</v>
      </c>
    </row>
    <row r="48" spans="1:7" ht="34" customHeight="1">
      <c r="A48" s="219" t="s">
        <v>1036</v>
      </c>
      <c r="B48" s="218" t="s">
        <v>1037</v>
      </c>
      <c r="C48" s="220" t="s">
        <v>1038</v>
      </c>
      <c r="D48" s="222">
        <v>10</v>
      </c>
      <c r="E48" s="228">
        <v>30650</v>
      </c>
      <c r="F48" s="222">
        <v>306500</v>
      </c>
      <c r="G48" s="221">
        <v>7.0861493504864801E-7</v>
      </c>
    </row>
    <row r="49" spans="1:7" ht="34" customHeight="1">
      <c r="A49" s="219" t="s">
        <v>1039</v>
      </c>
      <c r="B49" s="218" t="s">
        <v>1040</v>
      </c>
      <c r="C49" s="220" t="s">
        <v>1041</v>
      </c>
      <c r="D49" s="222">
        <v>10</v>
      </c>
      <c r="E49" s="228">
        <v>2970</v>
      </c>
      <c r="F49" s="222">
        <v>29700</v>
      </c>
      <c r="G49" s="221">
        <v>6.8665133999820094E-8</v>
      </c>
    </row>
    <row r="50" spans="1:7" ht="34" customHeight="1">
      <c r="A50" s="219" t="s">
        <v>1042</v>
      </c>
      <c r="B50" s="218" t="s">
        <v>1043</v>
      </c>
      <c r="C50" s="220" t="s">
        <v>1044</v>
      </c>
      <c r="D50" s="222">
        <v>4010</v>
      </c>
      <c r="E50" s="228">
        <v>157000</v>
      </c>
      <c r="F50" s="222">
        <v>629570000</v>
      </c>
      <c r="G50" s="221">
        <v>1.45553900378002E-3</v>
      </c>
    </row>
    <row r="51" spans="1:7" ht="34" customHeight="1">
      <c r="A51" s="219" t="s">
        <v>1045</v>
      </c>
      <c r="B51" s="218" t="s">
        <v>1046</v>
      </c>
      <c r="C51" s="220" t="s">
        <v>1047</v>
      </c>
      <c r="D51" s="222">
        <v>10</v>
      </c>
      <c r="E51" s="228">
        <v>13350</v>
      </c>
      <c r="F51" s="222">
        <v>133500</v>
      </c>
      <c r="G51" s="221">
        <v>3.0864630939313103E-7</v>
      </c>
    </row>
    <row r="52" spans="1:7" ht="34" customHeight="1">
      <c r="A52" s="219" t="s">
        <v>1048</v>
      </c>
      <c r="B52" s="218" t="s">
        <v>1049</v>
      </c>
      <c r="C52" s="220" t="s">
        <v>1050</v>
      </c>
      <c r="D52" s="222">
        <v>11</v>
      </c>
      <c r="E52" s="228">
        <v>14800</v>
      </c>
      <c r="F52" s="222">
        <v>162800</v>
      </c>
      <c r="G52" s="221">
        <v>3.7638666044345802E-7</v>
      </c>
    </row>
    <row r="53" spans="1:7" ht="34" customHeight="1">
      <c r="A53" s="219" t="s">
        <v>1051</v>
      </c>
      <c r="B53" s="218" t="s">
        <v>1052</v>
      </c>
      <c r="C53" s="220" t="s">
        <v>1053</v>
      </c>
      <c r="D53" s="222">
        <v>100010</v>
      </c>
      <c r="E53" s="228">
        <v>10750</v>
      </c>
      <c r="F53" s="222">
        <v>1075107500</v>
      </c>
      <c r="G53" s="221">
        <v>2.4856027121788402E-3</v>
      </c>
    </row>
    <row r="54" spans="1:7" ht="34" customHeight="1">
      <c r="A54" s="219" t="s">
        <v>1054</v>
      </c>
      <c r="B54" s="218" t="s">
        <v>1055</v>
      </c>
      <c r="C54" s="220" t="s">
        <v>1056</v>
      </c>
      <c r="D54" s="222">
        <v>400000</v>
      </c>
      <c r="E54" s="228">
        <v>18400</v>
      </c>
      <c r="F54" s="222">
        <v>7360000000</v>
      </c>
      <c r="G54" s="221">
        <v>1.70160062706625E-2</v>
      </c>
    </row>
    <row r="55" spans="1:7" ht="34" customHeight="1">
      <c r="A55" s="219" t="s">
        <v>1057</v>
      </c>
      <c r="B55" s="218" t="s">
        <v>1058</v>
      </c>
      <c r="C55" s="220" t="s">
        <v>1059</v>
      </c>
      <c r="D55" s="222">
        <v>674000</v>
      </c>
      <c r="E55" s="228">
        <v>19550</v>
      </c>
      <c r="F55" s="222">
        <v>13176700000</v>
      </c>
      <c r="G55" s="221">
        <v>3.0463968726445401E-2</v>
      </c>
    </row>
    <row r="56" spans="1:7" ht="34" customHeight="1">
      <c r="A56" s="219" t="s">
        <v>1060</v>
      </c>
      <c r="B56" s="218" t="s">
        <v>1061</v>
      </c>
      <c r="C56" s="220" t="s">
        <v>1062</v>
      </c>
      <c r="D56" s="222">
        <v>510000</v>
      </c>
      <c r="E56" s="228">
        <v>80300</v>
      </c>
      <c r="F56" s="222">
        <v>40953000000</v>
      </c>
      <c r="G56" s="221">
        <v>9.4681590326418597E-2</v>
      </c>
    </row>
    <row r="57" spans="1:7" ht="34" customHeight="1">
      <c r="A57" s="219" t="s">
        <v>1063</v>
      </c>
      <c r="B57" s="218" t="s">
        <v>1064</v>
      </c>
      <c r="C57" s="220" t="s">
        <v>1065</v>
      </c>
      <c r="D57" s="222">
        <v>110000</v>
      </c>
      <c r="E57" s="228">
        <v>42100</v>
      </c>
      <c r="F57" s="222">
        <v>4631000000</v>
      </c>
      <c r="G57" s="221">
        <v>1.07066745977497E-2</v>
      </c>
    </row>
    <row r="58" spans="1:7" ht="34" customHeight="1">
      <c r="A58" s="219" t="s">
        <v>1066</v>
      </c>
      <c r="B58" s="218" t="s">
        <v>1067</v>
      </c>
      <c r="C58" s="220" t="s">
        <v>1068</v>
      </c>
      <c r="D58" s="222">
        <v>400000</v>
      </c>
      <c r="E58" s="228">
        <v>35100</v>
      </c>
      <c r="F58" s="222">
        <v>14040000000</v>
      </c>
      <c r="G58" s="221">
        <v>3.2459881527187699E-2</v>
      </c>
    </row>
    <row r="59" spans="1:7" ht="34" customHeight="1">
      <c r="A59" s="219" t="s">
        <v>1069</v>
      </c>
      <c r="B59" s="218" t="s">
        <v>1070</v>
      </c>
      <c r="C59" s="220" t="s">
        <v>1071</v>
      </c>
      <c r="D59" s="222">
        <v>260000</v>
      </c>
      <c r="E59" s="228">
        <v>75500</v>
      </c>
      <c r="F59" s="222">
        <v>19630000000</v>
      </c>
      <c r="G59" s="221">
        <v>4.5383723246345702E-2</v>
      </c>
    </row>
    <row r="60" spans="1:7" ht="34" customHeight="1">
      <c r="A60" s="219" t="s">
        <v>1072</v>
      </c>
      <c r="B60" s="218" t="s">
        <v>1073</v>
      </c>
      <c r="C60" s="220" t="s">
        <v>1074</v>
      </c>
      <c r="D60" s="222">
        <v>113000</v>
      </c>
      <c r="E60" s="228">
        <v>89000</v>
      </c>
      <c r="F60" s="222">
        <v>10057000000</v>
      </c>
      <c r="G60" s="221">
        <v>2.3251355307615799E-2</v>
      </c>
    </row>
    <row r="61" spans="1:7" ht="34" customHeight="1">
      <c r="A61" s="219" t="s">
        <v>1075</v>
      </c>
      <c r="B61" s="218" t="s">
        <v>1076</v>
      </c>
      <c r="C61" s="220" t="s">
        <v>1077</v>
      </c>
      <c r="D61" s="222">
        <v>19010</v>
      </c>
      <c r="E61" s="228">
        <v>108000</v>
      </c>
      <c r="F61" s="222">
        <v>2053080000</v>
      </c>
      <c r="G61" s="221">
        <v>4.7466334448602902E-3</v>
      </c>
    </row>
    <row r="62" spans="1:7" ht="34" customHeight="1">
      <c r="A62" s="219" t="s">
        <v>1078</v>
      </c>
      <c r="B62" s="218" t="s">
        <v>1079</v>
      </c>
      <c r="C62" s="220" t="s">
        <v>1080</v>
      </c>
      <c r="D62" s="222">
        <v>160000</v>
      </c>
      <c r="E62" s="228">
        <v>112700</v>
      </c>
      <c r="F62" s="222">
        <v>18032000000</v>
      </c>
      <c r="G62" s="221">
        <v>4.1689215363123103E-2</v>
      </c>
    </row>
    <row r="63" spans="1:7" ht="34" customHeight="1">
      <c r="A63" s="219" t="s">
        <v>1081</v>
      </c>
      <c r="B63" s="218" t="s">
        <v>1082</v>
      </c>
      <c r="C63" s="220" t="s">
        <v>1083</v>
      </c>
      <c r="D63" s="222">
        <v>427000</v>
      </c>
      <c r="E63" s="228">
        <v>20450</v>
      </c>
      <c r="F63" s="222">
        <v>8732150000</v>
      </c>
      <c r="G63" s="221">
        <v>2.0188358581027899E-2</v>
      </c>
    </row>
    <row r="64" spans="1:7" ht="34" customHeight="1">
      <c r="A64" s="219" t="s">
        <v>1084</v>
      </c>
      <c r="B64" s="218" t="s">
        <v>1085</v>
      </c>
      <c r="C64" s="220" t="s">
        <v>1086</v>
      </c>
      <c r="D64" s="222">
        <v>250000</v>
      </c>
      <c r="E64" s="228">
        <v>24800</v>
      </c>
      <c r="F64" s="222">
        <v>6200000000</v>
      </c>
      <c r="G64" s="221">
        <v>1.4334135717134201E-2</v>
      </c>
    </row>
    <row r="65" spans="1:7" ht="39" customHeight="1">
      <c r="A65" s="224"/>
      <c r="B65" s="223" t="s">
        <v>1087</v>
      </c>
      <c r="C65" s="224" t="s">
        <v>1088</v>
      </c>
      <c r="D65" s="226"/>
      <c r="E65" s="226"/>
      <c r="F65" s="226">
        <v>418780070000</v>
      </c>
      <c r="G65" s="225">
        <v>0.96820167080821695</v>
      </c>
    </row>
    <row r="66" spans="1:7" ht="39" customHeight="1">
      <c r="A66" s="224" t="s">
        <v>1089</v>
      </c>
      <c r="B66" s="223" t="s">
        <v>1090</v>
      </c>
      <c r="C66" s="224" t="s">
        <v>1091</v>
      </c>
      <c r="D66" s="226"/>
      <c r="E66" s="226"/>
      <c r="F66" s="226"/>
      <c r="G66" s="225"/>
    </row>
    <row r="67" spans="1:7" ht="39" customHeight="1">
      <c r="A67" s="224"/>
      <c r="B67" s="223" t="s">
        <v>1092</v>
      </c>
      <c r="C67" s="224" t="s">
        <v>1093</v>
      </c>
      <c r="D67" s="226">
        <v>0</v>
      </c>
      <c r="E67" s="226"/>
      <c r="F67" s="226">
        <v>0</v>
      </c>
      <c r="G67" s="225">
        <v>0</v>
      </c>
    </row>
    <row r="68" spans="1:7" ht="39" customHeight="1">
      <c r="A68" s="224"/>
      <c r="B68" s="223" t="s">
        <v>1094</v>
      </c>
      <c r="C68" s="224" t="s">
        <v>1095</v>
      </c>
      <c r="D68" s="226"/>
      <c r="E68" s="226"/>
      <c r="F68" s="226">
        <v>418780070000</v>
      </c>
      <c r="G68" s="225">
        <v>0.96820167080821695</v>
      </c>
    </row>
    <row r="69" spans="1:7" ht="39" customHeight="1">
      <c r="A69" s="224" t="s">
        <v>1096</v>
      </c>
      <c r="B69" s="223" t="s">
        <v>1097</v>
      </c>
      <c r="C69" s="224" t="s">
        <v>1098</v>
      </c>
      <c r="D69" s="226"/>
      <c r="E69" s="226"/>
      <c r="F69" s="226"/>
      <c r="G69" s="225"/>
    </row>
    <row r="70" spans="1:7" ht="39" customHeight="1">
      <c r="A70" s="219" t="s">
        <v>1099</v>
      </c>
      <c r="B70" s="218" t="s">
        <v>1100</v>
      </c>
      <c r="C70" s="220" t="s">
        <v>1101</v>
      </c>
      <c r="D70" s="222">
        <v>0</v>
      </c>
      <c r="E70" s="228"/>
      <c r="F70" s="222">
        <v>0</v>
      </c>
      <c r="G70" s="221">
        <v>0</v>
      </c>
    </row>
    <row r="71" spans="1:7" ht="39" customHeight="1">
      <c r="A71" s="219" t="s">
        <v>1102</v>
      </c>
      <c r="B71" s="218" t="s">
        <v>1103</v>
      </c>
      <c r="C71" s="220" t="s">
        <v>1104</v>
      </c>
      <c r="D71" s="222">
        <v>0</v>
      </c>
      <c r="E71" s="228"/>
      <c r="F71" s="222">
        <v>0</v>
      </c>
      <c r="G71" s="221">
        <v>0</v>
      </c>
    </row>
    <row r="72" spans="1:7" ht="39" customHeight="1">
      <c r="A72" s="224"/>
      <c r="B72" s="223" t="s">
        <v>1105</v>
      </c>
      <c r="C72" s="224" t="s">
        <v>1106</v>
      </c>
      <c r="D72" s="226">
        <v>0</v>
      </c>
      <c r="E72" s="226"/>
      <c r="F72" s="226">
        <v>0</v>
      </c>
      <c r="G72" s="225">
        <v>0</v>
      </c>
    </row>
    <row r="73" spans="1:7" ht="39" customHeight="1">
      <c r="A73" s="224" t="s">
        <v>1107</v>
      </c>
      <c r="B73" s="223" t="s">
        <v>1108</v>
      </c>
      <c r="C73" s="224" t="s">
        <v>1109</v>
      </c>
      <c r="D73" s="226"/>
      <c r="E73" s="226"/>
      <c r="F73" s="226"/>
      <c r="G73" s="225"/>
    </row>
    <row r="74" spans="1:7" ht="39" customHeight="1">
      <c r="A74" s="219" t="s">
        <v>1110</v>
      </c>
      <c r="B74" s="218" t="s">
        <v>1111</v>
      </c>
      <c r="C74" s="220" t="s">
        <v>1112</v>
      </c>
      <c r="D74" s="222">
        <v>0</v>
      </c>
      <c r="E74" s="228"/>
      <c r="F74" s="222">
        <v>0</v>
      </c>
      <c r="G74" s="221">
        <v>0</v>
      </c>
    </row>
    <row r="75" spans="1:7" ht="39" customHeight="1">
      <c r="A75" s="219" t="s">
        <v>1113</v>
      </c>
      <c r="B75" s="218" t="s">
        <v>1114</v>
      </c>
      <c r="C75" s="220" t="s">
        <v>1115</v>
      </c>
      <c r="D75" s="222">
        <v>0</v>
      </c>
      <c r="E75" s="228"/>
      <c r="F75" s="222">
        <v>0</v>
      </c>
      <c r="G75" s="221">
        <v>0</v>
      </c>
    </row>
    <row r="76" spans="1:7" ht="34" customHeight="1">
      <c r="A76" s="224"/>
      <c r="B76" s="223" t="s">
        <v>1116</v>
      </c>
      <c r="C76" s="224" t="s">
        <v>1117</v>
      </c>
      <c r="D76" s="226"/>
      <c r="E76" s="226"/>
      <c r="F76" s="226">
        <v>0</v>
      </c>
      <c r="G76" s="225">
        <v>0</v>
      </c>
    </row>
    <row r="77" spans="1:7" ht="39" customHeight="1">
      <c r="A77" s="224"/>
      <c r="B77" s="223" t="s">
        <v>1118</v>
      </c>
      <c r="C77" s="224" t="s">
        <v>1119</v>
      </c>
      <c r="D77" s="226"/>
      <c r="E77" s="226"/>
      <c r="F77" s="226">
        <v>418780070000</v>
      </c>
      <c r="G77" s="225">
        <v>0.96820167080821695</v>
      </c>
    </row>
    <row r="78" spans="1:7" ht="39" customHeight="1">
      <c r="A78" s="224" t="s">
        <v>1120</v>
      </c>
      <c r="B78" s="223" t="s">
        <v>1121</v>
      </c>
      <c r="C78" s="224" t="s">
        <v>1122</v>
      </c>
      <c r="D78" s="226"/>
      <c r="E78" s="226"/>
      <c r="F78" s="226"/>
      <c r="G78" s="225"/>
    </row>
    <row r="79" spans="1:7" ht="39" customHeight="1">
      <c r="A79" s="219" t="s">
        <v>1123</v>
      </c>
      <c r="B79" s="218" t="s">
        <v>1124</v>
      </c>
      <c r="C79" s="220" t="s">
        <v>1125</v>
      </c>
      <c r="D79" s="222"/>
      <c r="E79" s="228"/>
      <c r="F79" s="222">
        <v>240000000</v>
      </c>
      <c r="G79" s="221">
        <v>5.5486976969551603E-4</v>
      </c>
    </row>
    <row r="80" spans="1:7" ht="39" customHeight="1">
      <c r="A80" s="219" t="s">
        <v>1126</v>
      </c>
      <c r="B80" s="218" t="s">
        <v>1127</v>
      </c>
      <c r="C80" s="220" t="s">
        <v>1128</v>
      </c>
      <c r="D80" s="222"/>
      <c r="E80" s="228"/>
      <c r="F80" s="222">
        <v>0</v>
      </c>
      <c r="G80" s="221">
        <v>0</v>
      </c>
    </row>
    <row r="81" spans="1:7" ht="47.15" customHeight="1">
      <c r="A81" s="219" t="s">
        <v>1129</v>
      </c>
      <c r="B81" s="218" t="s">
        <v>1130</v>
      </c>
      <c r="C81" s="220" t="s">
        <v>1131</v>
      </c>
      <c r="D81" s="222"/>
      <c r="E81" s="228"/>
      <c r="F81" s="222">
        <v>9315068</v>
      </c>
      <c r="G81" s="221">
        <v>2.15360401494086E-5</v>
      </c>
    </row>
    <row r="82" spans="1:7" ht="45" customHeight="1">
      <c r="A82" s="219" t="s">
        <v>1132</v>
      </c>
      <c r="B82" s="218" t="s">
        <v>1133</v>
      </c>
      <c r="C82" s="220" t="s">
        <v>1134</v>
      </c>
      <c r="D82" s="222"/>
      <c r="E82" s="228"/>
      <c r="F82" s="222">
        <v>0</v>
      </c>
      <c r="G82" s="221">
        <v>0</v>
      </c>
    </row>
    <row r="83" spans="1:7" ht="57" customHeight="1">
      <c r="A83" s="219" t="s">
        <v>1135</v>
      </c>
      <c r="B83" s="218" t="s">
        <v>1136</v>
      </c>
      <c r="C83" s="220" t="s">
        <v>1137</v>
      </c>
      <c r="D83" s="222"/>
      <c r="E83" s="228"/>
      <c r="F83" s="222">
        <v>0</v>
      </c>
      <c r="G83" s="221">
        <v>0</v>
      </c>
    </row>
    <row r="84" spans="1:7" ht="39" customHeight="1">
      <c r="A84" s="219" t="s">
        <v>1138</v>
      </c>
      <c r="B84" s="218" t="s">
        <v>1139</v>
      </c>
      <c r="C84" s="220" t="s">
        <v>1140</v>
      </c>
      <c r="D84" s="222"/>
      <c r="E84" s="228"/>
      <c r="F84" s="222">
        <v>0</v>
      </c>
      <c r="G84" s="221">
        <v>0</v>
      </c>
    </row>
    <row r="85" spans="1:7" ht="39" customHeight="1">
      <c r="A85" s="219" t="s">
        <v>1141</v>
      </c>
      <c r="B85" s="218" t="s">
        <v>1142</v>
      </c>
      <c r="C85" s="220" t="s">
        <v>1143</v>
      </c>
      <c r="D85" s="222"/>
      <c r="E85" s="228"/>
      <c r="F85" s="222">
        <v>0</v>
      </c>
      <c r="G85" s="221">
        <v>0</v>
      </c>
    </row>
    <row r="86" spans="1:7" ht="39" customHeight="1">
      <c r="A86" s="224"/>
      <c r="B86" s="223" t="s">
        <v>1144</v>
      </c>
      <c r="C86" s="224" t="s">
        <v>1145</v>
      </c>
      <c r="D86" s="226"/>
      <c r="E86" s="226"/>
      <c r="F86" s="226">
        <v>249315068</v>
      </c>
      <c r="G86" s="225">
        <v>5.7640580984492397E-4</v>
      </c>
    </row>
    <row r="87" spans="1:7" ht="39" customHeight="1">
      <c r="A87" s="224" t="s">
        <v>1146</v>
      </c>
      <c r="B87" s="223" t="s">
        <v>1147</v>
      </c>
      <c r="C87" s="224" t="s">
        <v>1148</v>
      </c>
      <c r="D87" s="226"/>
      <c r="E87" s="226"/>
      <c r="F87" s="226"/>
      <c r="G87" s="225"/>
    </row>
    <row r="88" spans="1:7" ht="39" customHeight="1">
      <c r="A88" s="219" t="s">
        <v>1149</v>
      </c>
      <c r="B88" s="218" t="s">
        <v>1150</v>
      </c>
      <c r="C88" s="220" t="s">
        <v>1151</v>
      </c>
      <c r="D88" s="222"/>
      <c r="E88" s="228"/>
      <c r="F88" s="222">
        <v>13504541103</v>
      </c>
      <c r="G88" s="221">
        <v>3.12219233819385E-2</v>
      </c>
    </row>
    <row r="89" spans="1:7" ht="39" customHeight="1">
      <c r="A89" s="219" t="s">
        <v>1152</v>
      </c>
      <c r="B89" s="218" t="s">
        <v>1153</v>
      </c>
      <c r="C89" s="220" t="s">
        <v>1154</v>
      </c>
      <c r="D89" s="222"/>
      <c r="E89" s="228"/>
      <c r="F89" s="222">
        <v>8504541103</v>
      </c>
      <c r="G89" s="221">
        <v>1.96621365132819E-2</v>
      </c>
    </row>
    <row r="90" spans="1:7" ht="39" customHeight="1">
      <c r="A90" s="219" t="s">
        <v>1155</v>
      </c>
      <c r="B90" s="218" t="s">
        <v>1156</v>
      </c>
      <c r="C90" s="220" t="s">
        <v>1157</v>
      </c>
      <c r="D90" s="222"/>
      <c r="E90" s="228"/>
      <c r="F90" s="222">
        <v>5000000000</v>
      </c>
      <c r="G90" s="221">
        <v>1.15597868686566E-2</v>
      </c>
    </row>
    <row r="91" spans="1:7" ht="39" customHeight="1">
      <c r="A91" s="219" t="s">
        <v>1158</v>
      </c>
      <c r="B91" s="218" t="s">
        <v>1159</v>
      </c>
      <c r="C91" s="220" t="s">
        <v>1160</v>
      </c>
      <c r="D91" s="222"/>
      <c r="E91" s="228"/>
      <c r="F91" s="222">
        <v>0</v>
      </c>
      <c r="G91" s="221">
        <v>0</v>
      </c>
    </row>
    <row r="92" spans="1:7" ht="39" customHeight="1">
      <c r="A92" s="219" t="s">
        <v>1161</v>
      </c>
      <c r="B92" s="218" t="s">
        <v>1162</v>
      </c>
      <c r="C92" s="220" t="s">
        <v>1163</v>
      </c>
      <c r="D92" s="222"/>
      <c r="E92" s="228"/>
      <c r="F92" s="222">
        <v>0</v>
      </c>
      <c r="G92" s="221">
        <v>0</v>
      </c>
    </row>
    <row r="93" spans="1:7" ht="39" customHeight="1">
      <c r="A93" s="219" t="s">
        <v>1164</v>
      </c>
      <c r="B93" s="218" t="s">
        <v>1165</v>
      </c>
      <c r="C93" s="220" t="s">
        <v>1166</v>
      </c>
      <c r="D93" s="222"/>
      <c r="E93" s="228"/>
      <c r="F93" s="222">
        <v>0</v>
      </c>
      <c r="G93" s="221">
        <v>0</v>
      </c>
    </row>
    <row r="94" spans="1:7" ht="39" customHeight="1">
      <c r="A94" s="224"/>
      <c r="B94" s="223" t="s">
        <v>1167</v>
      </c>
      <c r="C94" s="224" t="s">
        <v>1168</v>
      </c>
      <c r="D94" s="226"/>
      <c r="E94" s="226"/>
      <c r="F94" s="226">
        <v>13504541103</v>
      </c>
      <c r="G94" s="225">
        <v>3.12219233819385E-2</v>
      </c>
    </row>
    <row r="95" spans="1:7" ht="39" customHeight="1">
      <c r="A95" s="224" t="s">
        <v>1169</v>
      </c>
      <c r="B95" s="223" t="s">
        <v>1170</v>
      </c>
      <c r="C95" s="224" t="s">
        <v>1171</v>
      </c>
      <c r="D95" s="226"/>
      <c r="E95" s="226"/>
      <c r="F95" s="226">
        <v>432533926171</v>
      </c>
      <c r="G95" s="225">
        <v>1</v>
      </c>
    </row>
    <row r="96" spans="1:7" ht="16.899999999999999" customHeight="1">
      <c r="A96" s="172"/>
      <c r="B96" s="97"/>
      <c r="C96" s="97"/>
      <c r="D96" s="97"/>
      <c r="E96" s="59"/>
      <c r="F96" s="97"/>
    </row>
    <row r="97" spans="1:7" ht="16.899999999999999" customHeight="1">
      <c r="A97" s="59" t="s">
        <v>10</v>
      </c>
      <c r="B97" s="97"/>
      <c r="C97" s="97"/>
      <c r="D97" s="97"/>
      <c r="E97" s="59" t="s">
        <v>11</v>
      </c>
      <c r="F97" s="97"/>
    </row>
    <row r="98" spans="1:7" ht="16.899999999999999" customHeight="1">
      <c r="A98" s="60" t="s">
        <v>12</v>
      </c>
      <c r="B98" s="97"/>
      <c r="C98" s="97"/>
      <c r="D98" s="97"/>
      <c r="E98" s="60" t="s">
        <v>13</v>
      </c>
      <c r="F98" s="97"/>
    </row>
    <row r="99" spans="1:7" ht="16.899999999999999" customHeight="1"/>
    <row r="100" spans="1:7" ht="16.899999999999999" customHeight="1">
      <c r="A100" s="88"/>
      <c r="E100" s="88"/>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98" t="s">
        <v>14</v>
      </c>
      <c r="B107" s="92"/>
      <c r="C107" s="92"/>
      <c r="E107" s="98" t="s">
        <v>1174</v>
      </c>
      <c r="F107" s="92"/>
      <c r="G107" s="92"/>
    </row>
    <row r="108" spans="1:7" ht="16.899999999999999" customHeight="1">
      <c r="A108" s="99" t="s">
        <v>1181</v>
      </c>
      <c r="E108" s="99" t="s">
        <v>1182</v>
      </c>
    </row>
    <row r="109" spans="1:7" ht="16.899999999999999" customHeight="1">
      <c r="A109" s="100" t="s">
        <v>1183</v>
      </c>
      <c r="E109" s="101" t="s">
        <v>725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A13" sqref="A13"/>
    </sheetView>
  </sheetViews>
  <sheetFormatPr defaultColWidth="9.1796875" defaultRowHeight="14.5"/>
  <cols>
    <col min="1" max="1" width="4.81640625" style="212" customWidth="1"/>
    <col min="2" max="2" width="34.453125" style="177" customWidth="1"/>
    <col min="3" max="4" width="9.1796875" style="177"/>
    <col min="5" max="5" width="12.26953125" style="177" customWidth="1"/>
    <col min="6" max="6" width="9.1796875" style="177"/>
    <col min="7" max="7" width="15.26953125" style="177" customWidth="1"/>
    <col min="8" max="11" width="19" style="177" customWidth="1"/>
    <col min="12" max="16384" width="9.1796875" style="177"/>
  </cols>
  <sheetData>
    <row r="1" spans="1:11" s="176" customFormat="1" ht="26.25" customHeight="1">
      <c r="A1" s="284" t="s">
        <v>709</v>
      </c>
      <c r="B1" s="284"/>
      <c r="C1" s="284"/>
      <c r="D1" s="284"/>
      <c r="E1" s="284"/>
      <c r="F1" s="284"/>
      <c r="G1" s="284"/>
      <c r="H1" s="284"/>
      <c r="I1" s="284"/>
      <c r="J1" s="284"/>
      <c r="K1" s="284"/>
    </row>
    <row r="2" spans="1:11" ht="49" customHeight="1">
      <c r="A2" s="285" t="s">
        <v>710</v>
      </c>
      <c r="B2" s="285"/>
      <c r="C2" s="285"/>
      <c r="D2" s="285"/>
      <c r="E2" s="285"/>
      <c r="F2" s="285"/>
      <c r="G2" s="285"/>
      <c r="H2" s="285"/>
      <c r="I2" s="285"/>
      <c r="J2" s="285"/>
      <c r="K2" s="285"/>
    </row>
    <row r="3" spans="1:11" ht="19.149999999999999" customHeight="1">
      <c r="A3" s="286" t="s">
        <v>711</v>
      </c>
      <c r="B3" s="286"/>
      <c r="C3" s="286"/>
      <c r="D3" s="286"/>
      <c r="E3" s="286"/>
      <c r="F3" s="286"/>
      <c r="G3" s="286"/>
      <c r="H3" s="286"/>
      <c r="I3" s="286"/>
      <c r="J3" s="286"/>
      <c r="K3" s="286"/>
    </row>
    <row r="4" spans="1:11" ht="21.65" customHeight="1">
      <c r="A4" s="286"/>
      <c r="B4" s="286"/>
      <c r="C4" s="286"/>
      <c r="D4" s="286"/>
      <c r="E4" s="286"/>
      <c r="F4" s="286"/>
      <c r="G4" s="286"/>
      <c r="H4" s="286"/>
      <c r="I4" s="286"/>
      <c r="J4" s="286"/>
      <c r="K4" s="286"/>
    </row>
    <row r="5" spans="1:11">
      <c r="A5" s="287" t="str">
        <f>TONGQUAN!C2</f>
        <v>Quý II năm 2020
/ Quarter II 2020</v>
      </c>
      <c r="B5" s="287"/>
      <c r="C5" s="287"/>
      <c r="D5" s="287"/>
      <c r="E5" s="287"/>
      <c r="F5" s="287"/>
      <c r="G5" s="287"/>
      <c r="H5" s="287"/>
      <c r="I5" s="287"/>
      <c r="J5" s="287"/>
      <c r="K5" s="287"/>
    </row>
    <row r="6" spans="1:11">
      <c r="A6" s="178"/>
      <c r="B6" s="178"/>
      <c r="C6" s="178"/>
      <c r="D6" s="178"/>
      <c r="E6" s="178"/>
      <c r="F6" s="179"/>
      <c r="G6" s="180"/>
      <c r="H6" s="180"/>
      <c r="I6" s="180"/>
      <c r="J6" s="180"/>
      <c r="K6" s="180"/>
    </row>
    <row r="7" spans="1:11">
      <c r="A7" s="288" t="s">
        <v>2</v>
      </c>
      <c r="B7" s="289"/>
      <c r="C7" s="181"/>
      <c r="D7" s="181"/>
      <c r="E7" s="181"/>
      <c r="F7" s="181"/>
      <c r="G7" s="290" t="str">
        <f>TONGQUAN!D5</f>
        <v>Công ty Cổ phần Quản lý Quỹ Đầu tư Việt Nam</v>
      </c>
      <c r="H7" s="290"/>
      <c r="I7" s="290"/>
      <c r="J7" s="290"/>
      <c r="K7" s="180"/>
    </row>
    <row r="8" spans="1:11" ht="15" customHeight="1">
      <c r="A8" s="291" t="s">
        <v>41</v>
      </c>
      <c r="B8" s="291"/>
      <c r="C8" s="181"/>
      <c r="D8" s="181"/>
      <c r="E8" s="181"/>
      <c r="F8" s="181"/>
      <c r="G8" s="292" t="str">
        <f>TONGQUAN!D6</f>
        <v>Vietnam Investment Fund Management Joint Stock Company</v>
      </c>
      <c r="H8" s="292"/>
      <c r="I8" s="292"/>
      <c r="J8" s="292"/>
      <c r="K8" s="180"/>
    </row>
    <row r="9" spans="1:11">
      <c r="A9" s="293" t="s">
        <v>3</v>
      </c>
      <c r="B9" s="294"/>
      <c r="C9" s="181"/>
      <c r="D9" s="181"/>
      <c r="E9" s="181"/>
      <c r="F9" s="181"/>
      <c r="G9" s="295" t="str">
        <f>TONGQUAN!D7</f>
        <v>Ngân hàng TNHH Một thành viên Standard Chartered (Việt Nam)</v>
      </c>
      <c r="H9" s="295"/>
      <c r="I9" s="295"/>
      <c r="J9" s="295"/>
      <c r="K9" s="180"/>
    </row>
    <row r="10" spans="1:11" ht="15" customHeight="1">
      <c r="A10" s="294" t="s">
        <v>4</v>
      </c>
      <c r="B10" s="294"/>
      <c r="C10" s="181"/>
      <c r="D10" s="181"/>
      <c r="E10" s="181"/>
      <c r="F10" s="181"/>
      <c r="G10" s="292" t="str">
        <f>TONGQUAN!D8</f>
        <v>Standard Chartered Bank (Vietnam) Limited</v>
      </c>
      <c r="H10" s="292"/>
      <c r="I10" s="292"/>
      <c r="J10" s="292"/>
      <c r="K10" s="180"/>
    </row>
    <row r="11" spans="1:11" ht="15" customHeight="1">
      <c r="A11" s="293" t="s">
        <v>5</v>
      </c>
      <c r="B11" s="300"/>
      <c r="C11" s="181"/>
      <c r="D11" s="181"/>
      <c r="E11" s="181"/>
      <c r="F11" s="181"/>
      <c r="G11" s="290" t="str">
        <f>TONGQUAN!D9</f>
        <v>Quỹ Đầu tư Doanh nghiệp hàng đầu Việt Nam</v>
      </c>
      <c r="H11" s="290"/>
      <c r="I11" s="290"/>
      <c r="J11" s="290"/>
      <c r="K11" s="180"/>
    </row>
    <row r="12" spans="1:11" ht="15" customHeight="1">
      <c r="A12" s="182" t="s">
        <v>679</v>
      </c>
      <c r="B12" s="183"/>
      <c r="C12" s="181"/>
      <c r="D12" s="181"/>
      <c r="E12" s="181"/>
      <c r="F12" s="181"/>
      <c r="G12" s="292" t="str">
        <f>TONGQUAN!D10</f>
        <v>Vietnam Blue Chip Fund(VFMVF4)</v>
      </c>
      <c r="H12" s="292"/>
      <c r="I12" s="292"/>
      <c r="J12" s="292"/>
      <c r="K12" s="180"/>
    </row>
    <row r="13" spans="1:11" ht="15" customHeight="1">
      <c r="A13" s="184" t="s">
        <v>7</v>
      </c>
      <c r="B13" s="185"/>
      <c r="C13" s="181"/>
      <c r="D13" s="181"/>
      <c r="E13" s="181"/>
      <c r="F13" s="181"/>
      <c r="G13" s="290" t="str">
        <f>TONGQUAN!D11</f>
        <v>Ngày 06 tháng 07 năm 2020</v>
      </c>
      <c r="H13" s="290"/>
      <c r="I13" s="290"/>
      <c r="J13" s="290"/>
      <c r="K13" s="180"/>
    </row>
    <row r="14" spans="1:11">
      <c r="A14" s="186" t="s">
        <v>8</v>
      </c>
      <c r="B14" s="186"/>
      <c r="C14" s="181"/>
      <c r="D14" s="181"/>
      <c r="E14" s="181"/>
      <c r="F14" s="181"/>
      <c r="G14" s="301" t="str">
        <f>TONGQUAN!D12</f>
        <v>06 Jul 2020</v>
      </c>
      <c r="H14" s="301"/>
      <c r="I14" s="301"/>
      <c r="J14" s="301"/>
      <c r="K14" s="180"/>
    </row>
    <row r="15" spans="1:11" s="252" customFormat="1">
      <c r="A15" s="248" t="s">
        <v>1208</v>
      </c>
      <c r="B15" s="249" t="s">
        <v>1209</v>
      </c>
      <c r="C15" s="250"/>
      <c r="D15" s="250"/>
      <c r="E15" s="250"/>
      <c r="F15" s="250"/>
      <c r="G15" s="251"/>
      <c r="H15" s="251"/>
      <c r="I15" s="251"/>
      <c r="J15" s="251"/>
      <c r="K15" s="250"/>
    </row>
    <row r="16" spans="1:11" s="252" customFormat="1">
      <c r="A16" s="248" t="s">
        <v>55</v>
      </c>
      <c r="B16" s="249" t="s">
        <v>715</v>
      </c>
      <c r="C16" s="250"/>
      <c r="D16" s="250"/>
      <c r="E16" s="250"/>
      <c r="F16" s="250"/>
      <c r="G16" s="250"/>
      <c r="H16" s="250"/>
      <c r="I16" s="250"/>
      <c r="J16" s="250"/>
      <c r="K16" s="250"/>
    </row>
    <row r="17" spans="1:11" s="188" customFormat="1" ht="37.5" customHeight="1">
      <c r="A17" s="296" t="s">
        <v>302</v>
      </c>
      <c r="B17" s="296" t="s">
        <v>680</v>
      </c>
      <c r="C17" s="302" t="s">
        <v>45</v>
      </c>
      <c r="D17" s="296" t="s">
        <v>681</v>
      </c>
      <c r="E17" s="296" t="s">
        <v>682</v>
      </c>
      <c r="F17" s="296" t="s">
        <v>683</v>
      </c>
      <c r="G17" s="296" t="s">
        <v>684</v>
      </c>
      <c r="H17" s="298" t="s">
        <v>685</v>
      </c>
      <c r="I17" s="299"/>
      <c r="J17" s="298" t="s">
        <v>686</v>
      </c>
      <c r="K17" s="299"/>
    </row>
    <row r="18" spans="1:11" s="188" customFormat="1" ht="73.5" customHeight="1">
      <c r="A18" s="297"/>
      <c r="B18" s="297"/>
      <c r="C18" s="303"/>
      <c r="D18" s="297"/>
      <c r="E18" s="297"/>
      <c r="F18" s="297"/>
      <c r="G18" s="297"/>
      <c r="H18" s="189" t="s">
        <v>687</v>
      </c>
      <c r="I18" s="189" t="s">
        <v>688</v>
      </c>
      <c r="J18" s="189" t="s">
        <v>689</v>
      </c>
      <c r="K18" s="189" t="s">
        <v>688</v>
      </c>
    </row>
    <row r="19" spans="1:11" s="188" customFormat="1" ht="47.25" customHeight="1">
      <c r="A19" s="190" t="s">
        <v>472</v>
      </c>
      <c r="B19" s="191" t="s">
        <v>716</v>
      </c>
      <c r="C19" s="190" t="s">
        <v>690</v>
      </c>
      <c r="D19" s="192"/>
      <c r="E19" s="192"/>
      <c r="F19" s="193"/>
      <c r="G19" s="194"/>
      <c r="H19" s="191"/>
      <c r="I19" s="195"/>
      <c r="J19" s="196"/>
      <c r="K19" s="197"/>
    </row>
    <row r="20" spans="1:11" s="188" customFormat="1" ht="45.75" customHeight="1">
      <c r="A20" s="190" t="s">
        <v>42</v>
      </c>
      <c r="B20" s="191" t="s">
        <v>717</v>
      </c>
      <c r="C20" s="190" t="s">
        <v>691</v>
      </c>
      <c r="D20" s="193"/>
      <c r="E20" s="193"/>
      <c r="F20" s="193"/>
      <c r="G20" s="194"/>
      <c r="H20" s="191"/>
      <c r="I20" s="195"/>
      <c r="J20" s="191"/>
      <c r="K20" s="195"/>
    </row>
    <row r="21" spans="1:11" s="188" customFormat="1" ht="45.75" customHeight="1">
      <c r="A21" s="190" t="s">
        <v>489</v>
      </c>
      <c r="B21" s="191" t="s">
        <v>718</v>
      </c>
      <c r="C21" s="190" t="s">
        <v>692</v>
      </c>
      <c r="D21" s="193"/>
      <c r="E21" s="193"/>
      <c r="F21" s="193"/>
      <c r="G21" s="192"/>
      <c r="H21" s="191"/>
      <c r="I21" s="198"/>
      <c r="J21" s="191"/>
      <c r="K21" s="198"/>
    </row>
    <row r="22" spans="1:11" s="188" customFormat="1" ht="44.25" customHeight="1">
      <c r="A22" s="190" t="s">
        <v>48</v>
      </c>
      <c r="B22" s="191" t="s">
        <v>719</v>
      </c>
      <c r="C22" s="190" t="s">
        <v>693</v>
      </c>
      <c r="D22" s="193"/>
      <c r="E22" s="193"/>
      <c r="F22" s="193"/>
      <c r="G22" s="194"/>
      <c r="H22" s="191"/>
      <c r="I22" s="195"/>
      <c r="J22" s="191"/>
      <c r="K22" s="195"/>
    </row>
    <row r="23" spans="1:11" s="188" customFormat="1" ht="44.25" customHeight="1">
      <c r="A23" s="190" t="s">
        <v>694</v>
      </c>
      <c r="B23" s="191" t="s">
        <v>720</v>
      </c>
      <c r="C23" s="190" t="s">
        <v>695</v>
      </c>
      <c r="D23" s="193"/>
      <c r="E23" s="193"/>
      <c r="F23" s="193"/>
      <c r="G23" s="194"/>
      <c r="H23" s="191"/>
      <c r="I23" s="195"/>
      <c r="J23" s="191"/>
      <c r="K23" s="195"/>
    </row>
    <row r="24" spans="1:11" s="188" customFormat="1" ht="57.75" customHeight="1">
      <c r="A24" s="190" t="s">
        <v>514</v>
      </c>
      <c r="B24" s="217" t="s">
        <v>721</v>
      </c>
      <c r="C24" s="190" t="s">
        <v>696</v>
      </c>
      <c r="D24" s="193"/>
      <c r="E24" s="193"/>
      <c r="F24" s="193"/>
      <c r="G24" s="194"/>
      <c r="H24" s="191"/>
      <c r="I24" s="195"/>
      <c r="J24" s="191"/>
      <c r="K24" s="195"/>
    </row>
    <row r="25" spans="1:11" s="188" customFormat="1" ht="44.25" customHeight="1">
      <c r="A25" s="190" t="s">
        <v>54</v>
      </c>
      <c r="B25" s="191" t="s">
        <v>722</v>
      </c>
      <c r="C25" s="190" t="s">
        <v>697</v>
      </c>
      <c r="D25" s="193"/>
      <c r="E25" s="193"/>
      <c r="F25" s="193"/>
      <c r="G25" s="194"/>
      <c r="H25" s="191"/>
      <c r="I25" s="195"/>
      <c r="J25" s="191"/>
      <c r="K25" s="195"/>
    </row>
    <row r="26" spans="1:11" s="188" customFormat="1" ht="51" customHeight="1">
      <c r="A26" s="190" t="s">
        <v>581</v>
      </c>
      <c r="B26" s="191" t="s">
        <v>723</v>
      </c>
      <c r="C26" s="190" t="s">
        <v>698</v>
      </c>
      <c r="D26" s="193"/>
      <c r="E26" s="193"/>
      <c r="F26" s="193"/>
      <c r="G26" s="194"/>
      <c r="H26" s="191"/>
      <c r="I26" s="195"/>
      <c r="J26" s="191"/>
      <c r="K26" s="195"/>
    </row>
    <row r="27" spans="1:11" s="188" customFormat="1" ht="44.25" customHeight="1">
      <c r="A27" s="190" t="s">
        <v>55</v>
      </c>
      <c r="B27" s="191" t="s">
        <v>722</v>
      </c>
      <c r="C27" s="190" t="s">
        <v>699</v>
      </c>
      <c r="D27" s="193"/>
      <c r="E27" s="193"/>
      <c r="F27" s="193"/>
      <c r="G27" s="194"/>
      <c r="H27" s="191"/>
      <c r="I27" s="195"/>
      <c r="J27" s="191"/>
      <c r="K27" s="195"/>
    </row>
    <row r="28" spans="1:11" s="188" customFormat="1" ht="44.25" customHeight="1">
      <c r="A28" s="190" t="s">
        <v>700</v>
      </c>
      <c r="B28" s="191" t="s">
        <v>724</v>
      </c>
      <c r="C28" s="190" t="s">
        <v>701</v>
      </c>
      <c r="D28" s="193"/>
      <c r="E28" s="193"/>
      <c r="F28" s="193"/>
      <c r="G28" s="194"/>
      <c r="H28" s="191"/>
      <c r="I28" s="195"/>
      <c r="J28" s="191"/>
      <c r="K28" s="195"/>
    </row>
    <row r="29" spans="1:11" s="188" customFormat="1" ht="12.5">
      <c r="A29" s="199"/>
      <c r="B29" s="200"/>
      <c r="C29" s="200"/>
      <c r="D29" s="193"/>
      <c r="E29" s="193"/>
      <c r="F29" s="193"/>
      <c r="G29" s="194"/>
      <c r="H29" s="191"/>
      <c r="I29" s="195"/>
      <c r="J29" s="196"/>
      <c r="K29" s="197"/>
    </row>
    <row r="30" spans="1:11" s="188" customFormat="1" ht="12.5">
      <c r="A30" s="201"/>
      <c r="B30" s="202"/>
      <c r="C30" s="202"/>
      <c r="D30" s="202"/>
      <c r="E30" s="202"/>
      <c r="F30" s="202"/>
      <c r="G30" s="202"/>
      <c r="H30" s="202"/>
      <c r="I30" s="202"/>
      <c r="J30" s="202"/>
      <c r="K30" s="202"/>
    </row>
    <row r="31" spans="1:11" s="188" customFormat="1" ht="12.5">
      <c r="A31" s="201"/>
      <c r="B31" s="202"/>
      <c r="C31" s="202"/>
      <c r="D31" s="202"/>
      <c r="E31" s="202"/>
      <c r="F31" s="202"/>
      <c r="G31" s="202"/>
      <c r="H31" s="202"/>
      <c r="I31" s="202"/>
      <c r="J31" s="202"/>
      <c r="K31" s="202"/>
    </row>
    <row r="32" spans="1:11" s="188" customFormat="1" ht="12.5">
      <c r="A32" s="201"/>
      <c r="B32" s="202"/>
      <c r="C32" s="202"/>
      <c r="D32" s="202"/>
      <c r="E32" s="202"/>
      <c r="F32" s="202"/>
      <c r="G32" s="202"/>
      <c r="H32" s="202"/>
      <c r="I32" s="202"/>
      <c r="J32" s="202"/>
      <c r="K32" s="202"/>
    </row>
    <row r="33" spans="1:11" s="188" customFormat="1" ht="12.5">
      <c r="A33" s="203" t="s">
        <v>10</v>
      </c>
      <c r="B33" s="204"/>
      <c r="C33" s="205"/>
      <c r="D33" s="202"/>
      <c r="E33" s="202"/>
      <c r="F33" s="202"/>
      <c r="G33" s="202"/>
      <c r="H33" s="202"/>
      <c r="I33" s="206" t="s">
        <v>11</v>
      </c>
      <c r="J33" s="202"/>
      <c r="K33" s="202"/>
    </row>
    <row r="34" spans="1:11" s="188" customFormat="1" ht="12.5">
      <c r="A34" s="207" t="s">
        <v>12</v>
      </c>
      <c r="B34" s="204"/>
      <c r="C34" s="205"/>
      <c r="D34" s="202"/>
      <c r="E34" s="202"/>
      <c r="F34" s="202"/>
      <c r="G34" s="202"/>
      <c r="H34" s="202"/>
      <c r="I34" s="208" t="s">
        <v>13</v>
      </c>
      <c r="J34" s="202"/>
      <c r="K34" s="202"/>
    </row>
    <row r="35" spans="1:11">
      <c r="A35" s="204"/>
      <c r="B35" s="204"/>
      <c r="C35" s="205"/>
      <c r="D35" s="180"/>
      <c r="E35" s="180"/>
      <c r="F35" s="180"/>
      <c r="G35" s="180"/>
      <c r="H35" s="180"/>
      <c r="I35" s="205"/>
      <c r="J35" s="180"/>
      <c r="K35" s="180"/>
    </row>
    <row r="36" spans="1:11">
      <c r="A36" s="204"/>
      <c r="B36" s="204"/>
      <c r="C36" s="205"/>
      <c r="D36" s="180"/>
      <c r="E36" s="180"/>
      <c r="F36" s="180"/>
      <c r="G36" s="180"/>
      <c r="H36" s="180"/>
      <c r="I36" s="205"/>
      <c r="J36" s="180"/>
      <c r="K36" s="180"/>
    </row>
    <row r="37" spans="1:11">
      <c r="A37" s="204"/>
      <c r="B37" s="204"/>
      <c r="C37" s="205"/>
      <c r="D37" s="180"/>
      <c r="E37" s="180"/>
      <c r="F37" s="180"/>
      <c r="G37" s="180"/>
      <c r="H37" s="180"/>
      <c r="I37" s="205"/>
      <c r="J37" s="180"/>
      <c r="K37" s="180"/>
    </row>
    <row r="38" spans="1:11">
      <c r="A38" s="204"/>
      <c r="B38" s="204"/>
      <c r="C38" s="205"/>
      <c r="D38" s="180"/>
      <c r="E38" s="180"/>
      <c r="F38" s="180"/>
      <c r="G38" s="180"/>
      <c r="H38" s="180"/>
      <c r="I38" s="205"/>
      <c r="J38" s="180"/>
      <c r="K38" s="180"/>
    </row>
    <row r="39" spans="1:11">
      <c r="A39" s="204"/>
      <c r="B39" s="204"/>
      <c r="C39" s="205"/>
      <c r="D39" s="180"/>
      <c r="E39" s="180"/>
      <c r="F39" s="180"/>
      <c r="G39" s="180"/>
      <c r="H39" s="180"/>
      <c r="I39" s="205"/>
      <c r="J39" s="180"/>
      <c r="K39" s="180"/>
    </row>
    <row r="40" spans="1:11">
      <c r="A40" s="204"/>
      <c r="B40" s="204"/>
      <c r="C40" s="205"/>
      <c r="D40" s="180"/>
      <c r="E40" s="180"/>
      <c r="F40" s="180"/>
      <c r="G40" s="180"/>
      <c r="H40" s="180"/>
      <c r="I40" s="205"/>
      <c r="J40" s="180"/>
      <c r="K40" s="180"/>
    </row>
    <row r="41" spans="1:11">
      <c r="A41" s="204"/>
      <c r="B41" s="204"/>
      <c r="C41" s="205"/>
      <c r="D41" s="180"/>
      <c r="E41" s="180"/>
      <c r="F41" s="180"/>
      <c r="G41" s="180"/>
      <c r="H41" s="180"/>
      <c r="I41" s="205"/>
      <c r="J41" s="180"/>
      <c r="K41" s="180"/>
    </row>
    <row r="42" spans="1:11">
      <c r="A42" s="204"/>
      <c r="B42" s="204"/>
      <c r="C42" s="205"/>
      <c r="D42" s="180"/>
      <c r="E42" s="180"/>
      <c r="F42" s="180"/>
      <c r="G42" s="180"/>
      <c r="H42" s="180"/>
      <c r="I42" s="205"/>
      <c r="J42" s="180"/>
      <c r="K42" s="180"/>
    </row>
    <row r="43" spans="1:11">
      <c r="A43" s="209"/>
      <c r="B43" s="209"/>
      <c r="C43" s="210"/>
      <c r="D43" s="211"/>
      <c r="E43" s="180"/>
      <c r="F43" s="180"/>
      <c r="G43" s="180"/>
      <c r="H43" s="180"/>
      <c r="I43" s="210"/>
      <c r="J43" s="211"/>
      <c r="K43" s="211"/>
    </row>
    <row r="44" spans="1:11">
      <c r="A44" s="203" t="s">
        <v>14</v>
      </c>
      <c r="B44" s="204"/>
      <c r="C44" s="205"/>
      <c r="D44" s="180"/>
      <c r="E44" s="180"/>
      <c r="F44" s="180"/>
      <c r="G44" s="180"/>
      <c r="H44" s="180"/>
      <c r="I44" s="206" t="str">
        <f>TONGQUAN!F19</f>
        <v>Công ty Cổ phần Quản lý Quỹ Đầu tư Việt Nam</v>
      </c>
      <c r="J44" s="180"/>
      <c r="K44" s="180"/>
    </row>
    <row r="45" spans="1:11">
      <c r="A45" s="203" t="str">
        <f>TONGQUAN!C20</f>
        <v>Bùi Thị Huyền Trang</v>
      </c>
      <c r="B45" s="204"/>
      <c r="C45" s="205"/>
      <c r="D45" s="180"/>
      <c r="E45" s="180"/>
      <c r="F45" s="180"/>
      <c r="G45" s="180"/>
      <c r="H45" s="180"/>
      <c r="I45" s="206" t="str">
        <f>TONGQUAN!F20</f>
        <v>Trần Thanh Tân</v>
      </c>
      <c r="J45" s="180"/>
      <c r="K45" s="180"/>
    </row>
    <row r="46" spans="1:11">
      <c r="A46" s="204" t="str">
        <f>TONGQUAN!C21</f>
        <v>Cán bộ Quản lý Nghiệp vụ Dịch vụ Chứng khoán</v>
      </c>
      <c r="B46" s="204"/>
      <c r="C46" s="205"/>
      <c r="D46" s="180"/>
      <c r="E46" s="180"/>
      <c r="F46" s="180"/>
      <c r="G46" s="180"/>
      <c r="H46" s="180"/>
      <c r="I46" s="205" t="str">
        <f>TONGQUAN!F21</f>
        <v>Tổng Giám đốc</v>
      </c>
      <c r="J46" s="180"/>
      <c r="K46" s="180"/>
    </row>
    <row r="47" spans="1:11">
      <c r="A47" s="187"/>
      <c r="B47" s="180"/>
      <c r="C47" s="180"/>
      <c r="D47" s="180"/>
      <c r="E47" s="180"/>
      <c r="F47" s="180"/>
      <c r="G47" s="180"/>
      <c r="H47" s="180"/>
      <c r="I47" s="180"/>
      <c r="J47" s="180"/>
      <c r="K47" s="180"/>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53" zoomScale="95" zoomScaleNormal="100" zoomScaleSheetLayoutView="95" workbookViewId="0">
      <selection activeCell="A58" sqref="A58"/>
    </sheetView>
  </sheetViews>
  <sheetFormatPr defaultColWidth="8.7265625" defaultRowHeight="12.5"/>
  <cols>
    <col min="1" max="1" width="8.7265625" style="49"/>
    <col min="2" max="2" width="56.81640625" style="49" customWidth="1"/>
    <col min="3" max="3" width="10.7265625" style="49" bestFit="1" customWidth="1"/>
    <col min="4" max="4" width="25.81640625" style="49" customWidth="1"/>
    <col min="5" max="5" width="25.453125" style="49" customWidth="1"/>
    <col min="6" max="6" width="8.453125" style="94" customWidth="1"/>
    <col min="7" max="16384" width="8.7265625" style="94"/>
  </cols>
  <sheetData>
    <row r="1" spans="1:6" ht="30" customHeight="1">
      <c r="A1" s="260" t="s">
        <v>709</v>
      </c>
      <c r="B1" s="260"/>
      <c r="C1" s="260"/>
      <c r="D1" s="260"/>
      <c r="E1" s="260"/>
      <c r="F1" s="102"/>
    </row>
    <row r="2" spans="1:6" ht="50.15" customHeight="1">
      <c r="A2" s="261" t="s">
        <v>710</v>
      </c>
      <c r="B2" s="261"/>
      <c r="C2" s="261"/>
      <c r="D2" s="261"/>
      <c r="E2" s="261"/>
      <c r="F2" s="103"/>
    </row>
    <row r="3" spans="1:6" ht="13">
      <c r="A3" s="262" t="s">
        <v>711</v>
      </c>
      <c r="B3" s="262"/>
      <c r="C3" s="262"/>
      <c r="D3" s="262"/>
      <c r="E3" s="262"/>
      <c r="F3" s="102"/>
    </row>
    <row r="4" spans="1:6" ht="20.65" customHeight="1">
      <c r="A4" s="262"/>
      <c r="B4" s="262"/>
      <c r="C4" s="262"/>
      <c r="D4" s="262"/>
      <c r="E4" s="262"/>
      <c r="F4" s="102"/>
    </row>
    <row r="5" spans="1:6" ht="16.899999999999999" customHeight="1">
      <c r="A5" s="263" t="str">
        <f>TONGQUAN!C2</f>
        <v>Quý II năm 2020
/ Quarter II 2020</v>
      </c>
      <c r="B5" s="263"/>
      <c r="C5" s="263"/>
      <c r="D5" s="263"/>
      <c r="E5" s="263"/>
      <c r="F5" s="104"/>
    </row>
    <row r="7" spans="1:6" ht="16.899999999999999" customHeight="1">
      <c r="A7" s="62" t="s">
        <v>2</v>
      </c>
      <c r="C7" s="283" t="str">
        <f>TONGQUAN!D5</f>
        <v>Công ty Cổ phần Quản lý Quỹ Đầu tư Việt Nam</v>
      </c>
      <c r="D7" s="283"/>
      <c r="E7" s="283"/>
    </row>
    <row r="8" spans="1:6" ht="16.899999999999999" customHeight="1">
      <c r="A8" s="49" t="s">
        <v>41</v>
      </c>
      <c r="C8" s="282" t="str">
        <f>TONGQUAN!D6</f>
        <v>Vietnam Investment Fund Management Joint Stock Company</v>
      </c>
      <c r="D8" s="282"/>
      <c r="E8" s="282"/>
    </row>
    <row r="9" spans="1:6" ht="16.899999999999999" customHeight="1">
      <c r="A9" s="62" t="s">
        <v>3</v>
      </c>
      <c r="C9" s="283" t="str">
        <f>TONGQUAN!D7</f>
        <v>Ngân hàng TNHH Một thành viên Standard Chartered (Việt Nam)</v>
      </c>
      <c r="D9" s="283"/>
      <c r="E9" s="283"/>
    </row>
    <row r="10" spans="1:6" ht="16.899999999999999" customHeight="1">
      <c r="A10" s="49" t="s">
        <v>4</v>
      </c>
      <c r="C10" s="282" t="str">
        <f>TONGQUAN!D8</f>
        <v>Standard Chartered Bank (Vietnam) Limited</v>
      </c>
      <c r="D10" s="282"/>
      <c r="E10" s="282"/>
    </row>
    <row r="11" spans="1:6" ht="16.899999999999999" customHeight="1">
      <c r="A11" s="62" t="s">
        <v>5</v>
      </c>
      <c r="C11" s="283" t="str">
        <f>TONGQUAN!D9</f>
        <v>Quỹ Đầu tư Doanh nghiệp hàng đầu Việt Nam</v>
      </c>
      <c r="D11" s="283"/>
      <c r="E11" s="283"/>
    </row>
    <row r="12" spans="1:6" ht="16.899999999999999" customHeight="1">
      <c r="A12" s="49" t="s">
        <v>6</v>
      </c>
      <c r="C12" s="282" t="str">
        <f>TONGQUAN!D10</f>
        <v>Vietnam Blue Chip Fund(VFMVF4)</v>
      </c>
      <c r="D12" s="282"/>
      <c r="E12" s="282"/>
    </row>
    <row r="13" spans="1:6" ht="16.899999999999999" customHeight="1">
      <c r="A13" s="62" t="s">
        <v>7</v>
      </c>
      <c r="C13" s="283" t="str">
        <f>TONGQUAN!D11</f>
        <v>Ngày 06 tháng 07 năm 2020</v>
      </c>
      <c r="D13" s="283"/>
      <c r="E13" s="283"/>
    </row>
    <row r="14" spans="1:6" ht="16.899999999999999" customHeight="1">
      <c r="A14" s="49" t="s">
        <v>8</v>
      </c>
      <c r="C14" s="282" t="str">
        <f>TONGQUAN!D12</f>
        <v>06 Jul 2020</v>
      </c>
      <c r="D14" s="282"/>
      <c r="E14" s="282"/>
    </row>
    <row r="16" spans="1:6" s="247" customFormat="1" ht="16.899999999999999" customHeight="1">
      <c r="A16" s="242" t="s">
        <v>1208</v>
      </c>
      <c r="B16" s="243" t="s">
        <v>1209</v>
      </c>
      <c r="C16" s="253"/>
      <c r="D16" s="253"/>
      <c r="E16" s="253"/>
    </row>
    <row r="17" spans="1:5" s="247" customFormat="1" ht="16.899999999999999" customHeight="1">
      <c r="A17" s="242" t="s">
        <v>56</v>
      </c>
      <c r="B17" s="243" t="s">
        <v>415</v>
      </c>
      <c r="C17" s="253"/>
      <c r="D17" s="253"/>
      <c r="E17" s="253"/>
    </row>
    <row r="18" spans="1:5" ht="42" customHeight="1">
      <c r="A18" s="95" t="s">
        <v>43</v>
      </c>
      <c r="B18" s="95" t="s">
        <v>416</v>
      </c>
      <c r="C18" s="95" t="s">
        <v>45</v>
      </c>
      <c r="D18" s="95" t="str">
        <f>BCKetQuaHoatDong_06028!D18</f>
        <v>Quý II năm 2020
Quarter II 2020</v>
      </c>
      <c r="E18" s="95" t="str">
        <f>BCKetQuaHoatDong_06028!E18</f>
        <v>Quý I năm 2020
Quarter I 2020</v>
      </c>
    </row>
    <row r="19" spans="1:5" s="108" customFormat="1" ht="39" customHeight="1">
      <c r="A19" s="105" t="s">
        <v>42</v>
      </c>
      <c r="B19" s="106" t="s">
        <v>149</v>
      </c>
      <c r="C19" s="107" t="s">
        <v>150</v>
      </c>
      <c r="D19" s="221"/>
      <c r="E19" s="221"/>
    </row>
    <row r="20" spans="1:5" ht="58.5" customHeight="1">
      <c r="A20" s="109">
        <v>1</v>
      </c>
      <c r="B20" s="37" t="s">
        <v>417</v>
      </c>
      <c r="C20" s="110" t="s">
        <v>151</v>
      </c>
      <c r="D20" s="221">
        <v>1.91966238565183E-2</v>
      </c>
      <c r="E20" s="221">
        <v>1.91967992481097E-2</v>
      </c>
    </row>
    <row r="21" spans="1:5" ht="55.5" customHeight="1">
      <c r="A21" s="109">
        <v>2</v>
      </c>
      <c r="B21" s="37" t="s">
        <v>418</v>
      </c>
      <c r="C21" s="110" t="s">
        <v>152</v>
      </c>
      <c r="D21" s="254">
        <v>1.4755986783170502E-3</v>
      </c>
      <c r="E21" s="221">
        <v>1.15432687772128E-3</v>
      </c>
    </row>
    <row r="22" spans="1:5" ht="97.5" customHeight="1">
      <c r="A22" s="109">
        <v>3</v>
      </c>
      <c r="B22" s="37" t="s">
        <v>419</v>
      </c>
      <c r="C22" s="110" t="s">
        <v>153</v>
      </c>
      <c r="D22" s="254">
        <v>1.0250045869494714E-3</v>
      </c>
      <c r="E22" s="221">
        <v>7.7101999093793204E-4</v>
      </c>
    </row>
    <row r="23" spans="1:5" ht="50">
      <c r="A23" s="109">
        <v>4</v>
      </c>
      <c r="B23" s="37" t="s">
        <v>420</v>
      </c>
      <c r="C23" s="110" t="s">
        <v>154</v>
      </c>
      <c r="D23" s="221">
        <v>4.4047456302149498E-4</v>
      </c>
      <c r="E23" s="221">
        <v>3.0187732192183802E-4</v>
      </c>
    </row>
    <row r="24" spans="1:5" ht="79.5" customHeight="1">
      <c r="A24" s="109">
        <v>5</v>
      </c>
      <c r="B24" s="37" t="s">
        <v>421</v>
      </c>
      <c r="C24" s="110" t="s">
        <v>155</v>
      </c>
      <c r="D24" s="221">
        <v>3.7622088764694599E-4</v>
      </c>
      <c r="E24" s="221">
        <v>3.3528614095686398E-4</v>
      </c>
    </row>
    <row r="25" spans="1:5" ht="39" customHeight="1">
      <c r="A25" s="109">
        <v>6</v>
      </c>
      <c r="B25" s="37" t="s">
        <v>422</v>
      </c>
      <c r="C25" s="110" t="s">
        <v>156</v>
      </c>
      <c r="D25" s="221">
        <v>2.4631511994401899E-2</v>
      </c>
      <c r="E25" s="221">
        <v>2.5125350596454699E-2</v>
      </c>
    </row>
    <row r="26" spans="1:5" ht="82.5" customHeight="1">
      <c r="A26" s="109">
        <v>7</v>
      </c>
      <c r="B26" s="37" t="s">
        <v>714</v>
      </c>
      <c r="C26" s="110" t="s">
        <v>157</v>
      </c>
      <c r="D26" s="221">
        <v>0.72693853720562895</v>
      </c>
      <c r="E26" s="221">
        <v>1.25424114103375</v>
      </c>
    </row>
    <row r="27" spans="1:5" ht="39" customHeight="1">
      <c r="A27" s="105" t="s">
        <v>48</v>
      </c>
      <c r="B27" s="106" t="s">
        <v>158</v>
      </c>
      <c r="C27" s="107" t="s">
        <v>159</v>
      </c>
      <c r="D27" s="111"/>
      <c r="E27" s="111"/>
    </row>
    <row r="28" spans="1:5" ht="40.9" customHeight="1">
      <c r="A28" s="304">
        <v>1</v>
      </c>
      <c r="B28" s="37" t="s">
        <v>160</v>
      </c>
      <c r="C28" s="110" t="s">
        <v>161</v>
      </c>
      <c r="D28" s="111">
        <v>278686005700</v>
      </c>
      <c r="E28" s="111">
        <v>352404067800</v>
      </c>
    </row>
    <row r="29" spans="1:5" ht="42.4" customHeight="1">
      <c r="A29" s="304"/>
      <c r="B29" s="37" t="s">
        <v>162</v>
      </c>
      <c r="C29" s="110" t="s">
        <v>163</v>
      </c>
      <c r="D29" s="111">
        <v>278686005700</v>
      </c>
      <c r="E29" s="111">
        <v>352404067800</v>
      </c>
    </row>
    <row r="30" spans="1:5" s="108" customFormat="1" ht="44.65" customHeight="1">
      <c r="A30" s="304"/>
      <c r="B30" s="37" t="s">
        <v>164</v>
      </c>
      <c r="C30" s="110" t="s">
        <v>165</v>
      </c>
      <c r="D30" s="113">
        <v>27868600.57</v>
      </c>
      <c r="E30" s="113">
        <v>35240406.780000001</v>
      </c>
    </row>
    <row r="31" spans="1:5" ht="43.5" customHeight="1">
      <c r="A31" s="304">
        <v>2</v>
      </c>
      <c r="B31" s="37" t="s">
        <v>166</v>
      </c>
      <c r="C31" s="110" t="s">
        <v>167</v>
      </c>
      <c r="D31" s="111">
        <v>6243976300</v>
      </c>
      <c r="E31" s="111">
        <v>-73718062100</v>
      </c>
    </row>
    <row r="32" spans="1:5" ht="39" customHeight="1">
      <c r="A32" s="304"/>
      <c r="B32" s="37" t="s">
        <v>168</v>
      </c>
      <c r="C32" s="110" t="s">
        <v>169</v>
      </c>
      <c r="D32" s="113">
        <v>624397.63</v>
      </c>
      <c r="E32" s="113">
        <v>-7371806.21</v>
      </c>
    </row>
    <row r="33" spans="1:5" ht="39" customHeight="1">
      <c r="A33" s="304"/>
      <c r="B33" s="37" t="s">
        <v>170</v>
      </c>
      <c r="C33" s="110" t="s">
        <v>171</v>
      </c>
      <c r="D33" s="111">
        <v>6243976300</v>
      </c>
      <c r="E33" s="111">
        <v>-73718062100</v>
      </c>
    </row>
    <row r="34" spans="1:5" ht="39" customHeight="1">
      <c r="A34" s="304"/>
      <c r="B34" s="37" t="s">
        <v>172</v>
      </c>
      <c r="C34" s="110" t="s">
        <v>173</v>
      </c>
      <c r="D34" s="112">
        <v>1141672.27</v>
      </c>
      <c r="E34" s="112">
        <v>1464878.57</v>
      </c>
    </row>
    <row r="35" spans="1:5" ht="39" customHeight="1">
      <c r="A35" s="304"/>
      <c r="B35" s="37" t="s">
        <v>366</v>
      </c>
      <c r="C35" s="110" t="s">
        <v>174</v>
      </c>
      <c r="D35" s="111">
        <v>11416722700</v>
      </c>
      <c r="E35" s="111">
        <v>14648785700</v>
      </c>
    </row>
    <row r="36" spans="1:5" ht="39" customHeight="1">
      <c r="A36" s="304"/>
      <c r="B36" s="37" t="s">
        <v>175</v>
      </c>
      <c r="C36" s="110" t="s">
        <v>176</v>
      </c>
      <c r="D36" s="113">
        <v>-517274.64</v>
      </c>
      <c r="E36" s="113">
        <v>-8836684.7799999993</v>
      </c>
    </row>
    <row r="37" spans="1:5" ht="44.65" customHeight="1">
      <c r="A37" s="304"/>
      <c r="B37" s="37" t="s">
        <v>367</v>
      </c>
      <c r="C37" s="110" t="s">
        <v>177</v>
      </c>
      <c r="D37" s="111">
        <v>-5172746400</v>
      </c>
      <c r="E37" s="111">
        <v>-88366847800</v>
      </c>
    </row>
    <row r="38" spans="1:5" ht="39" customHeight="1">
      <c r="A38" s="304">
        <v>3</v>
      </c>
      <c r="B38" s="37" t="s">
        <v>368</v>
      </c>
      <c r="C38" s="110" t="s">
        <v>178</v>
      </c>
      <c r="D38" s="111">
        <v>284929982000</v>
      </c>
      <c r="E38" s="111">
        <v>278686005700</v>
      </c>
    </row>
    <row r="39" spans="1:5" ht="39" customHeight="1">
      <c r="A39" s="304"/>
      <c r="B39" s="37" t="s">
        <v>179</v>
      </c>
      <c r="C39" s="110" t="s">
        <v>180</v>
      </c>
      <c r="D39" s="111">
        <v>284929982000</v>
      </c>
      <c r="E39" s="111">
        <v>278686005700</v>
      </c>
    </row>
    <row r="40" spans="1:5" ht="39" customHeight="1">
      <c r="A40" s="304"/>
      <c r="B40" s="37" t="s">
        <v>181</v>
      </c>
      <c r="C40" s="110" t="s">
        <v>182</v>
      </c>
      <c r="D40" s="113">
        <v>28492998.199999999</v>
      </c>
      <c r="E40" s="113">
        <v>27868600.57</v>
      </c>
    </row>
    <row r="41" spans="1:5" ht="60" customHeight="1">
      <c r="A41" s="109">
        <v>4</v>
      </c>
      <c r="B41" s="37" t="s">
        <v>183</v>
      </c>
      <c r="C41" s="110" t="s">
        <v>184</v>
      </c>
      <c r="D41" s="221">
        <v>8.0203037390428104E-4</v>
      </c>
      <c r="E41" s="221">
        <v>7.4976531195086098E-4</v>
      </c>
    </row>
    <row r="42" spans="1:5" ht="39" customHeight="1">
      <c r="A42" s="109">
        <v>5</v>
      </c>
      <c r="B42" s="37" t="s">
        <v>185</v>
      </c>
      <c r="C42" s="110" t="s">
        <v>186</v>
      </c>
      <c r="D42" s="221">
        <v>0.45119999999999999</v>
      </c>
      <c r="E42" s="221">
        <v>0.44740000000000002</v>
      </c>
    </row>
    <row r="43" spans="1:5" ht="39" customHeight="1">
      <c r="A43" s="109">
        <v>6</v>
      </c>
      <c r="B43" s="37" t="s">
        <v>187</v>
      </c>
      <c r="C43" s="110" t="s">
        <v>188</v>
      </c>
      <c r="D43" s="221">
        <v>0.24890000000000001</v>
      </c>
      <c r="E43" s="221">
        <v>0.25380000000000003</v>
      </c>
    </row>
    <row r="44" spans="1:5" ht="39" customHeight="1">
      <c r="A44" s="109">
        <v>7</v>
      </c>
      <c r="B44" s="37" t="s">
        <v>189</v>
      </c>
      <c r="C44" s="110" t="s">
        <v>190</v>
      </c>
      <c r="D44" s="111">
        <v>2045</v>
      </c>
      <c r="E44" s="111">
        <v>2023</v>
      </c>
    </row>
    <row r="45" spans="1:5" ht="39" customHeight="1">
      <c r="A45" s="109">
        <v>8</v>
      </c>
      <c r="B45" s="37" t="s">
        <v>369</v>
      </c>
      <c r="C45" s="110" t="s">
        <v>191</v>
      </c>
      <c r="D45" s="113">
        <v>14978.78</v>
      </c>
      <c r="E45" s="113">
        <v>11772.46</v>
      </c>
    </row>
    <row r="46" spans="1:5" ht="16.899999999999999" customHeight="1">
      <c r="A46" s="88" t="s">
        <v>192</v>
      </c>
    </row>
    <row r="47" spans="1:5" ht="60.4" customHeight="1">
      <c r="A47" s="259" t="s">
        <v>423</v>
      </c>
      <c r="B47" s="259"/>
      <c r="C47" s="259"/>
      <c r="D47" s="259"/>
      <c r="E47" s="259"/>
    </row>
    <row r="48" spans="1:5" ht="28.5" customHeight="1">
      <c r="A48" s="259" t="s">
        <v>193</v>
      </c>
      <c r="B48" s="282"/>
      <c r="C48" s="282"/>
      <c r="D48" s="282"/>
      <c r="E48" s="282"/>
    </row>
    <row r="50" spans="1:5" ht="16.899999999999999" customHeight="1">
      <c r="A50" s="88" t="str">
        <f>TONGQUAN!C16</f>
        <v>Đại diện có thẩm quyền của Ngân hàng giám sát</v>
      </c>
      <c r="D50" s="88" t="str">
        <f>TONGQUAN!F16</f>
        <v>Đại diện có thẩm quyền của Công ty quản lý Quỹ</v>
      </c>
    </row>
    <row r="51" spans="1:5" s="114" customFormat="1" ht="16.899999999999999" customHeight="1">
      <c r="A51" s="89" t="str">
        <f>TONGQUAN!C17</f>
        <v>Authorised Representative of Supervisory Bank</v>
      </c>
      <c r="B51" s="89"/>
      <c r="C51" s="89"/>
      <c r="D51" s="89" t="str">
        <f>TONGQUAN!F17</f>
        <v>Authorised Representative of Fund Management Company</v>
      </c>
      <c r="E51" s="89"/>
    </row>
    <row r="52" spans="1:5" ht="16.899999999999999" customHeight="1"/>
    <row r="53" spans="1:5" ht="16.899999999999999" customHeight="1"/>
    <row r="60" spans="1:5">
      <c r="A60" s="115"/>
      <c r="B60" s="115"/>
      <c r="D60" s="115"/>
      <c r="E60" s="115"/>
    </row>
    <row r="61" spans="1:5" ht="16.899999999999999" customHeight="1">
      <c r="A61" s="88" t="str">
        <f>TONGQUAN!C19</f>
        <v>Ngân hàng TNHH MTV Standard Chartered (Việt Nam)</v>
      </c>
      <c r="D61" s="88" t="str">
        <f>TONGQUAN!F19</f>
        <v>Công ty Cổ phần Quản lý Quỹ Đầu tư Việt Nam</v>
      </c>
    </row>
    <row r="62" spans="1:5" ht="16.899999999999999" customHeight="1">
      <c r="A62" s="88" t="str">
        <f>TONGQUAN!C20</f>
        <v>Bùi Thị Huyền Trang</v>
      </c>
      <c r="D62" s="88" t="str">
        <f>TONGQUAN!F20</f>
        <v>Trần Thanh Tân</v>
      </c>
    </row>
    <row r="63" spans="1:5" ht="16.899999999999999" customHeight="1">
      <c r="A63" s="49" t="str">
        <f>TONGQUAN!C21</f>
        <v>Cán bộ Quản lý Nghiệp vụ Dịch vụ Chứng khoán</v>
      </c>
      <c r="D63" s="49" t="str">
        <f>TONGQUAN!F21</f>
        <v>Tổng Giám đốc</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tabSelected="1" view="pageBreakPreview" topLeftCell="A31" zoomScale="95" zoomScaleNormal="100" zoomScaleSheetLayoutView="95" workbookViewId="0">
      <selection activeCell="A31" sqref="A31"/>
    </sheetView>
  </sheetViews>
  <sheetFormatPr defaultColWidth="8.7265625" defaultRowHeight="12.5"/>
  <cols>
    <col min="1" max="1" width="8.7265625" style="49"/>
    <col min="2" max="2" width="6.453125" style="49" customWidth="1"/>
    <col min="3" max="3" width="46.1796875" style="49" customWidth="1"/>
    <col min="4" max="4" width="10.7265625" style="49" bestFit="1" customWidth="1"/>
    <col min="5" max="6" width="26.26953125" style="49" customWidth="1"/>
    <col min="7" max="16384" width="8.7265625" style="94"/>
  </cols>
  <sheetData>
    <row r="1" spans="1:7" ht="26.65" customHeight="1">
      <c r="A1" s="260" t="s">
        <v>341</v>
      </c>
      <c r="B1" s="260"/>
      <c r="C1" s="260"/>
      <c r="D1" s="260"/>
      <c r="E1" s="260"/>
      <c r="F1" s="260"/>
      <c r="G1" s="102"/>
    </row>
    <row r="2" spans="1:7" ht="32.65" customHeight="1">
      <c r="A2" s="261" t="s">
        <v>40</v>
      </c>
      <c r="B2" s="261"/>
      <c r="C2" s="261"/>
      <c r="D2" s="261"/>
      <c r="E2" s="261"/>
      <c r="F2" s="261"/>
      <c r="G2" s="103"/>
    </row>
    <row r="3" spans="1:7" ht="15" customHeight="1">
      <c r="A3" s="262" t="s">
        <v>424</v>
      </c>
      <c r="B3" s="262"/>
      <c r="C3" s="262"/>
      <c r="D3" s="262"/>
      <c r="E3" s="262"/>
      <c r="F3" s="262"/>
      <c r="G3" s="102"/>
    </row>
    <row r="4" spans="1:7" ht="21" customHeight="1">
      <c r="A4" s="262"/>
      <c r="B4" s="262"/>
      <c r="C4" s="262"/>
      <c r="D4" s="262"/>
      <c r="E4" s="262"/>
      <c r="F4" s="262"/>
      <c r="G4" s="102"/>
    </row>
    <row r="5" spans="1:7" ht="16.899999999999999" customHeight="1">
      <c r="A5" s="263" t="str">
        <f>TONGQUAN!C2</f>
        <v>Quý II năm 2020
/ Quarter II 2020</v>
      </c>
      <c r="B5" s="263"/>
      <c r="C5" s="263"/>
      <c r="D5" s="263"/>
      <c r="E5" s="263"/>
      <c r="F5" s="263"/>
      <c r="G5" s="104"/>
    </row>
    <row r="6" spans="1:7" ht="16.899999999999999" customHeight="1"/>
    <row r="7" spans="1:7" ht="16.899999999999999" customHeight="1">
      <c r="A7" s="62" t="s">
        <v>2</v>
      </c>
      <c r="B7" s="116"/>
      <c r="D7" s="283" t="str">
        <f>TONGQUAN!D5</f>
        <v>Công ty Cổ phần Quản lý Quỹ Đầu tư Việt Nam</v>
      </c>
      <c r="E7" s="283"/>
      <c r="F7" s="283"/>
    </row>
    <row r="8" spans="1:7" ht="16.899999999999999" customHeight="1">
      <c r="A8" s="49" t="s">
        <v>41</v>
      </c>
      <c r="B8" s="116"/>
      <c r="D8" s="282" t="str">
        <f>TONGQUAN!D6</f>
        <v>Vietnam Investment Fund Management Joint Stock Company</v>
      </c>
      <c r="E8" s="282"/>
      <c r="F8" s="282"/>
    </row>
    <row r="9" spans="1:7" ht="16.899999999999999" customHeight="1">
      <c r="A9" s="62" t="s">
        <v>3</v>
      </c>
      <c r="B9" s="116"/>
      <c r="D9" s="283" t="str">
        <f>TONGQUAN!D7</f>
        <v>Ngân hàng TNHH Một thành viên Standard Chartered (Việt Nam)</v>
      </c>
      <c r="E9" s="283"/>
      <c r="F9" s="283"/>
    </row>
    <row r="10" spans="1:7" ht="16.899999999999999" customHeight="1">
      <c r="A10" s="49" t="s">
        <v>4</v>
      </c>
      <c r="B10" s="116"/>
      <c r="D10" s="282" t="str">
        <f>TONGQUAN!D8</f>
        <v>Standard Chartered Bank (Vietnam) Limited</v>
      </c>
      <c r="E10" s="282"/>
      <c r="F10" s="282"/>
    </row>
    <row r="11" spans="1:7" ht="16.899999999999999" customHeight="1">
      <c r="A11" s="62" t="s">
        <v>5</v>
      </c>
      <c r="B11" s="116"/>
      <c r="D11" s="283" t="str">
        <f>TONGQUAN!D9</f>
        <v>Quỹ Đầu tư Doanh nghiệp hàng đầu Việt Nam</v>
      </c>
      <c r="E11" s="283"/>
      <c r="F11" s="283"/>
    </row>
    <row r="12" spans="1:7" ht="16.899999999999999" customHeight="1">
      <c r="A12" s="49" t="s">
        <v>6</v>
      </c>
      <c r="B12" s="116"/>
      <c r="D12" s="282" t="str">
        <f>TONGQUAN!D10</f>
        <v>Vietnam Blue Chip Fund(VFMVF4)</v>
      </c>
      <c r="E12" s="282"/>
      <c r="F12" s="282"/>
    </row>
    <row r="13" spans="1:7" ht="16.899999999999999" customHeight="1">
      <c r="A13" s="62" t="s">
        <v>7</v>
      </c>
      <c r="B13" s="116"/>
      <c r="D13" s="283" t="str">
        <f>TONGQUAN!D11</f>
        <v>Ngày 06 tháng 07 năm 2020</v>
      </c>
      <c r="E13" s="283"/>
      <c r="F13" s="283"/>
    </row>
    <row r="14" spans="1:7" ht="16.899999999999999" customHeight="1">
      <c r="A14" s="49" t="s">
        <v>8</v>
      </c>
      <c r="D14" s="282" t="str">
        <f>TONGQUAN!D12</f>
        <v>06 Jul 2020</v>
      </c>
      <c r="E14" s="282"/>
      <c r="F14" s="282"/>
    </row>
    <row r="17" spans="1:6">
      <c r="A17" s="63"/>
      <c r="B17" s="63"/>
      <c r="C17" s="64"/>
    </row>
    <row r="18" spans="1:6" ht="37.15" customHeight="1">
      <c r="A18" s="305" t="s">
        <v>43</v>
      </c>
      <c r="B18" s="306"/>
      <c r="C18" s="95" t="s">
        <v>425</v>
      </c>
      <c r="D18" s="95" t="s">
        <v>215</v>
      </c>
      <c r="E18" s="95" t="str">
        <f>BCKetQuaHoatDong_06028!D18</f>
        <v>Quý II năm 2020
Quarter II 2020</v>
      </c>
      <c r="F18" s="95" t="str">
        <f>BCKetQuaHoatDong_06028!E18</f>
        <v>Quý I năm 2020
Quarter I 2020</v>
      </c>
    </row>
    <row r="19" spans="1:6" s="108" customFormat="1" ht="46.5" customHeight="1">
      <c r="A19" s="105" t="s">
        <v>42</v>
      </c>
      <c r="B19" s="105"/>
      <c r="C19" s="117" t="s">
        <v>194</v>
      </c>
      <c r="D19" s="118" t="s">
        <v>195</v>
      </c>
      <c r="E19" s="226">
        <v>328082037421</v>
      </c>
      <c r="F19" s="226">
        <v>617969847918</v>
      </c>
    </row>
    <row r="20" spans="1:6" s="108" customFormat="1" ht="79.5" customHeight="1">
      <c r="A20" s="105" t="s">
        <v>48</v>
      </c>
      <c r="B20" s="105"/>
      <c r="C20" s="117" t="s">
        <v>196</v>
      </c>
      <c r="D20" s="118" t="s">
        <v>197</v>
      </c>
      <c r="E20" s="226">
        <v>89373950354</v>
      </c>
      <c r="F20" s="226">
        <v>-192701559413</v>
      </c>
    </row>
    <row r="21" spans="1:6" ht="58.15" customHeight="1">
      <c r="A21" s="307"/>
      <c r="B21" s="109" t="s">
        <v>49</v>
      </c>
      <c r="C21" s="119" t="s">
        <v>198</v>
      </c>
      <c r="D21" s="120" t="s">
        <v>199</v>
      </c>
      <c r="E21" s="173">
        <v>89373950354</v>
      </c>
      <c r="F21" s="173">
        <v>-192701559413</v>
      </c>
    </row>
    <row r="22" spans="1:6" ht="57" customHeight="1">
      <c r="A22" s="308"/>
      <c r="B22" s="109" t="s">
        <v>50</v>
      </c>
      <c r="C22" s="119" t="s">
        <v>370</v>
      </c>
      <c r="D22" s="120" t="s">
        <v>200</v>
      </c>
      <c r="E22" s="173">
        <v>0</v>
      </c>
      <c r="F22" s="173">
        <v>0</v>
      </c>
    </row>
    <row r="23" spans="1:6" s="108" customFormat="1" ht="76.5" customHeight="1">
      <c r="A23" s="105" t="s">
        <v>54</v>
      </c>
      <c r="B23" s="105"/>
      <c r="C23" s="117" t="s">
        <v>201</v>
      </c>
      <c r="D23" s="118" t="s">
        <v>202</v>
      </c>
      <c r="E23" s="226">
        <v>9334520121</v>
      </c>
      <c r="F23" s="226">
        <v>-97186251084</v>
      </c>
    </row>
    <row r="24" spans="1:6" ht="46.5" customHeight="1">
      <c r="A24" s="307"/>
      <c r="B24" s="109" t="s">
        <v>203</v>
      </c>
      <c r="C24" s="119" t="s">
        <v>204</v>
      </c>
      <c r="D24" s="120" t="s">
        <v>205</v>
      </c>
      <c r="E24" s="173">
        <v>17059020369</v>
      </c>
      <c r="F24" s="173">
        <v>25096350158</v>
      </c>
    </row>
    <row r="25" spans="1:6" ht="33" customHeight="1">
      <c r="A25" s="308"/>
      <c r="B25" s="109" t="s">
        <v>206</v>
      </c>
      <c r="C25" s="119" t="s">
        <v>207</v>
      </c>
      <c r="D25" s="120" t="s">
        <v>208</v>
      </c>
      <c r="E25" s="173">
        <v>-7724500248</v>
      </c>
      <c r="F25" s="173">
        <v>-122282601242</v>
      </c>
    </row>
    <row r="26" spans="1:6" s="108" customFormat="1" ht="45.4" customHeight="1">
      <c r="A26" s="105" t="s">
        <v>55</v>
      </c>
      <c r="B26" s="105"/>
      <c r="C26" s="117" t="s">
        <v>426</v>
      </c>
      <c r="D26" s="118" t="s">
        <v>209</v>
      </c>
      <c r="E26" s="226">
        <v>426790507896</v>
      </c>
      <c r="F26" s="226">
        <v>328082037421</v>
      </c>
    </row>
    <row r="27" spans="1:6" s="108" customFormat="1" ht="47.25" customHeight="1">
      <c r="A27" s="105" t="s">
        <v>56</v>
      </c>
      <c r="B27" s="105"/>
      <c r="C27" s="117" t="s">
        <v>382</v>
      </c>
      <c r="D27" s="118" t="s">
        <v>210</v>
      </c>
      <c r="E27" s="174">
        <v>14978.78</v>
      </c>
      <c r="F27" s="174">
        <v>11772.46</v>
      </c>
    </row>
    <row r="28" spans="1:6">
      <c r="A28" s="121"/>
      <c r="B28" s="121"/>
      <c r="C28" s="122"/>
      <c r="D28" s="121"/>
      <c r="E28" s="123"/>
      <c r="F28" s="123"/>
    </row>
    <row r="30" spans="1:6" ht="16.899999999999999" customHeight="1">
      <c r="A30" s="88" t="str">
        <f>TONGQUAN!C16</f>
        <v>Đại diện có thẩm quyền của Ngân hàng giám sát</v>
      </c>
      <c r="B30" s="88"/>
      <c r="E30" s="88" t="str">
        <f>TONGQUAN!F16</f>
        <v>Đại diện có thẩm quyền của Công ty quản lý Quỹ</v>
      </c>
    </row>
    <row r="31" spans="1:6" s="114" customFormat="1" ht="16.899999999999999" customHeight="1">
      <c r="A31" s="89" t="str">
        <f>TONGQUAN!C17</f>
        <v>Authorised Representative of Supervisory Bank</v>
      </c>
      <c r="B31" s="89"/>
      <c r="C31" s="89"/>
      <c r="D31" s="89"/>
      <c r="E31" s="89" t="str">
        <f>TONGQUAN!F17</f>
        <v>Authorised Representative of Fund Management Company</v>
      </c>
      <c r="F31" s="89"/>
    </row>
    <row r="40" spans="1:6">
      <c r="A40" s="115"/>
      <c r="B40" s="115"/>
      <c r="C40" s="115"/>
      <c r="E40" s="115"/>
      <c r="F40" s="115"/>
    </row>
    <row r="41" spans="1:6" ht="16.899999999999999" customHeight="1">
      <c r="A41" s="88" t="str">
        <f>TONGQUAN!C19</f>
        <v>Ngân hàng TNHH MTV Standard Chartered (Việt Nam)</v>
      </c>
      <c r="B41" s="88"/>
      <c r="E41" s="88" t="str">
        <f>TONGQUAN!F19</f>
        <v>Công ty Cổ phần Quản lý Quỹ Đầu tư Việt Nam</v>
      </c>
    </row>
    <row r="42" spans="1:6" ht="16.899999999999999" customHeight="1">
      <c r="A42" s="124" t="str">
        <f>TONGQUAN!C20</f>
        <v>Bùi Thị Huyền Trang</v>
      </c>
      <c r="B42" s="88"/>
      <c r="E42" s="88" t="str">
        <f>TONGQUAN!F20</f>
        <v>Trần Thanh Tân</v>
      </c>
    </row>
    <row r="43" spans="1:6" ht="16.899999999999999" customHeight="1">
      <c r="A43" s="97" t="str">
        <f>TONGQUAN!C21</f>
        <v>Cán bộ Quản lý Nghiệp vụ Dịch vụ Chứng khoán</v>
      </c>
      <c r="E43" s="49" t="str">
        <f>TONGQUAN!F21</f>
        <v>Tổng Giám đốc</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YBB9PVJu1SS6sFHLCT6MM7qTBxw=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nnuTu4Clv9MM10AVRovr+YTjS2k=</DigestValue>
    </Reference>
  </SignedInfo>
  <SignatureValue>f+nxv3YSMjVGb2IkGWXE8kJCx0DhtW66nhw45ksBh87NjV0WiI7Q9ruyLEAwO4URUnwtQCAj+8vH
0Tfr80bZpazlNEZ3Knz6WIsS6yvo+JzY004WzAbc0CE97Xw5Sc1gdfFjBRcoYVdlqRUFRDl81ztE
u7AT/6Y+2jGV85I+v73OHDPOK0i+jlc2//mfZRMYM4fyxpYO5Tukshi4U/5xfsnwtK8mpcgL0mA8
fiWfeFoM3muT1Q5LzoOk7dMSX7CwV9G2+drx78t6V2rAbPZWkSDf8t6bcsvVzSvTSZocLdWKN2Hf
xNdZOOJwc8JrUzHi99OftO8C/0lIHGER3B6SAg==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Fq3d5KnEQygOf/5W6+HE7b6XW8g=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EiTTdqqpfBi6TQ7joef1BJDLt7A=</DigestValue>
      </Reference>
      <Reference URI="/xl/drawings/drawing2.xml?ContentType=application/vnd.openxmlformats-officedocument.drawing+xml">
        <DigestMethod Algorithm="http://www.w3.org/2000/09/xmldsig#sha1"/>
        <DigestValue>P9a2U7yZ3a0s1t3VvwDj1MBje24=</DigestValue>
      </Reference>
      <Reference URI="/xl/drawings/drawing3.xml?ContentType=application/vnd.openxmlformats-officedocument.drawing+xml">
        <DigestMethod Algorithm="http://www.w3.org/2000/09/xmldsig#sha1"/>
        <DigestValue>1IIN/+tdR+QNaMuDjHux53lt0r8=</DigestValue>
      </Reference>
      <Reference URI="/xl/drawings/drawing4.xml?ContentType=application/vnd.openxmlformats-officedocument.drawing+xml">
        <DigestMethod Algorithm="http://www.w3.org/2000/09/xmldsig#sha1"/>
        <DigestValue>K6Ced5ypQh2u9JDvqsjGTMDxq9E=</DigestValue>
      </Reference>
      <Reference URI="/xl/drawings/drawing5.xml?ContentType=application/vnd.openxmlformats-officedocument.drawing+xml">
        <DigestMethod Algorithm="http://www.w3.org/2000/09/xmldsig#sha1"/>
        <DigestValue>d8KKSo8OsXDXNRajMdS1jYBBks4=</DigestValue>
      </Reference>
      <Reference URI="/xl/drawings/drawing6.xml?ContentType=application/vnd.openxmlformats-officedocument.drawing+xml">
        <DigestMethod Algorithm="http://www.w3.org/2000/09/xmldsig#sha1"/>
        <DigestValue>hYmnjenmh1xA6r/4JUz+tQFpNi8=</DigestValue>
      </Reference>
      <Reference URI="/xl/drawings/drawing7.xml?ContentType=application/vnd.openxmlformats-officedocument.drawing+xml">
        <DigestMethod Algorithm="http://www.w3.org/2000/09/xmldsig#sha1"/>
        <DigestValue>rNeyyklFJ7xJuXq6Sz2cRA0quzs=</DigestValue>
      </Reference>
      <Reference URI="/xl/drawings/drawing8.xml?ContentType=application/vnd.openxmlformats-officedocument.drawing+xml">
        <DigestMethod Algorithm="http://www.w3.org/2000/09/xmldsig#sha1"/>
        <DigestValue>6WKX/U7JCyjfzEiZ7tQHR2ajYvw=</DigestValue>
      </Reference>
      <Reference URI="/xl/drawings/drawing9.xml?ContentType=application/vnd.openxmlformats-officedocument.drawing+xml">
        <DigestMethod Algorithm="http://www.w3.org/2000/09/xmldsig#sha1"/>
        <DigestValue>sL5U95BMqC/9uSBAMmq6/IEtBWw=</DigestValue>
      </Reference>
      <Reference URI="/xl/drawings/vmlDrawing1.vml?ContentType=application/vnd.openxmlformats-officedocument.vmlDrawing">
        <DigestMethod Algorithm="http://www.w3.org/2000/09/xmldsig#sha1"/>
        <DigestValue>/3Y6XunWoPphRHaPMwTluoIlfDA=</DigestValue>
      </Reference>
      <Reference URI="/xl/drawings/vmlDrawing2.vml?ContentType=application/vnd.openxmlformats-officedocument.vmlDrawing">
        <DigestMethod Algorithm="http://www.w3.org/2000/09/xmldsig#sha1"/>
        <DigestValue>RBwPJacQufFOPJ2vF7l9KKmF/jA=</DigestValue>
      </Reference>
      <Reference URI="/xl/drawings/vmlDrawing3.vml?ContentType=application/vnd.openxmlformats-officedocument.vmlDrawing">
        <DigestMethod Algorithm="http://www.w3.org/2000/09/xmldsig#sha1"/>
        <DigestValue>dUP1hFY7HlVriv5YSh9SePkeMiY=</DigestValue>
      </Reference>
      <Reference URI="/xl/drawings/vmlDrawing4.vml?ContentType=application/vnd.openxmlformats-officedocument.vmlDrawing">
        <DigestMethod Algorithm="http://www.w3.org/2000/09/xmldsig#sha1"/>
        <DigestValue>1I/2bI3veAIftfJD9YTE7bHQrmc=</DigestValue>
      </Reference>
      <Reference URI="/xl/drawings/vmlDrawing5.vml?ContentType=application/vnd.openxmlformats-officedocument.vmlDrawing">
        <DigestMethod Algorithm="http://www.w3.org/2000/09/xmldsig#sha1"/>
        <DigestValue>7Dt5/wZXb9S+LWsIBr9AsFv+KMU=</DigestValue>
      </Reference>
      <Reference URI="/xl/drawings/vmlDrawing6.vml?ContentType=application/vnd.openxmlformats-officedocument.vmlDrawing">
        <DigestMethod Algorithm="http://www.w3.org/2000/09/xmldsig#sha1"/>
        <DigestValue>aSngCeyLvPA8lFkPqBVnvg7Wf2s=</DigestValue>
      </Reference>
      <Reference URI="/xl/drawings/vmlDrawing7.vml?ContentType=application/vnd.openxmlformats-officedocument.vmlDrawing">
        <DigestMethod Algorithm="http://www.w3.org/2000/09/xmldsig#sha1"/>
        <DigestValue>WLUiToCUSl5P7vzPzgM+e3Hiv6g=</DigestValue>
      </Reference>
      <Reference URI="/xl/drawings/vmlDrawing8.vml?ContentType=application/vnd.openxmlformats-officedocument.vmlDrawing">
        <DigestMethod Algorithm="http://www.w3.org/2000/09/xmldsig#sha1"/>
        <DigestValue>wpsdDTBvAYklTUkz+qOWEmXqJTI=</DigestValue>
      </Reference>
      <Reference URI="/xl/drawings/vmlDrawing9.vml?ContentType=application/vnd.openxmlformats-officedocument.vmlDrawing">
        <DigestMethod Algorithm="http://www.w3.org/2000/09/xmldsig#sha1"/>
        <DigestValue>bLGZ+JkgmYFKgBX2CQyEPiMPhJ0=</DigestValue>
      </Reference>
      <Reference URI="/xl/media/image1.emf?ContentType=image/x-emf">
        <DigestMethod Algorithm="http://www.w3.org/2000/09/xmldsig#sha1"/>
        <DigestValue>9cRJl7Z4iohDO1DYFGBT2daoJco=</DigestValue>
      </Reference>
      <Reference URI="/xl/media/image2.emf?ContentType=image/x-emf">
        <DigestMethod Algorithm="http://www.w3.org/2000/09/xmldsig#sha1"/>
        <DigestValue>9cRJl7Z4iohDO1DYFGBT2daoJco=</DigestValue>
      </Reference>
      <Reference URI="/xl/printerSettings/printerSettings1.bin?ContentType=application/vnd.openxmlformats-officedocument.spreadsheetml.printerSettings">
        <DigestMethod Algorithm="http://www.w3.org/2000/09/xmldsig#sha1"/>
        <DigestValue>8zESR4A/HGodABwo8ZUBqk9/8dY=</DigestValue>
      </Reference>
      <Reference URI="/xl/printerSettings/printerSettings10.bin?ContentType=application/vnd.openxmlformats-officedocument.spreadsheetml.printerSettings">
        <DigestMethod Algorithm="http://www.w3.org/2000/09/xmldsig#sha1"/>
        <DigestValue>tc5bCYK0riyln0+S9k2GQRdKtSs=</DigestValue>
      </Reference>
      <Reference URI="/xl/printerSettings/printerSettings2.bin?ContentType=application/vnd.openxmlformats-officedocument.spreadsheetml.printerSettings">
        <DigestMethod Algorithm="http://www.w3.org/2000/09/xmldsig#sha1"/>
        <DigestValue>DYDzx8EcS7C1H4OyGLeAzTPmEPw=</DigestValue>
      </Reference>
      <Reference URI="/xl/printerSettings/printerSettings3.bin?ContentType=application/vnd.openxmlformats-officedocument.spreadsheetml.printerSettings">
        <DigestMethod Algorithm="http://www.w3.org/2000/09/xmldsig#sha1"/>
        <DigestValue>FIzsx2606+xYNLPJSrJ4p34dneo=</DigestValue>
      </Reference>
      <Reference URI="/xl/printerSettings/printerSettings4.bin?ContentType=application/vnd.openxmlformats-officedocument.spreadsheetml.printerSettings">
        <DigestMethod Algorithm="http://www.w3.org/2000/09/xmldsig#sha1"/>
        <DigestValue>zf9P7NB5yvfWjc3kgfyeTHtZ1PY=</DigestValue>
      </Reference>
      <Reference URI="/xl/printerSettings/printerSettings5.bin?ContentType=application/vnd.openxmlformats-officedocument.spreadsheetml.printerSettings">
        <DigestMethod Algorithm="http://www.w3.org/2000/09/xmldsig#sha1"/>
        <DigestValue>tc5bCYK0riyln0+S9k2GQRdKtSs=</DigestValue>
      </Reference>
      <Reference URI="/xl/printerSettings/printerSettings6.bin?ContentType=application/vnd.openxmlformats-officedocument.spreadsheetml.printerSettings">
        <DigestMethod Algorithm="http://www.w3.org/2000/09/xmldsig#sha1"/>
        <DigestValue>QLgk53cR/okqQcykUsm1T0cvpaM=</DigestValue>
      </Reference>
      <Reference URI="/xl/printerSettings/printerSettings7.bin?ContentType=application/vnd.openxmlformats-officedocument.spreadsheetml.printerSettings">
        <DigestMethod Algorithm="http://www.w3.org/2000/09/xmldsig#sha1"/>
        <DigestValue>zYf4FPjX65jaqO1Jchav7cg/who=</DigestValue>
      </Reference>
      <Reference URI="/xl/printerSettings/printerSettings8.bin?ContentType=application/vnd.openxmlformats-officedocument.spreadsheetml.printerSettings">
        <DigestMethod Algorithm="http://www.w3.org/2000/09/xmldsig#sha1"/>
        <DigestValue>+bJFos+8mmmLWz0KkW/kEKdmuCc=</DigestValue>
      </Reference>
      <Reference URI="/xl/printerSettings/printerSettings9.bin?ContentType=application/vnd.openxmlformats-officedocument.spreadsheetml.printerSettings">
        <DigestMethod Algorithm="http://www.w3.org/2000/09/xmldsig#sha1"/>
        <DigestValue>BEQxGRdXBAAwFVuT/ZCXI3zDFMQ=</DigestValue>
      </Reference>
      <Reference URI="/xl/sharedStrings.xml?ContentType=application/vnd.openxmlformats-officedocument.spreadsheetml.sharedStrings+xml">
        <DigestMethod Algorithm="http://www.w3.org/2000/09/xmldsig#sha1"/>
        <DigestValue>Zlt3ndGRMG2NkTkkMxcerfuzS/g=</DigestValue>
      </Reference>
      <Reference URI="/xl/styles.xml?ContentType=application/vnd.openxmlformats-officedocument.spreadsheetml.styles+xml">
        <DigestMethod Algorithm="http://www.w3.org/2000/09/xmldsig#sha1"/>
        <DigestValue>C3b0xSaXAkWrBZQmU60FD3jjOv0=</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Enp2bn5RIWF5td9Z0kFUVludLa0=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ZrMpMph6CLLyjrn9OqCEIsZ6UHs=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f0TPskoK1RyF4fgC2QSPvLlkjjA=</DigestValue>
      </Reference>
      <Reference URI="/xl/worksheets/sheet10.xml?ContentType=application/vnd.openxmlformats-officedocument.spreadsheetml.worksheet+xml">
        <DigestMethod Algorithm="http://www.w3.org/2000/09/xmldsig#sha1"/>
        <DigestValue>UDBUH41lBxBdTu+yORMvYUtonBo=</DigestValue>
      </Reference>
      <Reference URI="/xl/worksheets/sheet2.xml?ContentType=application/vnd.openxmlformats-officedocument.spreadsheetml.worksheet+xml">
        <DigestMethod Algorithm="http://www.w3.org/2000/09/xmldsig#sha1"/>
        <DigestValue>JMJGX6BoUl0j2y6U1QWP+Gq2+cg=</DigestValue>
      </Reference>
      <Reference URI="/xl/worksheets/sheet3.xml?ContentType=application/vnd.openxmlformats-officedocument.spreadsheetml.worksheet+xml">
        <DigestMethod Algorithm="http://www.w3.org/2000/09/xmldsig#sha1"/>
        <DigestValue>iex8gSAamrs6dR7wp8XlbBzqEhk=</DigestValue>
      </Reference>
      <Reference URI="/xl/worksheets/sheet4.xml?ContentType=application/vnd.openxmlformats-officedocument.spreadsheetml.worksheet+xml">
        <DigestMethod Algorithm="http://www.w3.org/2000/09/xmldsig#sha1"/>
        <DigestValue>OgAQ3t8nT9EWSphBGrzXVL8Nwok=</DigestValue>
      </Reference>
      <Reference URI="/xl/worksheets/sheet5.xml?ContentType=application/vnd.openxmlformats-officedocument.spreadsheetml.worksheet+xml">
        <DigestMethod Algorithm="http://www.w3.org/2000/09/xmldsig#sha1"/>
        <DigestValue>+TuaX1XFFu0zNM0nDKuVw2di3sk=</DigestValue>
      </Reference>
      <Reference URI="/xl/worksheets/sheet6.xml?ContentType=application/vnd.openxmlformats-officedocument.spreadsheetml.worksheet+xml">
        <DigestMethod Algorithm="http://www.w3.org/2000/09/xmldsig#sha1"/>
        <DigestValue>1mxwKxW5OdWADqfXYiBYARfGqzI=</DigestValue>
      </Reference>
      <Reference URI="/xl/worksheets/sheet7.xml?ContentType=application/vnd.openxmlformats-officedocument.spreadsheetml.worksheet+xml">
        <DigestMethod Algorithm="http://www.w3.org/2000/09/xmldsig#sha1"/>
        <DigestValue>vLquBAqs4lNMHMW0fsNKKgYclHc=</DigestValue>
      </Reference>
      <Reference URI="/xl/worksheets/sheet8.xml?ContentType=application/vnd.openxmlformats-officedocument.spreadsheetml.worksheet+xml">
        <DigestMethod Algorithm="http://www.w3.org/2000/09/xmldsig#sha1"/>
        <DigestValue>SMUNW4pdlh+I6gaKO0ySV/fIgfg=</DigestValue>
      </Reference>
      <Reference URI="/xl/worksheets/sheet9.xml?ContentType=application/vnd.openxmlformats-officedocument.spreadsheetml.worksheet+xml">
        <DigestMethod Algorithm="http://www.w3.org/2000/09/xmldsig#sha1"/>
        <DigestValue>mt+1d9WvNimS3yBCsIjyDFnZJh8=</DigestValue>
      </Reference>
    </Manifest>
    <SignatureProperties>
      <SignatureProperty Id="idSignatureTime" Target="#idPackageSignature">
        <mdssi:SignatureTime xmlns:mdssi="http://schemas.openxmlformats.org/package/2006/digital-signature">
          <mdssi:Format>YYYY-MM-DDThh:mm:ssTZD</mdssi:Format>
          <mdssi:Value>2020-07-14T03:59:26Z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2020-07-14T03:59:26Z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BCLCGT_06262!Print_Area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2020-07-14T03:59:13Z</dcterms:modified>
</cp:coreProperties>
</file>